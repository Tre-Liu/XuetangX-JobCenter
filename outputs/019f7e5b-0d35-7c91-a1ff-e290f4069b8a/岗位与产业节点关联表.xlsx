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85364a3cb9c465a" /></Relationships>
</file>

<file path=xl/workbook.xml><?xml version="1.0" encoding="utf-8"?>
<x:workbook xmlns:x="http://schemas.openxmlformats.org/spreadsheetml/2006/main">
  <x:sheets>
    <x:sheet xmlns:r="http://schemas.openxmlformats.org/officeDocument/2006/relationships" name="说明与统计" sheetId="1" r:id="R6fcb8746c1204abf"/>
    <x:sheet xmlns:r="http://schemas.openxmlformats.org/officeDocument/2006/relationships" name="岗位-产业节点关系" sheetId="2" r:id="Rc38432c7502246dd"/>
    <x:sheet xmlns:r="http://schemas.openxmlformats.org/officeDocument/2006/relationships" name="岗位映射覆盖检查" sheetId="3" r:id="R61b94b8b8e1a40fc"/>
    <x:sheet xmlns:r="http://schemas.openxmlformats.org/officeDocument/2006/relationships" name="产业节点字典" sheetId="4" r:id="Rb881889b680d4d7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0"/>
    <x:numFmt numFmtId="202" formatCode="#,##0"/>
    <x:numFmt numFmtId="203" formatCode="0.0%"/>
  </x:numFmts>
  <x:fonts count="8">
    <x:font>
      <x:sz val="11"/>
      <x:name val="Carlito"/>
    </x:font>
    <x:font>
      <x:b/>
      <x:sz val="16"/>
      <x:color rgb="FFFFFFFF"/>
      <x:name val="Carlito"/>
    </x:font>
    <x:font>
      <x:sz val="10"/>
      <x:color rgb="FF1E293B"/>
      <x:name val="Carlito"/>
    </x:font>
    <x:font>
      <x:b/>
      <x:sz val="10"/>
      <x:color rgb="FFFFFFFF"/>
      <x:name val="Carlito"/>
    </x:font>
    <x:font>
      <x:sz val="9"/>
      <x:name val="Carlito"/>
    </x:font>
    <x:font>
      <x:b/>
      <x:sz val="11"/>
      <x:color rgb="FF16324F"/>
      <x:name val="Carlito"/>
    </x:font>
    <x:font>
      <x:b/>
      <x:sz val="15"/>
      <x:color rgb="FF0F766E"/>
      <x:name val="Carlito"/>
    </x:font>
    <x:font>
      <x:b/>
      <x:sz val="11"/>
      <x:color rgb="FFFFFFFF"/>
      <x:name val="Carlito"/>
    </x:font>
  </x:fonts>
  <x:fills count="8">
    <x:fill>
      <x:patternFill patternType="none"/>
    </x:fill>
    <x:fill>
      <x:patternFill patternType="gray125"/>
    </x:fill>
    <x:fill>
      <x:patternFill patternType="solid">
        <x:fgColor rgb="FF16324F"/>
      </x:patternFill>
    </x:fill>
    <x:fill>
      <x:patternFill patternType="solid">
        <x:fgColor rgb="FFEAF2F8"/>
      </x:patternFill>
    </x:fill>
    <x:fill>
      <x:patternFill patternType="solid">
        <x:fgColor rgb="FF245A84"/>
      </x:patternFill>
    </x:fill>
    <x:fill>
      <x:patternFill patternType="solid">
        <x:fgColor rgb="FFFFFFFF"/>
      </x:patternFill>
    </x:fill>
    <x:fill>
      <x:patternFill patternType="solid">
        <x:fgColor rgb="FF0F766E"/>
      </x:patternFill>
    </x:fill>
    <x:fill>
      <x:patternFill patternType="solid">
        <x:fgColor rgb="FFE8F5F2"/>
      </x:patternFill>
    </x:fill>
  </x:fills>
  <x:borders count="13">
    <x:border/>
    <x:border>
      <x:left style="thin">
        <x:color rgb="FF245A84"/>
      </x:left>
      <x:top style="thin">
        <x:color rgb="FF245A84"/>
      </x:top>
      <x:bottom style="thin">
        <x:color rgb="FF245A84"/>
      </x:bottom>
    </x:border>
    <x:border>
      <x:top style="thin">
        <x:color rgb="FF245A84"/>
      </x:top>
      <x:bottom style="thin">
        <x:color rgb="FF245A84"/>
      </x:bottom>
    </x:border>
    <x:border>
      <x:right style="thin">
        <x:color rgb="FF245A84"/>
      </x:right>
      <x:top style="thin">
        <x:color rgb="FF245A84"/>
      </x:top>
      <x:bottom style="thin">
        <x:color rgb="FF245A84"/>
      </x:bottom>
    </x:border>
    <x:border>
      <x:left style="thin">
        <x:color rgb="FFE2E8F0"/>
      </x:left>
      <x:right style="thin">
        <x:color rgb="FFE2E8F0"/>
      </x:right>
      <x:top style="thin">
        <x:color rgb="FFE2E8F0"/>
      </x:top>
      <x:bottom style="thin">
        <x:color rgb="FFE2E8F0"/>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s>
  <x:cellStyleXfs count="1">
    <x:xf numFmtId="0" fontId="0" fillId="0" borderId="0"/>
  </x:cellStyleXfs>
  <x:cellXfs count="7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x:xf>
    <x:xf numFmtId="201" fontId="4" fillId="0" borderId="0" xfId="0" applyNumberFormat="1" applyFont="1" applyFill="1" applyBorder="1" applyAlignment="1">
      <x:alignment vertical="top"/>
    </x:xf>
    <x:xf numFmtId="0" fontId="4" fillId="0" borderId="0" xfId="0" applyNumberFormat="1" applyFont="1" applyFill="1" applyBorder="1" applyAlignment="1">
      <x:alignment wrapText="1"/>
    </x:xf>
    <x:xf numFmtId="202" fontId="4" fillId="0" borderId="0" xfId="0" applyNumberFormat="1" applyFont="1" applyFill="1" applyBorder="1" applyAlignment="1">
      <x:alignment vertical="top" wrapText="1"/>
    </x:xf>
    <x:xf numFmtId="0" fontId="5" fillId="3" borderId="0" xfId="0" applyNumberFormat="1" applyFont="1" applyFill="1" applyBorder="1"/>
    <x:xf numFmtId="0" fontId="5" fillId="3" borderId="0" xfId="0" applyNumberFormat="1" applyFont="1" applyFill="1" applyBorder="1" applyAlignment="1">
      <x:alignment horizontal="center"/>
    </x:xf>
    <x:xf numFmtId="0" fontId="5" fillId="3" borderId="0" xfId="0" applyNumberFormat="1" applyFont="1" applyFill="1" applyBorder="1" applyAlignment="1">
      <x:alignment horizontal="center" vertical="center"/>
    </x:xf>
    <x:xf numFmtId="0" fontId="0" fillId="5" borderId="0" xfId="0" applyNumberFormat="1" applyFont="1" applyFill="1" applyBorder="1"/>
    <x:xf numFmtId="0" fontId="6" fillId="5" borderId="0" xfId="0" applyNumberFormat="1" applyFont="1" applyFill="1" applyBorder="1"/>
    <x:xf numFmtId="0" fontId="6" fillId="5" borderId="4" xfId="0" applyNumberFormat="1" applyFont="1" applyFill="1" applyBorder="1"/>
    <x:xf numFmtId="0" fontId="6" fillId="5" borderId="4" xfId="0" applyNumberFormat="1" applyFont="1" applyFill="1" applyBorder="1" applyAlignment="1">
      <x:alignment horizontal="center"/>
    </x:xf>
    <x:xf numFmtId="0" fontId="6" fillId="5" borderId="4" xfId="0" applyNumberFormat="1" applyFont="1" applyFill="1" applyBorder="1" applyAlignment="1">
      <x:alignment horizontal="center" vertical="center"/>
    </x:xf>
    <x:xf numFmtId="203" fontId="6" fillId="5" borderId="4" xfId="0" applyNumberFormat="1" applyFont="1" applyFill="1" applyBorder="1" applyAlignment="1">
      <x:alignment horizontal="center" vertic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vertic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vertical="top"/>
    </x:xf>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4"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0" borderId="0" xfId="0" applyNumberFormat="1" applyFont="1" applyFill="1" applyBorder="1" applyAlignment="1">
      <x:alignment vertical="center"/>
    </x:xf>
    <x:xf numFmtId="202" fontId="4" fillId="0" borderId="0" xfId="0" applyNumberFormat="1" applyFont="1" applyFill="1" applyBorder="1" applyAlignment="1">
      <x:alignment vertical="center"/>
    </x:xf>
  </x:cellXfs>
  <x:cellStyles count="1">
    <x:cellStyle name="Normal" xfId="0"/>
  </x:cellStyles>
  <x:dxfs count="5">
    <x:dxf>
      <x:font>
        <x:b/>
        <x:color rgb="FF166534"/>
      </x:font>
      <x:fill>
        <x:patternFill patternType="solid">
          <x:bgColor rgb="FFDCFCE7"/>
        </x:patternFill>
      </x:fill>
    </x:dxf>
    <x:dxf>
      <x:font>
        <x:b/>
        <x:color rgb="FF92400E"/>
      </x:font>
      <x:fill>
        <x:patternFill patternType="solid">
          <x:bgColor rgb="FFFFF4D6"/>
        </x:patternFill>
      </x:fill>
    </x:dxf>
    <x:dxf>
      <x:font>
        <x:b/>
        <x:color rgb="FF991B1B"/>
      </x:font>
      <x:fill>
        <x:patternFill patternType="solid">
          <x:bgColor rgb="FFFDECEC"/>
        </x:patternFill>
      </x:fill>
    </x:dxf>
    <x:dxf>
      <x:font>
        <x:color rgb="FF991B1B"/>
      </x:font>
      <x:fill>
        <x:patternFill patternType="solid">
          <x:bgColor rgb="FFFDECEC"/>
        </x:patternFill>
      </x:fill>
    </x:dxf>
    <x:dxf>
      <x:font>
        <x:color rgb="FF92400E"/>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171fa5619da46db" /><Relationship Type="http://schemas.openxmlformats.org/officeDocument/2006/relationships/theme" Target="/xl/theme/theme1.xml" Id="R12b5a5b83f444d69" /><Relationship Type="http://schemas.openxmlformats.org/officeDocument/2006/relationships/sharedStrings" Target="/xl/sharedStrings.xml" Id="R1db5af18f6a34d32" /><Relationship Type="http://schemas.openxmlformats.org/officeDocument/2006/relationships/worksheet" Target="/xl/worksheets/sheet1.xml" Id="R6fcb8746c1204abf" /><Relationship Type="http://schemas.openxmlformats.org/officeDocument/2006/relationships/worksheet" Target="/xl/worksheets/sheet2.xml" Id="Rc38432c7502246dd" /><Relationship Type="http://schemas.openxmlformats.org/officeDocument/2006/relationships/worksheet" Target="/xl/worksheets/sheet3.xml" Id="R61b94b8b8e1a40fc" /><Relationship Type="http://schemas.openxmlformats.org/officeDocument/2006/relationships/worksheet" Target="/xl/worksheets/sheet4.xml" Id="Rb881889b680d4d72" /></Relationships>
</file>

<file path=xl/tables/table1.xml><?xml version="1.0" encoding="utf-8"?>
<x:table xmlns:x="http://schemas.openxmlformats.org/spreadsheetml/2006/main" id="4" name="ChainMappingSummary" displayName="ChainMappingSummary" ref="A19:D38" headerRowCount="1" totalsRowCount="0" totalsRowShown="0">
  <x:tableColumns count="4">
    <x:tableColumn id="1" name="标准产业链"/>
    <x:tableColumn id="2" name="节点数"/>
    <x:tableColumn id="3" name="关系数"/>
    <x:tableColumn id="4" name="低置信关系数"/>
  </x:tableColumns>
  <x:tableStyleInfo name="TableStyleMedium2" showFirstColumn="0" showLastColumn="0" showRowStripes="1" showColumnStripes="0"/>
</x:table>
</file>

<file path=xl/tables/table2.xml><?xml version="1.0" encoding="utf-8"?>
<x:table xmlns:x="http://schemas.openxmlformats.org/spreadsheetml/2006/main" id="1" name="JobIndustryRelations" displayName="JobIndustryRelations" ref="A3:P709" headerRowCount="1" totalsRowCount="0" totalsRowShown="0">
  <x:tableColumns count="16">
    <x:tableColumn id="1" name="关系ID"/>
    <x:tableColumn id="2" name="岗位主键"/>
    <x:tableColumn id="3" name="岗位编码"/>
    <x:tableColumn id="4" name="岗位名称"/>
    <x:tableColumn id="5" name="职业代码"/>
    <x:tableColumn id="6" name="职业名称"/>
    <x:tableColumn id="7" name="产业链ID"/>
    <x:tableColumn id="8" name="标准产业链"/>
    <x:tableColumn id="9" name="阶段"/>
    <x:tableColumn id="10" name="产业节点ID"/>
    <x:tableColumn id="11" name="产业节点"/>
    <x:tableColumn id="12" name="相关度分数"/>
    <x:tableColumn id="13" name="置信度"/>
    <x:tableColumn id="14" name="命中证据"/>
    <x:tableColumn id="15" name="匹配说明"/>
    <x:tableColumn id="16" name="复核状态"/>
  </x:tableColumns>
  <x:tableStyleInfo name="TableStyleMedium2" showFirstColumn="0" showLastColumn="0" showRowStripes="1" showColumnStripes="0"/>
</x:table>
</file>

<file path=xl/tables/table3.xml><?xml version="1.0" encoding="utf-8"?>
<x:table xmlns:x="http://schemas.openxmlformats.org/spreadsheetml/2006/main" id="2" name="JobMappingCoverage" displayName="JobMappingCoverage" ref="A3:L1359" headerRowCount="1" totalsRowCount="0" totalsRowShown="0">
  <x:tableColumns count="12">
    <x:tableColumn id="1" name="岗位主键"/>
    <x:tableColumn id="2" name="岗位编码"/>
    <x:tableColumn id="3" name="岗位名称"/>
    <x:tableColumn id="4" name="职业代码"/>
    <x:tableColumn id="5" name="职业名称"/>
    <x:tableColumn id="6" name="关系数"/>
    <x:tableColumn id="7" name="映射状态"/>
    <x:tableColumn id="8" name="最高置信度"/>
    <x:tableColumn id="9" name="产业节点ID列表"/>
    <x:tableColumn id="10" name="产业节点列表"/>
    <x:tableColumn id="11" name="岗位简介摘要"/>
    <x:tableColumn id="12" name="岗位职责摘要"/>
  </x:tableColumns>
  <x:tableStyleInfo name="TableStyleMedium4" showFirstColumn="0" showLastColumn="0" showRowStripes="1" showColumnStripes="0"/>
</x:table>
</file>

<file path=xl/tables/table4.xml><?xml version="1.0" encoding="utf-8"?>
<x:table xmlns:x="http://schemas.openxmlformats.org/spreadsheetml/2006/main" id="3" name="IndustryNodeDictionary" displayName="IndustryNodeDictionary" ref="A3:I60" headerRowCount="1" totalsRowCount="0" totalsRowShown="0">
  <x:tableColumns count="9">
    <x:tableColumn id="1" name="产业链ID"/>
    <x:tableColumn id="2" name="标准产业链"/>
    <x:tableColumn id="3" name="阶段"/>
    <x:tableColumn id="4" name="产业节点ID"/>
    <x:tableColumn id="5" name="产业节点"/>
    <x:tableColumn id="6" name="映射原始方向"/>
    <x:tableColumn id="7" name="企业数求和"/>
    <x:tableColumn id="8" name="映射类型"/>
    <x:tableColumn id="9" name="节点全路径"/>
  </x:tableColumns>
  <x:tableStyleInfo name="TableStyleMedium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52bff4518fc4d92" /></Relationships>
</file>

<file path=xl/worksheets/_rels/sheet2.xml.rels>&#65279;<?xml version="1.0" encoding="utf-8"?><Relationships xmlns="http://schemas.openxmlformats.org/package/2006/relationships"><Relationship Type="http://schemas.openxmlformats.org/officeDocument/2006/relationships/table" Target="/xl/tables/table2.xml" Id="R6ff7471481374e63" /></Relationships>
</file>

<file path=xl/worksheets/_rels/sheet3.xml.rels>&#65279;<?xml version="1.0" encoding="utf-8"?><Relationships xmlns="http://schemas.openxmlformats.org/package/2006/relationships"><Relationship Type="http://schemas.openxmlformats.org/officeDocument/2006/relationships/table" Target="/xl/tables/table3.xml" Id="R39f54bcbf8784be7" /></Relationships>
</file>

<file path=xl/worksheets/_rels/sheet4.xml.rels>&#65279;<?xml version="1.0" encoding="utf-8"?><Relationships xmlns="http://schemas.openxmlformats.org/package/2006/relationships"><Relationship Type="http://schemas.openxmlformats.org/officeDocument/2006/relationships/table" Target="/xl/tables/table4.xml" Id="R6f49036274054805" /></Relationships>
</file>

<file path=xl/worksheets/sheet1.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12.220000267028809" hidden="0" customWidth="1"/>
    <x:col min="4" max="4" width="12.220000267028809" hidden="0" customWidth="1"/>
    <x:col min="6" max="6" width="12.220000267028809" hidden="0" customWidth="1"/>
    <x:col min="8" max="8" width="12.220000267028809" hidden="0" customWidth="1"/>
    <x:col min="3" max="3" width="13.890000343322754" hidden="0" customWidth="1"/>
    <x:col min="5" max="5" width="13.890000343322754" hidden="0" customWidth="1"/>
    <x:col min="7" max="7" width="13.890000343322754" hidden="0" customWidth="1"/>
  </x:cols>
  <x:sheetData>
    <x:row r="1" ht="34" customHeight="1">
      <x:c r="A1" s="4" t="str">
        <x:v>岗位与产业节点关联成果</x:v>
      </x:c>
      <x:c r="B1" s="4" t="str">
        <x:v>岗位与产业节点关联成果</x:v>
      </x:c>
      <x:c r="C1" s="4" t="str">
        <x:v>岗位与产业节点关联成果</x:v>
      </x:c>
      <x:c r="D1" s="4" t="str">
        <x:v>岗位与产业节点关联成果</x:v>
      </x:c>
      <x:c r="E1" s="4" t="str">
        <x:v>岗位与产业节点关联成果</x:v>
      </x:c>
      <x:c r="F1" s="4" t="str">
        <x:v>岗位与产业节点关联成果</x:v>
      </x:c>
      <x:c r="G1" s="4" t="str">
        <x:v>岗位与产业节点关联成果</x:v>
      </x:c>
      <x:c r="H1" s="4" t="str">
        <x:v>岗位与产业节点关联成果</x:v>
      </x:c>
    </x:row>
    <x:row r="2" ht="40" customHeight="1">
      <x:c r="A2" s="9" t="str">
        <x:v>基于岗位名称、岗位简介和岗位职责进行一岗多节点语义匹配；结果面向 CMS 导入与专业—产业链—岗位的后续关联。生成日期：2026-07-20。</x:v>
      </x:c>
      <x:c r="B2" s="9" t="str">
        <x:v>基于岗位名称、岗位简介和岗位职责进行一岗多节点语义匹配；结果面向 CMS 导入与专业—产业链—岗位的后续关联。生成日期：2026-07-20。</x:v>
      </x:c>
      <x:c r="C2" s="9" t="str">
        <x:v>基于岗位名称、岗位简介和岗位职责进行一岗多节点语义匹配；结果面向 CMS 导入与专业—产业链—岗位的后续关联。生成日期：2026-07-20。</x:v>
      </x:c>
      <x:c r="D2" s="9" t="str">
        <x:v>基于岗位名称、岗位简介和岗位职责进行一岗多节点语义匹配；结果面向 CMS 导入与专业—产业链—岗位的后续关联。生成日期：2026-07-20。</x:v>
      </x:c>
      <x:c r="E2" s="9" t="str">
        <x:v>基于岗位名称、岗位简介和岗位职责进行一岗多节点语义匹配；结果面向 CMS 导入与专业—产业链—岗位的后续关联。生成日期：2026-07-20。</x:v>
      </x:c>
      <x:c r="F2" s="9" t="str">
        <x:v>基于岗位名称、岗位简介和岗位职责进行一岗多节点语义匹配；结果面向 CMS 导入与专业—产业链—岗位的后续关联。生成日期：2026-07-20。</x:v>
      </x:c>
      <x:c r="G2" s="9" t="str">
        <x:v>基于岗位名称、岗位简介和岗位职责进行一岗多节点语义匹配；结果面向 CMS 导入与专业—产业链—岗位的后续关联。生成日期：2026-07-20。</x:v>
      </x:c>
      <x:c r="H2" s="9" t="str">
        <x:v>基于岗位名称、岗位简介和岗位职责进行一岗多节点语义匹配；结果面向 CMS 导入与专业—产业链—岗位的后续关联。生成日期：2026-07-20。</x:v>
      </x:c>
    </x:row>
    <x:row r="4" ht="38" customHeight="1">
      <x:c r="A4" s="33" t="str">
        <x:v>岗位总数</x:v>
      </x:c>
      <x:c r="B4" s="38" t="n">
        <x:f>COUNTA('岗位映射覆盖检查'!$A$4:$A$1359)</x:f>
        <x:v>1356</x:v>
      </x:c>
      <x:c r="C4" s="33" t="str">
        <x:v>已匹配岗位</x:v>
      </x:c>
      <x:c r="D4" s="38" t="n">
        <x:f>COUNTIF('岗位映射覆盖检查'!$F$4:$F$1359,"&gt;0")</x:f>
        <x:v>645</x:v>
      </x:c>
      <x:c r="E4" s="33" t="str">
        <x:v>未匹配岗位</x:v>
      </x:c>
      <x:c r="F4" s="38" t="n">
        <x:f>COUNTIF('岗位映射覆盖检查'!$F$4:$F$1359,"=0")</x:f>
        <x:v>711</x:v>
      </x:c>
      <x:c r="G4" s="33" t="str">
        <x:v>关系总数</x:v>
      </x:c>
      <x:c r="H4" s="38" t="n">
        <x:f>COUNTA('岗位-产业节点关系'!$A$4:$A$709)</x:f>
        <x:v>706</x:v>
      </x:c>
    </x:row>
    <x:row r="7" ht="38" customHeight="1">
      <x:c r="A7" s="33" t="str">
        <x:v>产业节点数</x:v>
      </x:c>
      <x:c r="B7" s="38" t="n">
        <x:f>COUNTA('产业节点字典'!$D$4:$D$60)</x:f>
        <x:v>57</x:v>
      </x:c>
      <x:c r="C7" s="33" t="str">
        <x:v>岗位匹配率</x:v>
      </x:c>
      <x:c r="D7" s="39" t="n">
        <x:f>D4/B4</x:f>
        <x:v>0.4756637168141593</x:v>
      </x:c>
      <x:c r="E7" s="33" t="str">
        <x:v>高置信关系</x:v>
      </x:c>
      <x:c r="F7" s="38" t="n">
        <x:f>COUNTIF('岗位-产业节点关系'!$M$4:$M$709,"高")</x:f>
        <x:v>157</x:v>
      </x:c>
      <x:c r="G7" s="33" t="str">
        <x:v>建议复核关系</x:v>
      </x:c>
      <x:c r="H7" s="38" t="n">
        <x:f>COUNTIF('岗位-产业节点关系'!$P$4:$P$709,"建议复核")</x:f>
        <x:v>175</x:v>
      </x:c>
    </x:row>
    <x:row r="10" ht="28" customHeight="1">
      <x:c r="A10" s="42" t="str">
        <x:v>方法与使用说明</x:v>
      </x:c>
      <x:c r="B10" s="42" t="str">
        <x:v>方法与使用说明</x:v>
      </x:c>
      <x:c r="C10" s="42" t="str">
        <x:v>方法与使用说明</x:v>
      </x:c>
      <x:c r="D10" s="42" t="str">
        <x:v>方法与使用说明</x:v>
      </x:c>
      <x:c r="E10" s="42" t="str">
        <x:v>方法与使用说明</x:v>
      </x:c>
      <x:c r="F10" s="42" t="str">
        <x:v>方法与使用说明</x:v>
      </x:c>
      <x:c r="G10" s="42" t="str">
        <x:v>方法与使用说明</x:v>
      </x:c>
      <x:c r="H10" s="42" t="str">
        <x:v>方法与使用说明</x:v>
      </x:c>
    </x:row>
    <x:row r="11" ht="38" customHeight="1">
      <x:c r="A11" s="45" t="str">
        <x:v>匹配依据</x:v>
      </x:c>
      <x:c r="B11" s="64" t="str">
        <x:v>岗位名称为高权重证据，岗位简介与岗位职责为补充证据；源表职业分类仅在描述已出现对应行业词时作弱辅助。</x:v>
      </x:c>
      <x:c r="C11" s="65"/>
      <x:c r="D11" s="65"/>
      <x:c r="E11" s="65"/>
      <x:c r="F11" s="65"/>
      <x:c r="G11" s="65"/>
      <x:c r="H11" s="66"/>
    </x:row>
    <x:row r="12" ht="38" customHeight="1">
      <x:c r="A12" s="45" t="str">
        <x:v>一岗多节点</x:v>
      </x:c>
      <x:c r="B12" s="67" t="str">
        <x:v>允许岗位跨产业链、跨阶段关联；每个岗位最多保留 6 个最相关节点，避免泛化匹配。</x:v>
      </x:c>
      <x:c r="C12" s="68"/>
      <x:c r="D12" s="68"/>
      <x:c r="E12" s="68"/>
      <x:c r="F12" s="68"/>
      <x:c r="G12" s="68"/>
      <x:c r="H12" s="69"/>
    </x:row>
    <x:row r="13" ht="38" customHeight="1">
      <x:c r="A13" s="45" t="str">
        <x:v>置信度</x:v>
      </x:c>
      <x:c r="B13" s="67" t="str">
        <x:v>高：相关度 ≥82；中：68–81；低：&lt;68。低置信关系默认标为“建议复核”。</x:v>
      </x:c>
      <x:c r="C13" s="68"/>
      <x:c r="D13" s="68"/>
      <x:c r="E13" s="68"/>
      <x:c r="F13" s="68"/>
      <x:c r="G13" s="68"/>
      <x:c r="H13" s="69"/>
    </x:row>
    <x:row r="14" ht="38" customHeight="1">
      <x:c r="A14" s="45" t="str">
        <x:v>未匹配处理</x:v>
      </x:c>
      <x:c r="B14" s="67" t="str">
        <x:v>对当前 19 条产业链范围未覆盖的金融、教育、法务、通用管理岗位，或证据不足的岗位，不强行分配节点。</x:v>
      </x:c>
      <x:c r="C14" s="68"/>
      <x:c r="D14" s="68"/>
      <x:c r="E14" s="68"/>
      <x:c r="F14" s="68"/>
      <x:c r="G14" s="68"/>
      <x:c r="H14" s="69"/>
    </x:row>
    <x:row r="15" ht="38" customHeight="1">
      <x:c r="A15" s="45" t="str">
        <x:v>CMS 建议</x:v>
      </x:c>
      <x:c r="B15" s="67" t="str">
        <x:v>产业节点字典作为主数据；关系表以“岗位编码 + 产业节点ID”导入；复核状态字段可由业务人员在导入前调整。</x:v>
      </x:c>
      <x:c r="C15" s="68"/>
      <x:c r="D15" s="68"/>
      <x:c r="E15" s="68"/>
      <x:c r="F15" s="68"/>
      <x:c r="G15" s="68"/>
      <x:c r="H15" s="69"/>
    </x:row>
    <x:row r="16" ht="38" customHeight="1">
      <x:c r="A16" s="45" t="str">
        <x:v>岗位源文件</x:v>
      </x:c>
      <x:c r="B16" s="67" t="str">
        <x:v>/Users/liuhongzhe/Desktop/学堂/专业建设/需求/V1.0/数据搬移/job_position.xlsx</x:v>
      </x:c>
      <x:c r="C16" s="68"/>
      <x:c r="D16" s="68"/>
      <x:c r="E16" s="68"/>
      <x:c r="F16" s="68"/>
      <x:c r="G16" s="68"/>
      <x:c r="H16" s="69"/>
    </x:row>
    <x:row r="17" ht="38" customHeight="1">
      <x:c r="A17" s="45" t="str">
        <x:v>产业链源文件</x:v>
      </x:c>
      <x:c r="B17" s="70" t="str">
        <x:v>/Users/liuhongzhe/Desktop/产业链整理结果/industry_chain_stage_node_report.md</x:v>
      </x:c>
      <x:c r="C17" s="71"/>
      <x:c r="D17" s="71"/>
      <x:c r="E17" s="71"/>
      <x:c r="F17" s="71"/>
      <x:c r="G17" s="71"/>
      <x:c r="H17" s="72"/>
    </x:row>
    <x:row r="19" ht="30" customHeight="1">
      <x:c r="A19" s="21" t="str">
        <x:v>标准产业链</x:v>
      </x:c>
      <x:c r="B19" s="22" t="str">
        <x:v>节点数</x:v>
      </x:c>
      <x:c r="C19" s="22" t="str">
        <x:v>关系数</x:v>
      </x:c>
      <x:c r="D19" s="23" t="str">
        <x:v>低置信关系数</x:v>
      </x:c>
    </x:row>
    <x:row r="20">
      <x:c r="A20" s="73" t="str">
        <x:v>数据要素与数字经济产业链</x:v>
      </x:c>
      <x:c r="B20" s="74" t="n">
        <x:f>COUNTIF('产业节点字典'!$B$4:$B$60,A20)</x:f>
        <x:v>3</x:v>
      </x:c>
      <x:c r="C20" s="74" t="n">
        <x:f>COUNTIF('岗位-产业节点关系'!$H$4:$H$709,A20)</x:f>
        <x:v>99</x:v>
      </x:c>
      <x:c r="D20" s="74" t="n">
        <x:f>COUNTIFS('岗位-产业节点关系'!$H$4:$H$709,A20,'岗位-产业节点关系'!$M$4:$M$709,"低")</x:f>
        <x:v>15</x:v>
      </x:c>
    </x:row>
    <x:row r="21">
      <x:c r="A21" s="73" t="str">
        <x:v>高端装备与智能制造产业链</x:v>
      </x:c>
      <x:c r="B21" s="74" t="n">
        <x:f>COUNTIF('产业节点字典'!$B$4:$B$60,A21)</x:f>
        <x:v>3</x:v>
      </x:c>
      <x:c r="C21" s="74" t="n">
        <x:f>COUNTIF('岗位-产业节点关系'!$H$4:$H$709,A21)</x:f>
        <x:v>63</x:v>
      </x:c>
      <x:c r="D21" s="74" t="n">
        <x:f>COUNTIFS('岗位-产业节点关系'!$H$4:$H$709,A21,'岗位-产业节点关系'!$M$4:$M$709,"低")</x:f>
        <x:v>13</x:v>
      </x:c>
    </x:row>
    <x:row r="22">
      <x:c r="A22" s="73" t="str">
        <x:v>基础设施与城市建设产业链</x:v>
      </x:c>
      <x:c r="B22" s="74" t="n">
        <x:f>COUNTIF('产业节点字典'!$B$4:$B$60,A22)</x:f>
        <x:v>3</x:v>
      </x:c>
      <x:c r="C22" s="74" t="n">
        <x:f>COUNTIF('岗位-产业节点关系'!$H$4:$H$709,A22)</x:f>
        <x:v>98</x:v>
      </x:c>
      <x:c r="D22" s="74" t="n">
        <x:f>COUNTIFS('岗位-产业节点关系'!$H$4:$H$709,A22,'岗位-产业节点关系'!$M$4:$M$709,"低")</x:f>
        <x:v>37</x:v>
      </x:c>
    </x:row>
    <x:row r="23">
      <x:c r="A23" s="73" t="str">
        <x:v>医药生物与医疗健康产业链</x:v>
      </x:c>
      <x:c r="B23" s="74" t="n">
        <x:f>COUNTIF('产业节点字典'!$B$4:$B$60,A23)</x:f>
        <x:v>3</x:v>
      </x:c>
      <x:c r="C23" s="74" t="n">
        <x:f>COUNTIF('岗位-产业节点关系'!$H$4:$H$709,A23)</x:f>
        <x:v>106</x:v>
      </x:c>
      <x:c r="D23" s="74" t="n">
        <x:f>COUNTIFS('岗位-产业节点关系'!$H$4:$H$709,A23,'岗位-产业节点关系'!$M$4:$M$709,"低")</x:f>
        <x:v>24</x:v>
      </x:c>
    </x:row>
    <x:row r="24">
      <x:c r="A24" s="73" t="str">
        <x:v>新能源与电力装备产业链</x:v>
      </x:c>
      <x:c r="B24" s="74" t="n">
        <x:f>COUNTIF('产业节点字典'!$B$4:$B$60,A24)</x:f>
        <x:v>3</x:v>
      </x:c>
      <x:c r="C24" s="74" t="n">
        <x:f>COUNTIF('岗位-产业节点关系'!$H$4:$H$709,A24)</x:f>
        <x:v>14</x:v>
      </x:c>
      <x:c r="D24" s="74" t="n">
        <x:f>COUNTIFS('岗位-产业节点关系'!$H$4:$H$709,A24,'岗位-产业节点关系'!$M$4:$M$709,"低")</x:f>
        <x:v>1</x:v>
      </x:c>
    </x:row>
    <x:row r="25">
      <x:c r="A25" s="73" t="str">
        <x:v>智能物联与消费电子产业链</x:v>
      </x:c>
      <x:c r="B25" s="74" t="n">
        <x:f>COUNTIF('产业节点字典'!$B$4:$B$60,A25)</x:f>
        <x:v>3</x:v>
      </x:c>
      <x:c r="C25" s="74" t="n">
        <x:f>COUNTIF('岗位-产业节点关系'!$H$4:$H$709,A25)</x:f>
        <x:v>42</x:v>
      </x:c>
      <x:c r="D25" s="74" t="n">
        <x:f>COUNTIFS('岗位-产业节点关系'!$H$4:$H$709,A25,'岗位-产业节点关系'!$M$4:$M$709,"低")</x:f>
        <x:v>18</x:v>
      </x:c>
    </x:row>
    <x:row r="26">
      <x:c r="A26" s="73" t="str">
        <x:v>石油化工产业链</x:v>
      </x:c>
      <x:c r="B26" s="74" t="n">
        <x:f>COUNTIF('产业节点字典'!$B$4:$B$60,A26)</x:f>
        <x:v>3</x:v>
      </x:c>
      <x:c r="C26" s="74" t="n">
        <x:f>COUNTIF('岗位-产业节点关系'!$H$4:$H$709,A26)</x:f>
        <x:v>5</x:v>
      </x:c>
      <x:c r="D26" s="74" t="n">
        <x:f>COUNTIFS('岗位-产业节点关系'!$H$4:$H$709,A26,'岗位-产业节点关系'!$M$4:$M$709,"低")</x:f>
        <x:v>0</x:v>
      </x:c>
    </x:row>
    <x:row r="27">
      <x:c r="A27" s="73" t="str">
        <x:v>汽车与智能网联汽车产业链</x:v>
      </x:c>
      <x:c r="B27" s="74" t="n">
        <x:f>COUNTIF('产业节点字典'!$B$4:$B$60,A27)</x:f>
        <x:v>3</x:v>
      </x:c>
      <x:c r="C27" s="74" t="n">
        <x:f>COUNTIF('岗位-产业节点关系'!$H$4:$H$709,A27)</x:f>
        <x:v>51</x:v>
      </x:c>
      <x:c r="D27" s="74" t="n">
        <x:f>COUNTIFS('岗位-产业节点关系'!$H$4:$H$709,A27,'岗位-产业节点关系'!$M$4:$M$709,"低")</x:f>
        <x:v>11</x:v>
      </x:c>
    </x:row>
    <x:row r="28">
      <x:c r="A28" s="73" t="str">
        <x:v>食品饮料产业链</x:v>
      </x:c>
      <x:c r="B28" s="74" t="n">
        <x:f>COUNTIF('产业节点字典'!$B$4:$B$60,A28)</x:f>
        <x:v>3</x:v>
      </x:c>
      <x:c r="C28" s="74" t="n">
        <x:f>COUNTIF('岗位-产业节点关系'!$H$4:$H$709,A28)</x:f>
        <x:v>30</x:v>
      </x:c>
      <x:c r="D28" s="74" t="n">
        <x:f>COUNTIFS('岗位-产业节点关系'!$H$4:$H$709,A28,'岗位-产业节点关系'!$M$4:$M$709,"低")</x:f>
        <x:v>7</x:v>
      </x:c>
    </x:row>
    <x:row r="29">
      <x:c r="A29" s="73" t="str">
        <x:v>新一代信息基础设施产业链</x:v>
      </x:c>
      <x:c r="B29" s="74" t="n">
        <x:f>COUNTIF('产业节点字典'!$B$4:$B$60,A29)</x:f>
        <x:v>3</x:v>
      </x:c>
      <x:c r="C29" s="74" t="n">
        <x:f>COUNTIF('岗位-产业节点关系'!$H$4:$H$709,A29)</x:f>
        <x:v>23</x:v>
      </x:c>
      <x:c r="D29" s="74" t="n">
        <x:f>COUNTIFS('岗位-产业节点关系'!$H$4:$H$709,A29,'岗位-产业节点关系'!$M$4:$M$709,"低")</x:f>
        <x:v>6</x:v>
      </x:c>
    </x:row>
    <x:row r="30">
      <x:c r="A30" s="73" t="str">
        <x:v>绿色环保与资源循环产业链</x:v>
      </x:c>
      <x:c r="B30" s="74" t="n">
        <x:f>COUNTIF('产业节点字典'!$B$4:$B$60,A30)</x:f>
        <x:v>3</x:v>
      </x:c>
      <x:c r="C30" s="74" t="n">
        <x:f>COUNTIF('岗位-产业节点关系'!$H$4:$H$709,A30)</x:f>
        <x:v>14</x:v>
      </x:c>
      <x:c r="D30" s="74" t="n">
        <x:f>COUNTIFS('岗位-产业节点关系'!$H$4:$H$709,A30,'岗位-产业节点关系'!$M$4:$M$709,"低")</x:f>
        <x:v>6</x:v>
      </x:c>
    </x:row>
    <x:row r="31">
      <x:c r="A31" s="73" t="str">
        <x:v>新材料产业链</x:v>
      </x:c>
      <x:c r="B31" s="74" t="n">
        <x:f>COUNTIF('产业节点字典'!$B$4:$B$60,A31)</x:f>
        <x:v>3</x:v>
      </x:c>
      <x:c r="C31" s="74" t="n">
        <x:f>COUNTIF('岗位-产业节点关系'!$H$4:$H$709,A31)</x:f>
        <x:v>3</x:v>
      </x:c>
      <x:c r="D31" s="74" t="n">
        <x:f>COUNTIFS('岗位-产业节点关系'!$H$4:$H$709,A31,'岗位-产业节点关系'!$M$4:$M$709,"低")</x:f>
        <x:v>0</x:v>
      </x:c>
    </x:row>
    <x:row r="32">
      <x:c r="A32" s="73" t="str">
        <x:v>空天装备与低空经济产业链</x:v>
      </x:c>
      <x:c r="B32" s="74" t="n">
        <x:f>COUNTIF('产业节点字典'!$B$4:$B$60,A32)</x:f>
        <x:v>3</x:v>
      </x:c>
      <x:c r="C32" s="74" t="n">
        <x:f>COUNTIF('岗位-产业节点关系'!$H$4:$H$709,A32)</x:f>
        <x:v>6</x:v>
      </x:c>
      <x:c r="D32" s="74" t="n">
        <x:f>COUNTIFS('岗位-产业节点关系'!$H$4:$H$709,A32,'岗位-产业节点关系'!$M$4:$M$709,"低")</x:f>
        <x:v>2</x:v>
      </x:c>
    </x:row>
    <x:row r="33">
      <x:c r="A33" s="73" t="str">
        <x:v>机器人产业链</x:v>
      </x:c>
      <x:c r="B33" s="74" t="n">
        <x:f>COUNTIF('产业节点字典'!$B$4:$B$60,A33)</x:f>
        <x:v>3</x:v>
      </x:c>
      <x:c r="C33" s="74" t="n">
        <x:f>COUNTIF('岗位-产业节点关系'!$H$4:$H$709,A33)</x:f>
        <x:v>3</x:v>
      </x:c>
      <x:c r="D33" s="74" t="n">
        <x:f>COUNTIFS('岗位-产业节点关系'!$H$4:$H$709,A33,'岗位-产业节点关系'!$M$4:$M$709,"低")</x:f>
        <x:v>0</x:v>
      </x:c>
    </x:row>
    <x:row r="34">
      <x:c r="A34" s="73" t="str">
        <x:v>人工智能产业链</x:v>
      </x:c>
      <x:c r="B34" s="74" t="n">
        <x:f>COUNTIF('产业节点字典'!$B$4:$B$60,A34)</x:f>
        <x:v>3</x:v>
      </x:c>
      <x:c r="C34" s="74" t="n">
        <x:f>COUNTIF('岗位-产业节点关系'!$H$4:$H$709,A34)</x:f>
        <x:v>10</x:v>
      </x:c>
      <x:c r="D34" s="74" t="n">
        <x:f>COUNTIFS('岗位-产业节点关系'!$H$4:$H$709,A34,'岗位-产业节点关系'!$M$4:$M$709,"低")</x:f>
        <x:v>0</x:v>
      </x:c>
    </x:row>
    <x:row r="35">
      <x:c r="A35" s="73" t="str">
        <x:v>半导体与集成电路产业链</x:v>
      </x:c>
      <x:c r="B35" s="74" t="n">
        <x:f>COUNTIF('产业节点字典'!$B$4:$B$60,A35)</x:f>
        <x:v>3</x:v>
      </x:c>
      <x:c r="C35" s="74" t="n">
        <x:f>COUNTIF('岗位-产业节点关系'!$H$4:$H$709,A35)</x:f>
        <x:v>22</x:v>
      </x:c>
      <x:c r="D35" s="74" t="n">
        <x:f>COUNTIFS('岗位-产业节点关系'!$H$4:$H$709,A35,'岗位-产业节点关系'!$M$4:$M$709,"低")</x:f>
        <x:v>6</x:v>
      </x:c>
    </x:row>
    <x:row r="36">
      <x:c r="A36" s="73" t="str">
        <x:v>纺织产业链</x:v>
      </x:c>
      <x:c r="B36" s="74" t="n">
        <x:f>COUNTIF('产业节点字典'!$B$4:$B$60,A36)</x:f>
        <x:v>3</x:v>
      </x:c>
      <x:c r="C36" s="74" t="n">
        <x:f>COUNTIF('岗位-产业节点关系'!$H$4:$H$709,A36)</x:f>
        <x:v>25</x:v>
      </x:c>
      <x:c r="D36" s="74" t="n">
        <x:f>COUNTIFS('岗位-产业节点关系'!$H$4:$H$709,A36,'岗位-产业节点关系'!$M$4:$M$709,"低")</x:f>
        <x:v>7</x:v>
      </x:c>
    </x:row>
    <x:row r="37">
      <x:c r="A37" s="73" t="str">
        <x:v>新型显示与虚拟现实产业链</x:v>
      </x:c>
      <x:c r="B37" s="74" t="n">
        <x:f>COUNTIF('产业节点字典'!$B$4:$B$60,A37)</x:f>
        <x:v>3</x:v>
      </x:c>
      <x:c r="C37" s="74" t="n">
        <x:f>COUNTIF('岗位-产业节点关系'!$H$4:$H$709,A37)</x:f>
        <x:v>39</x:v>
      </x:c>
      <x:c r="D37" s="74" t="n">
        <x:f>COUNTIFS('岗位-产业节点关系'!$H$4:$H$709,A37,'岗位-产业节点关系'!$M$4:$M$709,"低")</x:f>
        <x:v>0</x:v>
      </x:c>
    </x:row>
    <x:row r="38">
      <x:c r="A38" s="73" t="str">
        <x:v>软件与数字安全产业链</x:v>
      </x:c>
      <x:c r="B38" s="74" t="n">
        <x:f>COUNTIF('产业节点字典'!$B$4:$B$60,A38)</x:f>
        <x:v>3</x:v>
      </x:c>
      <x:c r="C38" s="74" t="n">
        <x:f>COUNTIF('岗位-产业节点关系'!$H$4:$H$709,A38)</x:f>
        <x:v>53</x:v>
      </x:c>
      <x:c r="D38" s="74" t="n">
        <x:f>COUNTIFS('岗位-产业节点关系'!$H$4:$H$709,A38,'岗位-产业节点关系'!$M$4:$M$709,"低")</x:f>
        <x:v>22</x:v>
      </x:c>
    </x:row>
  </x:sheetData>
  <x:mergeCells>
    <x:mergeCell ref="A1:H1"/>
    <x:mergeCell ref="A2:H2"/>
    <x:mergeCell ref="A10:H10"/>
    <x:mergeCell ref="B11:H11"/>
    <x:mergeCell ref="B12:H12"/>
    <x:mergeCell ref="B13:H13"/>
    <x:mergeCell ref="B14:H14"/>
    <x:mergeCell ref="B15:H15"/>
    <x:mergeCell ref="B16:H16"/>
    <x:mergeCell ref="B17:H17"/>
  </x:mergeCells>
  <x:pageMargins left="0.7" right="0.7" top="0.75" bottom="0.75" header="0.3" footer="0.3"/>
  <x:tableParts count="1">
    <x:tablePart xmlns:r="http://schemas.openxmlformats.org/officeDocument/2006/relationships" r:id="Rb52bff4518fc4d9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5600004196167" hidden="0" customWidth="1"/>
    <x:col min="2" max="2" width="8" hidden="0" customWidth="1"/>
    <x:col min="3" max="3" width="10.890000343322754" hidden="0" customWidth="1"/>
    <x:col min="4" max="4" width="16.670000076293945" hidden="0" customWidth="1"/>
    <x:col min="5" max="5" width="10.890000343322754" hidden="0" customWidth="1"/>
    <x:col min="6" max="6" width="16.110000610351562" hidden="0" customWidth="1"/>
    <x:col min="7" max="7" width="7.78000020980835" hidden="0" customWidth="1"/>
    <x:col min="8" max="8" width="21.110000610351562" hidden="0" customWidth="1"/>
    <x:col min="9" max="9" width="6.440000057220459" hidden="0" customWidth="1"/>
    <x:col min="10" max="10" width="9.109999656677246" hidden="0" customWidth="1"/>
    <x:col min="11" max="11" width="21.110000610351562" hidden="0" customWidth="1"/>
    <x:col min="12" max="12" width="8.4399995803833" hidden="0" customWidth="1"/>
    <x:col min="13" max="13" width="7.110000133514404" hidden="0" customWidth="1"/>
    <x:col min="14" max="14" width="21.110000610351562" hidden="0" customWidth="1"/>
    <x:col min="15" max="15" width="35.560001373291016" hidden="0" customWidth="1"/>
    <x:col min="16" max="16" width="9.5600004196167" hidden="0" customWidth="1"/>
  </x:cols>
  <x:sheetData>
    <x:row r="1" ht="32" customHeight="1">
      <x:c r="A1" s="4" t="str">
        <x:v>岗位—产业节点多对多关系表</x:v>
      </x:c>
      <x:c r="B1" s="4" t="str">
        <x:v>岗位—产业节点多对多关系表</x:v>
      </x:c>
      <x:c r="C1" s="4" t="str">
        <x:v>岗位—产业节点多对多关系表</x:v>
      </x:c>
      <x:c r="D1" s="4" t="str">
        <x:v>岗位—产业节点多对多关系表</x:v>
      </x:c>
      <x:c r="E1" s="4" t="str">
        <x:v>岗位—产业节点多对多关系表</x:v>
      </x:c>
      <x:c r="F1" s="4" t="str">
        <x:v>岗位—产业节点多对多关系表</x:v>
      </x:c>
      <x:c r="G1" s="4" t="str">
        <x:v>岗位—产业节点多对多关系表</x:v>
      </x:c>
      <x:c r="H1" s="4" t="str">
        <x:v>岗位—产业节点多对多关系表</x:v>
      </x:c>
      <x:c r="I1" s="4" t="str">
        <x:v>岗位—产业节点多对多关系表</x:v>
      </x:c>
      <x:c r="J1" s="4" t="str">
        <x:v>岗位—产业节点多对多关系表</x:v>
      </x:c>
      <x:c r="K1" s="4" t="str">
        <x:v>岗位—产业节点多对多关系表</x:v>
      </x:c>
      <x:c r="L1" s="4" t="str">
        <x:v>岗位—产业节点多对多关系表</x:v>
      </x:c>
      <x:c r="M1" s="4" t="str">
        <x:v>岗位—产业节点多对多关系表</x:v>
      </x:c>
      <x:c r="N1" s="4" t="str">
        <x:v>岗位—产业节点多对多关系表</x:v>
      </x:c>
      <x:c r="O1" s="4" t="str">
        <x:v>岗位—产业节点多对多关系表</x:v>
      </x:c>
      <x:c r="P1" s="4" t="str">
        <x:v>岗位—产业节点多对多关系表</x:v>
      </x:c>
    </x:row>
    <x:row r="2" ht="36" customHeight="1">
      <x:c r="A2" s="9" t="str">
        <x:v>一行代表一条岗位与产业节点关系；同一岗位可出现多行。CMS 建议使用“岗位编码 + 产业节点ID”作为关联键，并优先导入复核状态为“自动通过/人工确认”的记录。</x:v>
      </x:c>
      <x:c r="B2" s="9" t="str">
        <x:v>一行代表一条岗位与产业节点关系；同一岗位可出现多行。CMS 建议使用“岗位编码 + 产业节点ID”作为关联键，并优先导入复核状态为“自动通过/人工确认”的记录。</x:v>
      </x:c>
      <x:c r="C2" s="9" t="str">
        <x:v>一行代表一条岗位与产业节点关系；同一岗位可出现多行。CMS 建议使用“岗位编码 + 产业节点ID”作为关联键，并优先导入复核状态为“自动通过/人工确认”的记录。</x:v>
      </x:c>
      <x:c r="D2" s="9" t="str">
        <x:v>一行代表一条岗位与产业节点关系；同一岗位可出现多行。CMS 建议使用“岗位编码 + 产业节点ID”作为关联键，并优先导入复核状态为“自动通过/人工确认”的记录。</x:v>
      </x:c>
      <x:c r="E2" s="9" t="str">
        <x:v>一行代表一条岗位与产业节点关系；同一岗位可出现多行。CMS 建议使用“岗位编码 + 产业节点ID”作为关联键，并优先导入复核状态为“自动通过/人工确认”的记录。</x:v>
      </x:c>
      <x:c r="F2" s="9" t="str">
        <x:v>一行代表一条岗位与产业节点关系；同一岗位可出现多行。CMS 建议使用“岗位编码 + 产业节点ID”作为关联键，并优先导入复核状态为“自动通过/人工确认”的记录。</x:v>
      </x:c>
      <x:c r="G2" s="9" t="str">
        <x:v>一行代表一条岗位与产业节点关系；同一岗位可出现多行。CMS 建议使用“岗位编码 + 产业节点ID”作为关联键，并优先导入复核状态为“自动通过/人工确认”的记录。</x:v>
      </x:c>
      <x:c r="H2" s="9" t="str">
        <x:v>一行代表一条岗位与产业节点关系；同一岗位可出现多行。CMS 建议使用“岗位编码 + 产业节点ID”作为关联键，并优先导入复核状态为“自动通过/人工确认”的记录。</x:v>
      </x:c>
      <x:c r="I2" s="9" t="str">
        <x:v>一行代表一条岗位与产业节点关系；同一岗位可出现多行。CMS 建议使用“岗位编码 + 产业节点ID”作为关联键，并优先导入复核状态为“自动通过/人工确认”的记录。</x:v>
      </x:c>
      <x:c r="J2" s="9" t="str">
        <x:v>一行代表一条岗位与产业节点关系；同一岗位可出现多行。CMS 建议使用“岗位编码 + 产业节点ID”作为关联键，并优先导入复核状态为“自动通过/人工确认”的记录。</x:v>
      </x:c>
      <x:c r="K2" s="9" t="str">
        <x:v>一行代表一条岗位与产业节点关系；同一岗位可出现多行。CMS 建议使用“岗位编码 + 产业节点ID”作为关联键，并优先导入复核状态为“自动通过/人工确认”的记录。</x:v>
      </x:c>
      <x:c r="L2" s="9" t="str">
        <x:v>一行代表一条岗位与产业节点关系；同一岗位可出现多行。CMS 建议使用“岗位编码 + 产业节点ID”作为关联键，并优先导入复核状态为“自动通过/人工确认”的记录。</x:v>
      </x:c>
      <x:c r="M2" s="9" t="str">
        <x:v>一行代表一条岗位与产业节点关系；同一岗位可出现多行。CMS 建议使用“岗位编码 + 产业节点ID”作为关联键，并优先导入复核状态为“自动通过/人工确认”的记录。</x:v>
      </x:c>
      <x:c r="N2" s="9" t="str">
        <x:v>一行代表一条岗位与产业节点关系；同一岗位可出现多行。CMS 建议使用“岗位编码 + 产业节点ID”作为关联键，并优先导入复核状态为“自动通过/人工确认”的记录。</x:v>
      </x:c>
      <x:c r="O2" s="9" t="str">
        <x:v>一行代表一条岗位与产业节点关系；同一岗位可出现多行。CMS 建议使用“岗位编码 + 产业节点ID”作为关联键，并优先导入复核状态为“自动通过/人工确认”的记录。</x:v>
      </x:c>
      <x:c r="P2" s="9" t="str">
        <x:v>一行代表一条岗位与产业节点关系；同一岗位可出现多行。CMS 建议使用“岗位编码 + 产业节点ID”作为关联键，并优先导入复核状态为“自动通过/人工确认”的记录。</x:v>
      </x:c>
    </x:row>
    <x:row r="3" ht="32" customHeight="1">
      <x:c r="A3" s="21" t="str">
        <x:v>关系ID</x:v>
      </x:c>
      <x:c r="B3" s="22" t="str">
        <x:v>岗位主键</x:v>
      </x:c>
      <x:c r="C3" s="22" t="str">
        <x:v>岗位编码</x:v>
      </x:c>
      <x:c r="D3" s="22" t="str">
        <x:v>岗位名称</x:v>
      </x:c>
      <x:c r="E3" s="22" t="str">
        <x:v>职业代码</x:v>
      </x:c>
      <x:c r="F3" s="22" t="str">
        <x:v>职业名称</x:v>
      </x:c>
      <x:c r="G3" s="22" t="str">
        <x:v>产业链ID</x:v>
      </x:c>
      <x:c r="H3" s="22" t="str">
        <x:v>标准产业链</x:v>
      </x:c>
      <x:c r="I3" s="22" t="str">
        <x:v>阶段</x:v>
      </x:c>
      <x:c r="J3" s="22" t="str">
        <x:v>产业节点ID</x:v>
      </x:c>
      <x:c r="K3" s="22" t="str">
        <x:v>产业节点</x:v>
      </x:c>
      <x:c r="L3" s="22" t="str">
        <x:v>相关度分数</x:v>
      </x:c>
      <x:c r="M3" s="22" t="str">
        <x:v>置信度</x:v>
      </x:c>
      <x:c r="N3" s="22" t="str">
        <x:v>命中证据</x:v>
      </x:c>
      <x:c r="O3" s="22" t="str">
        <x:v>匹配说明</x:v>
      </x:c>
      <x:c r="P3" s="23" t="str">
        <x:v>复核状态</x:v>
      </x:c>
    </x:row>
    <x:row r="4" ht="44" customHeight="1">
      <x:c r="A4" s="27" t="str">
        <x:v>REL000001</x:v>
      </x:c>
      <x:c r="B4" s="25" t="n">
        <x:v>10896</x:v>
      </x:c>
      <x:c r="C4" s="27" t="str">
        <x:v>IC-L3-153</x:v>
      </x:c>
      <x:c r="D4" s="25" t="str">
        <x:v>智能驾驶工程师</x:v>
      </x:c>
      <x:c r="E4" s="27" t="str">
        <x:v>2-02-38-01</x:v>
      </x:c>
      <x:c r="F4" s="25" t="str">
        <x:v>人工智能工程技术人员</x:v>
      </x:c>
      <x:c r="G4" s="27" t="str">
        <x:v>IC15</x:v>
      </x:c>
      <x:c r="H4" s="25" t="str">
        <x:v>人工智能产业链</x:v>
      </x:c>
      <x:c r="I4" s="25" t="str">
        <x:v>下游</x:v>
      </x:c>
      <x:c r="J4" s="27" t="str">
        <x:v>ICN045</x:v>
      </x:c>
      <x:c r="K4" s="25" t="str">
        <x:v>行业智能化应用与AI服务</x:v>
      </x:c>
      <x:c r="L4" s="28" t="n">
        <x:v>81</x:v>
      </x:c>
      <x:c r="M4" s="25" t="str">
        <x:v>中</x:v>
      </x:c>
      <x:c r="N4" s="26" t="str">
        <x:v>智能驾驶、人工智能、机器学习、产品、解决方案</x:v>
      </x:c>
      <x:c r="O4" s="26" t="str">
        <x:v>岗位名称/描述出现“智能驾驶、人工智能、机器学习”，工作环节更贴近“智能驾驶、产品、解决方案”，因此关联到该节点。</x:v>
      </x:c>
      <x:c r="P4" s="26" t="str">
        <x:v>自动通过</x:v>
      </x:c>
    </x:row>
    <x:row r="5" ht="44" customHeight="1">
      <x:c r="A5" s="27" t="str">
        <x:v>REL000002</x:v>
      </x:c>
      <x:c r="B5" s="25" t="n">
        <x:v>10896</x:v>
      </x:c>
      <x:c r="C5" s="27" t="str">
        <x:v>IC-L3-153</x:v>
      </x:c>
      <x:c r="D5" s="25" t="str">
        <x:v>智能驾驶工程师</x:v>
      </x:c>
      <x:c r="E5" s="27" t="str">
        <x:v>2-02-38-01</x:v>
      </x:c>
      <x:c r="F5" s="25" t="str">
        <x:v>人工智能工程技术人员</x:v>
      </x:c>
      <x:c r="G5" s="27" t="str">
        <x:v>IC08</x:v>
      </x:c>
      <x:c r="H5" s="25" t="str">
        <x:v>汽车与智能网联汽车产业链</x:v>
      </x:c>
      <x:c r="I5" s="25" t="str">
        <x:v>下游</x:v>
      </x:c>
      <x:c r="J5" s="27" t="str">
        <x:v>ICN024</x:v>
      </x:c>
      <x:c r="K5" s="25" t="str">
        <x:v>出行服务、后市场与自动驾驶应用</x:v>
      </x:c>
      <x:c r="L5" s="28" t="n">
        <x:v>73</x:v>
      </x:c>
      <x:c r="M5" s="25" t="str">
        <x:v>中</x:v>
      </x:c>
      <x:c r="N5" s="26" t="str">
        <x:v>智能驾驶、自动驾驶</x:v>
      </x:c>
      <x:c r="O5" s="26" t="str">
        <x:v>岗位名称/描述出现“智能驾驶、自动驾驶”，工作环节更贴近“智能驾驶”，因此关联到该节点。</x:v>
      </x:c>
      <x:c r="P5" s="26" t="str">
        <x:v>自动通过</x:v>
      </x:c>
    </x:row>
    <x:row r="6" ht="44" customHeight="1">
      <x:c r="A6" s="27" t="str">
        <x:v>REL000003</x:v>
      </x:c>
      <x:c r="B6" s="25" t="n">
        <x:v>10897</x:v>
      </x:c>
      <x:c r="C6" s="27" t="str">
        <x:v>IC-L3-154</x:v>
      </x:c>
      <x:c r="D6" s="25" t="str">
        <x:v>机器学习工程师</x:v>
      </x:c>
      <x:c r="E6" s="27" t="str">
        <x:v>2-02-38-01</x:v>
      </x:c>
      <x:c r="F6" s="25" t="str">
        <x:v>人工智能工程技术人员</x:v>
      </x:c>
      <x:c r="G6" s="27" t="str">
        <x:v>IC15</x:v>
      </x:c>
      <x:c r="H6" s="25" t="str">
        <x:v>人工智能产业链</x:v>
      </x:c>
      <x:c r="I6" s="25" t="str">
        <x:v>上游</x:v>
      </x:c>
      <x:c r="J6" s="27" t="str">
        <x:v>ICN043</x:v>
      </x:c>
      <x:c r="K6" s="25" t="str">
        <x:v>数据、算力与模型基础</x:v>
      </x:c>
      <x:c r="L6" s="28" t="n">
        <x:v>79</x:v>
      </x:c>
      <x:c r="M6" s="25" t="str">
        <x:v>中</x:v>
      </x:c>
      <x:c r="N6" s="26" t="str">
        <x:v>机器学习、人工智能、数据、训练</x:v>
      </x:c>
      <x:c r="O6" s="26" t="str">
        <x:v>岗位名称/描述出现“机器学习、人工智能”，工作环节更贴近“机器学习、数据、训练”，因此关联到该节点。</x:v>
      </x:c>
      <x:c r="P6" s="26" t="str">
        <x:v>自动通过</x:v>
      </x:c>
    </x:row>
    <x:row r="7" ht="44" customHeight="1">
      <x:c r="A7" s="27" t="str">
        <x:v>REL000004</x:v>
      </x:c>
      <x:c r="B7" s="25" t="n">
        <x:v>10898</x:v>
      </x:c>
      <x:c r="C7" s="27" t="str">
        <x:v>IC-L3-155</x:v>
      </x:c>
      <x:c r="D7" s="25" t="str">
        <x:v>机器视觉工程师</x:v>
      </x:c>
      <x:c r="E7" s="27" t="str">
        <x:v>2-02-38-01</x:v>
      </x:c>
      <x:c r="F7" s="25" t="str">
        <x:v>人工智能工程技术人员</x:v>
      </x:c>
      <x:c r="G7" s="27" t="str">
        <x:v>IC15</x:v>
      </x:c>
      <x:c r="H7" s="25" t="str">
        <x:v>人工智能产业链</x:v>
      </x:c>
      <x:c r="I7" s="25" t="str">
        <x:v>中游</x:v>
      </x:c>
      <x:c r="J7" s="27" t="str">
        <x:v>ICN044</x:v>
      </x:c>
      <x:c r="K7" s="25" t="str">
        <x:v>智能感知、语音视觉与平台工具</x:v>
      </x:c>
      <x:c r="L7" s="28" t="n">
        <x:v>84</x:v>
      </x:c>
      <x:c r="M7" s="25" t="str">
        <x:v>高</x:v>
      </x:c>
      <x:c r="N7" s="26" t="str">
        <x:v>机器视觉、人工智能、深度学习、图像识别、图像</x:v>
      </x:c>
      <x:c r="O7" s="26" t="str">
        <x:v>岗位名称/描述出现“机器视觉、人工智能、深度学习、图像识别”，工作环节更贴近“机器视觉、图像”，因此关联到该节点。</x:v>
      </x:c>
      <x:c r="P7" s="26" t="str">
        <x:v>自动通过</x:v>
      </x:c>
    </x:row>
    <x:row r="8" ht="44" customHeight="1">
      <x:c r="A8" s="27" t="str">
        <x:v>REL000005</x:v>
      </x:c>
      <x:c r="B8" s="25" t="n">
        <x:v>10899</x:v>
      </x:c>
      <x:c r="C8" s="27" t="str">
        <x:v>IC-L3-156</x:v>
      </x:c>
      <x:c r="D8" s="25" t="str">
        <x:v>深度学习工程师</x:v>
      </x:c>
      <x:c r="E8" s="27" t="str">
        <x:v>2-02-38-01</x:v>
      </x:c>
      <x:c r="F8" s="25" t="str">
        <x:v>人工智能工程技术人员</x:v>
      </x:c>
      <x:c r="G8" s="27" t="str">
        <x:v>IC15</x:v>
      </x:c>
      <x:c r="H8" s="25" t="str">
        <x:v>人工智能产业链</x:v>
      </x:c>
      <x:c r="I8" s="25" t="str">
        <x:v>上游</x:v>
      </x:c>
      <x:c r="J8" s="27" t="str">
        <x:v>ICN043</x:v>
      </x:c>
      <x:c r="K8" s="25" t="str">
        <x:v>数据、算力与模型基础</x:v>
      </x:c>
      <x:c r="L8" s="28" t="n">
        <x:v>82</x:v>
      </x:c>
      <x:c r="M8" s="25" t="str">
        <x:v>高</x:v>
      </x:c>
      <x:c r="N8" s="26" t="str">
        <x:v>深度学习、人工智能、机器学习、数据、训练</x:v>
      </x:c>
      <x:c r="O8" s="26" t="str">
        <x:v>岗位名称/描述出现“深度学习、人工智能、机器学习”，工作环节更贴近“深度学习、数据、训练、机器学习”，因此关联到该节点。</x:v>
      </x:c>
      <x:c r="P8" s="26" t="str">
        <x:v>自动通过</x:v>
      </x:c>
    </x:row>
    <x:row r="9" ht="44" customHeight="1">
      <x:c r="A9" s="27" t="str">
        <x:v>REL000006</x:v>
      </x:c>
      <x:c r="B9" s="25" t="n">
        <x:v>10900</x:v>
      </x:c>
      <x:c r="C9" s="27" t="str">
        <x:v>IC-L3-157</x:v>
      </x:c>
      <x:c r="D9" s="25" t="str">
        <x:v>算法工程师</x:v>
      </x:c>
      <x:c r="E9" s="27" t="str">
        <x:v>2-02-38-01</x:v>
      </x:c>
      <x:c r="F9" s="25" t="str">
        <x:v>人工智能工程技术人员</x:v>
      </x:c>
      <x:c r="G9" s="27" t="str">
        <x:v>IC15</x:v>
      </x:c>
      <x:c r="H9" s="25" t="str">
        <x:v>人工智能产业链</x:v>
      </x:c>
      <x:c r="I9" s="25" t="str">
        <x:v>中游</x:v>
      </x:c>
      <x:c r="J9" s="27" t="str">
        <x:v>ICN044</x:v>
      </x:c>
      <x:c r="K9" s="25" t="str">
        <x:v>智能感知、语音视觉与平台工具</x:v>
      </x:c>
      <x:c r="L9" s="28" t="n">
        <x:v>86</x:v>
      </x:c>
      <x:c r="M9" s="25" t="str">
        <x:v>高</x:v>
      </x:c>
      <x:c r="N9" s="26" t="str">
        <x:v>算法工程、人工智能、机器学习、深度学习、图像识别、图像</x:v>
      </x:c>
      <x:c r="O9" s="26" t="str">
        <x:v>岗位名称/描述出现“算法工程、人工智能、机器学习、深度学习、图像识别”，工作环节更贴近“算法工程、图像”，因此关联到该节点。</x:v>
      </x:c>
      <x:c r="P9" s="26" t="str">
        <x:v>自动通过</x:v>
      </x:c>
    </x:row>
    <x:row r="10" ht="44" customHeight="1">
      <x:c r="A10" s="27" t="str">
        <x:v>REL000007</x:v>
      </x:c>
      <x:c r="B10" s="25" t="n">
        <x:v>10901</x:v>
      </x:c>
      <x:c r="C10" s="27" t="str">
        <x:v>IC-L3-158</x:v>
      </x:c>
      <x:c r="D10" s="25" t="str">
        <x:v>自然语言处理</x:v>
      </x:c>
      <x:c r="E10" s="27" t="str">
        <x:v>2-02-38-01</x:v>
      </x:c>
      <x:c r="F10" s="25" t="str">
        <x:v>人工智能工程技术人员</x:v>
      </x:c>
      <x:c r="G10" s="27" t="str">
        <x:v>IC15</x:v>
      </x:c>
      <x:c r="H10" s="25" t="str">
        <x:v>人工智能产业链</x:v>
      </x:c>
      <x:c r="I10" s="25" t="str">
        <x:v>中游</x:v>
      </x:c>
      <x:c r="J10" s="27" t="str">
        <x:v>ICN044</x:v>
      </x:c>
      <x:c r="K10" s="25" t="str">
        <x:v>智能感知、语音视觉与平台工具</x:v>
      </x:c>
      <x:c r="L10" s="28" t="n">
        <x:v>79</x:v>
      </x:c>
      <x:c r="M10" s="25" t="str">
        <x:v>中</x:v>
      </x:c>
      <x:c r="N10" s="26" t="str">
        <x:v>自然语言处理、人工智能、自然语言</x:v>
      </x:c>
      <x:c r="O10" s="26" t="str">
        <x:v>岗位名称/描述出现“自然语言处理、人工智能”，工作环节更贴近“自然语言”，因此关联到该节点。</x:v>
      </x:c>
      <x:c r="P10" s="26" t="str">
        <x:v>自动通过</x:v>
      </x:c>
    </x:row>
    <x:row r="11" ht="44" customHeight="1">
      <x:c r="A11" s="27" t="str">
        <x:v>REL000008</x:v>
      </x:c>
      <x:c r="B11" s="25" t="n">
        <x:v>10902</x:v>
      </x:c>
      <x:c r="C11" s="27" t="str">
        <x:v>IC-L3-159</x:v>
      </x:c>
      <x:c r="D11" s="25" t="str">
        <x:v>语音识别工程师</x:v>
      </x:c>
      <x:c r="E11" s="27" t="str">
        <x:v>2-02-38-01</x:v>
      </x:c>
      <x:c r="F11" s="25" t="str">
        <x:v>人工智能工程技术人员</x:v>
      </x:c>
      <x:c r="G11" s="27" t="str">
        <x:v>IC15</x:v>
      </x:c>
      <x:c r="H11" s="25" t="str">
        <x:v>人工智能产业链</x:v>
      </x:c>
      <x:c r="I11" s="25" t="str">
        <x:v>中游</x:v>
      </x:c>
      <x:c r="J11" s="27" t="str">
        <x:v>ICN044</x:v>
      </x:c>
      <x:c r="K11" s="25" t="str">
        <x:v>智能感知、语音视觉与平台工具</x:v>
      </x:c>
      <x:c r="L11" s="28" t="n">
        <x:v>79</x:v>
      </x:c>
      <x:c r="M11" s="25" t="str">
        <x:v>中</x:v>
      </x:c>
      <x:c r="N11" s="26" t="str">
        <x:v>语音识别、人工智能</x:v>
      </x:c>
      <x:c r="O11" s="26" t="str">
        <x:v>岗位名称/描述出现“语音识别、人工智能”，工作环节更贴近“语音识别”，因此关联到该节点。</x:v>
      </x:c>
      <x:c r="P11" s="26" t="str">
        <x:v>自动通过</x:v>
      </x:c>
    </x:row>
    <x:row r="12" ht="44" customHeight="1">
      <x:c r="A12" s="27" t="str">
        <x:v>REL000009</x:v>
      </x:c>
      <x:c r="B12" s="25" t="n">
        <x:v>10903</x:v>
      </x:c>
      <x:c r="C12" s="27" t="str">
        <x:v>IC-L3-160</x:v>
      </x:c>
      <x:c r="D12" s="25" t="str">
        <x:v>U3D前端/移动开发</x:v>
      </x:c>
      <x:c r="E12" s="27" t="str">
        <x:v>2-02-10-03</x:v>
      </x:c>
      <x:c r="F12" s="25" t="str">
        <x:v>计算机软件工程技术人员</x:v>
      </x:c>
      <x:c r="G12" s="27" t="str">
        <x:v>IC18</x:v>
      </x:c>
      <x:c r="H12" s="25" t="str">
        <x:v>新型显示与虚拟现实产业链</x:v>
      </x:c>
      <x:c r="I12" s="25" t="str">
        <x:v>下游</x:v>
      </x:c>
      <x:c r="J12" s="27" t="str">
        <x:v>ICN054</x:v>
      </x:c>
      <x:c r="K12" s="25" t="str">
        <x:v>沉浸式内容、行业应用与消费场景</x:v>
      </x:c>
      <x:c r="L12" s="28" t="n">
        <x:v>83</x:v>
      </x:c>
      <x:c r="M12" s="25" t="str">
        <x:v>高</x:v>
      </x:c>
      <x:c r="N12" s="26" t="str">
        <x:v>u3d、虚拟现实、unity、游戏、3d</x:v>
      </x:c>
      <x:c r="O12" s="26" t="str">
        <x:v>岗位名称/描述出现“u3d、虚拟现实、unity、游戏”，工作环节更贴近“u3d、虚拟现实、游戏、unity、3d”，因此关联到该节点。</x:v>
      </x:c>
      <x:c r="P12" s="26" t="str">
        <x:v>自动通过</x:v>
      </x:c>
    </x:row>
    <x:row r="13" ht="44" customHeight="1">
      <x:c r="A13" s="27" t="str">
        <x:v>REL000010</x:v>
      </x:c>
      <x:c r="B13" s="25" t="n">
        <x:v>10903</x:v>
      </x:c>
      <x:c r="C13" s="27" t="str">
        <x:v>IC-L3-160</x:v>
      </x:c>
      <x:c r="D13" s="25" t="str">
        <x:v>U3D前端/移动开发</x:v>
      </x:c>
      <x:c r="E13" s="27" t="str">
        <x:v>2-02-10-03</x:v>
      </x:c>
      <x:c r="F13" s="25" t="str">
        <x:v>计算机软件工程技术人员</x:v>
      </x:c>
      <x:c r="G13" s="27" t="str">
        <x:v>IC19</x:v>
      </x:c>
      <x:c r="H13" s="25" t="str">
        <x:v>软件与数字安全产业链</x:v>
      </x:c>
      <x:c r="I13" s="25" t="str">
        <x:v>中游</x:v>
      </x:c>
      <x:c r="J13" s="27" t="str">
        <x:v>ICN056</x:v>
      </x:c>
      <x:c r="K13" s="25" t="str">
        <x:v>应用软件、区块链平台与安全产品</x:v>
      </x:c>
      <x:c r="L13" s="28" t="n">
        <x:v>82</x:v>
      </x:c>
      <x:c r="M13" s="25" t="str">
        <x:v>高</x:v>
      </x:c>
      <x:c r="N13" s="26" t="str">
        <x:v>前端、软件、互联网技术、程序</x:v>
      </x:c>
      <x:c r="O13" s="26" t="str">
        <x:v>岗位名称/描述出现“前端、软件、互联网技术”，工作环节更贴近“前端、程序”，因此关联到该节点。</x:v>
      </x:c>
      <x:c r="P13" s="26" t="str">
        <x:v>自动通过</x:v>
      </x:c>
    </x:row>
    <x:row r="14" ht="44" customHeight="1">
      <x:c r="A14" s="27" t="str">
        <x:v>REL000011</x:v>
      </x:c>
      <x:c r="B14" s="25" t="n">
        <x:v>10904</x:v>
      </x:c>
      <x:c r="C14" s="27" t="str">
        <x:v>IC-L3-161</x:v>
      </x:c>
      <x:c r="D14" s="25" t="str">
        <x:v>UE4前端/移动开发</x:v>
      </x:c>
      <x:c r="E14" s="27" t="str">
        <x:v>2-02-10-03</x:v>
      </x:c>
      <x:c r="F14" s="25" t="str">
        <x:v>计算机软件工程技术人员</x:v>
      </x:c>
      <x:c r="G14" s="27" t="str">
        <x:v>IC18</x:v>
      </x:c>
      <x:c r="H14" s="25" t="str">
        <x:v>新型显示与虚拟现实产业链</x:v>
      </x:c>
      <x:c r="I14" s="25" t="str">
        <x:v>下游</x:v>
      </x:c>
      <x:c r="J14" s="27" t="str">
        <x:v>ICN054</x:v>
      </x:c>
      <x:c r="K14" s="25" t="str">
        <x:v>沉浸式内容、行业应用与消费场景</x:v>
      </x:c>
      <x:c r="L14" s="28" t="n">
        <x:v>85</x:v>
      </x:c>
      <x:c r="M14" s="25" t="str">
        <x:v>高</x:v>
      </x:c>
      <x:c r="N14" s="26" t="str">
        <x:v>ue4、虚拟现实、增强现实、unreal、游戏</x:v>
      </x:c>
      <x:c r="O14" s="26" t="str">
        <x:v>岗位名称/描述出现“ue4、虚拟现实、增强现实、unreal、游戏”，工作环节更贴近“ue4、虚拟现实、增强现实、游戏、unreal”，因此关联到该节点。</x:v>
      </x:c>
      <x:c r="P14" s="26" t="str">
        <x:v>自动通过</x:v>
      </x:c>
    </x:row>
    <x:row r="15" ht="44" customHeight="1">
      <x:c r="A15" s="27" t="str">
        <x:v>REL000012</x:v>
      </x:c>
      <x:c r="B15" s="25" t="n">
        <x:v>10904</x:v>
      </x:c>
      <x:c r="C15" s="27" t="str">
        <x:v>IC-L3-161</x:v>
      </x:c>
      <x:c r="D15" s="25" t="str">
        <x:v>UE4前端/移动开发</x:v>
      </x:c>
      <x:c r="E15" s="27" t="str">
        <x:v>2-02-10-03</x:v>
      </x:c>
      <x:c r="F15" s="25" t="str">
        <x:v>计算机软件工程技术人员</x:v>
      </x:c>
      <x:c r="G15" s="27" t="str">
        <x:v>IC19</x:v>
      </x:c>
      <x:c r="H15" s="25" t="str">
        <x:v>软件与数字安全产业链</x:v>
      </x:c>
      <x:c r="I15" s="25" t="str">
        <x:v>中游</x:v>
      </x:c>
      <x:c r="J15" s="27" t="str">
        <x:v>ICN056</x:v>
      </x:c>
      <x:c r="K15" s="25" t="str">
        <x:v>应用软件、区块链平台与安全产品</x:v>
      </x:c>
      <x:c r="L15" s="28" t="n">
        <x:v>82</x:v>
      </x:c>
      <x:c r="M15" s="25" t="str">
        <x:v>高</x:v>
      </x:c>
      <x:c r="N15" s="26" t="str">
        <x:v>前端、软件、互联网技术、后端</x:v>
      </x:c>
      <x:c r="O15" s="26" t="str">
        <x:v>岗位名称/描述出现“前端、软件、互联网技术、后端”，工作环节更贴近“前端、后端”，因此关联到该节点。</x:v>
      </x:c>
      <x:c r="P15" s="26" t="str">
        <x:v>自动通过</x:v>
      </x:c>
    </x:row>
    <x:row r="16" ht="44" customHeight="1">
      <x:c r="A16" s="27" t="str">
        <x:v>REL000013</x:v>
      </x:c>
      <x:c r="B16" s="25" t="n">
        <x:v>10905</x:v>
      </x:c>
      <x:c r="C16" s="27" t="str">
        <x:v>IC-L3-162</x:v>
      </x:c>
      <x:c r="D16" s="25" t="str">
        <x:v>android前端/移动开发</x:v>
      </x:c>
      <x:c r="E16" s="27" t="str">
        <x:v>2-02-10-03</x:v>
      </x:c>
      <x:c r="F16" s="25" t="str">
        <x:v>计算机软件工程技术人员</x:v>
      </x:c>
      <x:c r="G16" s="27" t="str">
        <x:v>IC19</x:v>
      </x:c>
      <x:c r="H16" s="25" t="str">
        <x:v>软件与数字安全产业链</x:v>
      </x:c>
      <x:c r="I16" s="25" t="str">
        <x:v>中游</x:v>
      </x:c>
      <x:c r="J16" s="27" t="str">
        <x:v>ICN056</x:v>
      </x:c>
      <x:c r="K16" s="25" t="str">
        <x:v>应用软件、区块链平台与安全产品</x:v>
      </x:c>
      <x:c r="L16" s="28" t="n">
        <x:v>94</x:v>
      </x:c>
      <x:c r="M16" s="25" t="str">
        <x:v>高</x:v>
      </x:c>
      <x:c r="N16" s="26" t="str">
        <x:v>前端、android、软件、互联网技术、程序</x:v>
      </x:c>
      <x:c r="O16" s="26" t="str">
        <x:v>岗位名称/描述出现“前端、android、软件、互联网技术”，工作环节更贴近“前端、程序”，因此关联到该节点。</x:v>
      </x:c>
      <x:c r="P16" s="26" t="str">
        <x:v>自动通过</x:v>
      </x:c>
    </x:row>
    <x:row r="17" ht="44" customHeight="1">
      <x:c r="A17" s="27" t="str">
        <x:v>REL000014</x:v>
      </x:c>
      <x:c r="B17" s="25" t="n">
        <x:v>10906</x:v>
      </x:c>
      <x:c r="C17" s="27" t="str">
        <x:v>IC-L3-163</x:v>
      </x:c>
      <x:c r="D17" s="25" t="str">
        <x:v>cocos前端/移动开发</x:v>
      </x:c>
      <x:c r="E17" s="27" t="str">
        <x:v>2-02-10-03</x:v>
      </x:c>
      <x:c r="F17" s="25" t="str">
        <x:v>计算机软件工程技术人员</x:v>
      </x:c>
      <x:c r="G17" s="27" t="str">
        <x:v>IC19</x:v>
      </x:c>
      <x:c r="H17" s="25" t="str">
        <x:v>软件与数字安全产业链</x:v>
      </x:c>
      <x:c r="I17" s="25" t="str">
        <x:v>中游</x:v>
      </x:c>
      <x:c r="J17" s="27" t="str">
        <x:v>ICN056</x:v>
      </x:c>
      <x:c r="K17" s="25" t="str">
        <x:v>应用软件、区块链平台与安全产品</x:v>
      </x:c>
      <x:c r="L17" s="28" t="n">
        <x:v>83</x:v>
      </x:c>
      <x:c r="M17" s="25" t="str">
        <x:v>高</x:v>
      </x:c>
      <x:c r="N17" s="26" t="str">
        <x:v>前端、软件、互联网技术、后端、程序</x:v>
      </x:c>
      <x:c r="O17" s="26" t="str">
        <x:v>岗位名称/描述出现“前端、软件、互联网技术、后端”，工作环节更贴近“前端、后端、程序”，因此关联到该节点。</x:v>
      </x:c>
      <x:c r="P17" s="26" t="str">
        <x:v>自动通过</x:v>
      </x:c>
    </x:row>
    <x:row r="18" ht="44" customHeight="1">
      <x:c r="A18" s="27" t="str">
        <x:v>REL000015</x:v>
      </x:c>
      <x:c r="B18" s="25" t="n">
        <x:v>10906</x:v>
      </x:c>
      <x:c r="C18" s="27" t="str">
        <x:v>IC-L3-163</x:v>
      </x:c>
      <x:c r="D18" s="25" t="str">
        <x:v>cocos前端/移动开发</x:v>
      </x:c>
      <x:c r="E18" s="27" t="str">
        <x:v>2-02-10-03</x:v>
      </x:c>
      <x:c r="F18" s="25" t="str">
        <x:v>计算机软件工程技术人员</x:v>
      </x:c>
      <x:c r="G18" s="27" t="str">
        <x:v>IC18</x:v>
      </x:c>
      <x:c r="H18" s="25" t="str">
        <x:v>新型显示与虚拟现实产业链</x:v>
      </x:c>
      <x:c r="I18" s="25" t="str">
        <x:v>下游</x:v>
      </x:c>
      <x:c r="J18" s="27" t="str">
        <x:v>ICN054</x:v>
      </x:c>
      <x:c r="K18" s="25" t="str">
        <x:v>沉浸式内容、行业应用与消费场景</x:v>
      </x:c>
      <x:c r="L18" s="28" t="n">
        <x:v>82</x:v>
      </x:c>
      <x:c r="M18" s="25" t="str">
        <x:v>高</x:v>
      </x:c>
      <x:c r="N18" s="26" t="str">
        <x:v>cocos、虚拟现实、增强现实、游戏</x:v>
      </x:c>
      <x:c r="O18" s="26" t="str">
        <x:v>岗位名称/描述出现“cocos、虚拟现实、增强现实、游戏”，工作环节更贴近“cocos、虚拟现实、增强现实、游戏”，因此关联到该节点。</x:v>
      </x:c>
      <x:c r="P18" s="26" t="str">
        <x:v>自动通过</x:v>
      </x:c>
    </x:row>
    <x:row r="19" ht="44" customHeight="1">
      <x:c r="A19" s="27" t="str">
        <x:v>REL000016</x:v>
      </x:c>
      <x:c r="B19" s="25" t="n">
        <x:v>10907</x:v>
      </x:c>
      <x:c r="C19" s="27" t="str">
        <x:v>IC-L3-164</x:v>
      </x:c>
      <x:c r="D19" s="25" t="str">
        <x:v>ios前端/移动开发</x:v>
      </x:c>
      <x:c r="E19" s="27" t="str">
        <x:v>2-02-10-03</x:v>
      </x:c>
      <x:c r="F19" s="25" t="str">
        <x:v>计算机软件工程技术人员</x:v>
      </x:c>
      <x:c r="G19" s="27" t="str">
        <x:v>IC19</x:v>
      </x:c>
      <x:c r="H19" s="25" t="str">
        <x:v>软件与数字安全产业链</x:v>
      </x:c>
      <x:c r="I19" s="25" t="str">
        <x:v>中游</x:v>
      </x:c>
      <x:c r="J19" s="27" t="str">
        <x:v>ICN056</x:v>
      </x:c>
      <x:c r="K19" s="25" t="str">
        <x:v>应用软件、区块链平台与安全产品</x:v>
      </x:c>
      <x:c r="L19" s="28" t="n">
        <x:v>85</x:v>
      </x:c>
      <x:c r="M19" s="25" t="str">
        <x:v>高</x:v>
      </x:c>
      <x:c r="N19" s="26" t="str">
        <x:v>前端、软件、互联网技术、后端、程序</x:v>
      </x:c>
      <x:c r="O19" s="26" t="str">
        <x:v>岗位名称/描述出现“前端、软件、互联网技术、后端”，工作环节更贴近“前端、后端、程序”，因此关联到该节点。</x:v>
      </x:c>
      <x:c r="P19" s="26" t="str">
        <x:v>自动通过</x:v>
      </x:c>
    </x:row>
    <x:row r="20" ht="44" customHeight="1">
      <x:c r="A20" s="27" t="str">
        <x:v>REL000017</x:v>
      </x:c>
      <x:c r="B20" s="25" t="n">
        <x:v>10908</x:v>
      </x:c>
      <x:c r="C20" s="27" t="str">
        <x:v>IC-L3-165</x:v>
      </x:c>
      <x:c r="D20" s="25" t="str">
        <x:v>前端开发</x:v>
      </x:c>
      <x:c r="E20" s="27" t="str">
        <x:v>2-02-10-03</x:v>
      </x:c>
      <x:c r="F20" s="25" t="str">
        <x:v>计算机软件工程技术人员</x:v>
      </x:c>
      <x:c r="G20" s="27" t="str">
        <x:v>IC19</x:v>
      </x:c>
      <x:c r="H20" s="25" t="str">
        <x:v>软件与数字安全产业链</x:v>
      </x:c>
      <x:c r="I20" s="25" t="str">
        <x:v>中游</x:v>
      </x:c>
      <x:c r="J20" s="27" t="str">
        <x:v>ICN056</x:v>
      </x:c>
      <x:c r="K20" s="25" t="str">
        <x:v>应用软件、区块链平台与安全产品</x:v>
      </x:c>
      <x:c r="L20" s="28" t="n">
        <x:v>83</x:v>
      </x:c>
      <x:c r="M20" s="25" t="str">
        <x:v>高</x:v>
      </x:c>
      <x:c r="N20" s="26" t="str">
        <x:v>前端、软件、互联网技术、后端、程序</x:v>
      </x:c>
      <x:c r="O20" s="26" t="str">
        <x:v>岗位名称/描述出现“前端、软件、互联网技术、后端”，工作环节更贴近“前端、后端、程序”，因此关联到该节点。</x:v>
      </x:c>
      <x:c r="P20" s="26" t="str">
        <x:v>自动通过</x:v>
      </x:c>
    </x:row>
    <x:row r="21" ht="44" customHeight="1">
      <x:c r="A21" s="27" t="str">
        <x:v>REL000018</x:v>
      </x:c>
      <x:c r="B21" s="25" t="n">
        <x:v>10909</x:v>
      </x:c>
      <x:c r="C21" s="27" t="str">
        <x:v>IC-L3-166</x:v>
      </x:c>
      <x:c r="D21" s="25" t="str">
        <x:v>.NET后端开发</x:v>
      </x:c>
      <x:c r="E21" s="27" t="str">
        <x:v>2-02-10-03</x:v>
      </x:c>
      <x:c r="F21" s="25" t="str">
        <x:v>计算机软件工程技术人员</x:v>
      </x:c>
      <x:c r="G21" s="27" t="str">
        <x:v>IC19</x:v>
      </x:c>
      <x:c r="H21" s="25" t="str">
        <x:v>软件与数字安全产业链</x:v>
      </x:c>
      <x:c r="I21" s="25" t="str">
        <x:v>中游</x:v>
      </x:c>
      <x:c r="J21" s="27" t="str">
        <x:v>ICN056</x:v>
      </x:c>
      <x:c r="K21" s="25" t="str">
        <x:v>应用软件、区块链平台与安全产品</x:v>
      </x:c>
      <x:c r="L21" s="28" t="n">
        <x:v>96</x:v>
      </x:c>
      <x:c r="M21" s="25" t="str">
        <x:v>高</x:v>
      </x:c>
      <x:c r="N21" s="26" t="str">
        <x:v>后端、.net、软件、互联网技术、前端、程序、测试</x:v>
      </x:c>
      <x:c r="O21" s="26" t="str">
        <x:v>岗位名称/描述出现“后端、.net、软件、互联网技术、前端”，工作环节更贴近“后端、前端、程序、测试”，因此关联到该节点。</x:v>
      </x:c>
      <x:c r="P21" s="26" t="str">
        <x:v>自动通过</x:v>
      </x:c>
    </x:row>
    <x:row r="22" ht="44" customHeight="1">
      <x:c r="A22" s="27" t="str">
        <x:v>REL000019</x:v>
      </x:c>
      <x:c r="B22" s="25" t="n">
        <x:v>10910</x:v>
      </x:c>
      <x:c r="C22" s="27" t="str">
        <x:v>IC-L3-167</x:v>
      </x:c>
      <x:c r="D22" s="25" t="str">
        <x:v>C#后端开发</x:v>
      </x:c>
      <x:c r="E22" s="27" t="str">
        <x:v>2-02-10-03</x:v>
      </x:c>
      <x:c r="F22" s="25" t="str">
        <x:v>计算机软件工程技术人员</x:v>
      </x:c>
      <x:c r="G22" s="27" t="str">
        <x:v>IC19</x:v>
      </x:c>
      <x:c r="H22" s="25" t="str">
        <x:v>软件与数字安全产业链</x:v>
      </x:c>
      <x:c r="I22" s="25" t="str">
        <x:v>中游</x:v>
      </x:c>
      <x:c r="J22" s="27" t="str">
        <x:v>ICN056</x:v>
      </x:c>
      <x:c r="K22" s="25" t="str">
        <x:v>应用软件、区块链平台与安全产品</x:v>
      </x:c>
      <x:c r="L22" s="28" t="n">
        <x:v>86</x:v>
      </x:c>
      <x:c r="M22" s="25" t="str">
        <x:v>高</x:v>
      </x:c>
      <x:c r="N22" s="26" t="str">
        <x:v>后端、软件、互联网技术、前端、.net、程序、测试</x:v>
      </x:c>
      <x:c r="O22" s="26" t="str">
        <x:v>岗位名称/描述出现“后端、软件、互联网技术、前端、.net”，工作环节更贴近“后端、前端、程序、测试”，因此关联到该节点。</x:v>
      </x:c>
      <x:c r="P22" s="26" t="str">
        <x:v>自动通过</x:v>
      </x:c>
    </x:row>
    <x:row r="23" ht="44" customHeight="1">
      <x:c r="A23" s="27" t="str">
        <x:v>REL000020</x:v>
      </x:c>
      <x:c r="B23" s="25" t="n">
        <x:v>10911</x:v>
      </x:c>
      <x:c r="C23" s="27" t="str">
        <x:v>IC-L3-168</x:v>
      </x:c>
      <x:c r="D23" s="25" t="str">
        <x:v>C/C++后端开发</x:v>
      </x:c>
      <x:c r="E23" s="27" t="str">
        <x:v>2-02-10-03</x:v>
      </x:c>
      <x:c r="F23" s="25" t="str">
        <x:v>计算机软件工程技术人员</x:v>
      </x:c>
      <x:c r="G23" s="27" t="str">
        <x:v>IC19</x:v>
      </x:c>
      <x:c r="H23" s="25" t="str">
        <x:v>软件与数字安全产业链</x:v>
      </x:c>
      <x:c r="I23" s="25" t="str">
        <x:v>中游</x:v>
      </x:c>
      <x:c r="J23" s="27" t="str">
        <x:v>ICN056</x:v>
      </x:c>
      <x:c r="K23" s="25" t="str">
        <x:v>应用软件、区块链平台与安全产品</x:v>
      </x:c>
      <x:c r="L23" s="28" t="n">
        <x:v>83</x:v>
      </x:c>
      <x:c r="M23" s="25" t="str">
        <x:v>高</x:v>
      </x:c>
      <x:c r="N23" s="26" t="str">
        <x:v>后端、软件、互联网技术、前端、程序</x:v>
      </x:c>
      <x:c r="O23" s="26" t="str">
        <x:v>岗位名称/描述出现“后端、软件、互联网技术、前端”，工作环节更贴近“后端、前端、程序”，因此关联到该节点。</x:v>
      </x:c>
      <x:c r="P23" s="26" t="str">
        <x:v>自动通过</x:v>
      </x:c>
    </x:row>
    <x:row r="24" ht="44" customHeight="1">
      <x:c r="A24" s="27" t="str">
        <x:v>REL000021</x:v>
      </x:c>
      <x:c r="B24" s="25" t="n">
        <x:v>10912</x:v>
      </x:c>
      <x:c r="C24" s="27" t="str">
        <x:v>IC-L3-169</x:v>
      </x:c>
      <x:c r="D24" s="25" t="str">
        <x:v>GIS工程师</x:v>
      </x:c>
      <x:c r="E24" s="27" t="str">
        <x:v>2-02-10-03</x:v>
      </x:c>
      <x:c r="F24" s="25" t="str">
        <x:v>计算机软件工程技术人员</x:v>
      </x:c>
      <x:c r="G24" s="27" t="str">
        <x:v>IC19</x:v>
      </x:c>
      <x:c r="H24" s="25" t="str">
        <x:v>软件与数字安全产业链</x:v>
      </x:c>
      <x:c r="I24" s="25" t="str">
        <x:v>中游</x:v>
      </x:c>
      <x:c r="J24" s="27" t="str">
        <x:v>ICN056</x:v>
      </x:c>
      <x:c r="K24" s="25" t="str">
        <x:v>应用软件、区块链平台与安全产品</x:v>
      </x:c>
      <x:c r="L24" s="28" t="n">
        <x:v>62</x:v>
      </x:c>
      <x:c r="M24" s="25" t="str">
        <x:v>低</x:v>
      </x:c>
      <x:c r="N24" s="26" t="str">
        <x:v>软件、互联网技术、前端、后端</x:v>
      </x:c>
      <x:c r="O24" s="26" t="str">
        <x:v>岗位名称/描述出现“软件、互联网技术、前端、后端”，工作环节更贴近“前端、后端”，因此关联到该节点。</x:v>
      </x:c>
      <x:c r="P24" s="26" t="str">
        <x:v>建议复核</x:v>
      </x:c>
    </x:row>
    <x:row r="25" ht="44" customHeight="1">
      <x:c r="A25" s="27" t="str">
        <x:v>REL000022</x:v>
      </x:c>
      <x:c r="B25" s="25" t="n">
        <x:v>10913</x:v>
      </x:c>
      <x:c r="C25" s="27" t="str">
        <x:v>IC-L3-170</x:v>
      </x:c>
      <x:c r="D25" s="25" t="str">
        <x:v>Golang后端开发</x:v>
      </x:c>
      <x:c r="E25" s="27" t="str">
        <x:v>2-02-10-03</x:v>
      </x:c>
      <x:c r="F25" s="25" t="str">
        <x:v>计算机软件工程技术人员</x:v>
      </x:c>
      <x:c r="G25" s="27" t="str">
        <x:v>IC19</x:v>
      </x:c>
      <x:c r="H25" s="25" t="str">
        <x:v>软件与数字安全产业链</x:v>
      </x:c>
      <x:c r="I25" s="25" t="str">
        <x:v>中游</x:v>
      </x:c>
      <x:c r="J25" s="27" t="str">
        <x:v>ICN056</x:v>
      </x:c>
      <x:c r="K25" s="25" t="str">
        <x:v>应用软件、区块链平台与安全产品</x:v>
      </x:c>
      <x:c r="L25" s="28" t="n">
        <x:v>95</x:v>
      </x:c>
      <x:c r="M25" s="25" t="str">
        <x:v>高</x:v>
      </x:c>
      <x:c r="N25" s="26" t="str">
        <x:v>后端、golang、软件、互联网技术、前端、测试</x:v>
      </x:c>
      <x:c r="O25" s="26" t="str">
        <x:v>岗位名称/描述出现“后端、golang、软件、互联网技术、前端”，工作环节更贴近“后端、前端、测试”，因此关联到该节点。</x:v>
      </x:c>
      <x:c r="P25" s="26" t="str">
        <x:v>自动通过</x:v>
      </x:c>
    </x:row>
    <x:row r="26" ht="44" customHeight="1">
      <x:c r="A26" s="27" t="str">
        <x:v>REL000023</x:v>
      </x:c>
      <x:c r="B26" s="25" t="n">
        <x:v>10914</x:v>
      </x:c>
      <x:c r="C26" s="27" t="str">
        <x:v>IC-L3-171</x:v>
      </x:c>
      <x:c r="D26" s="25" t="str">
        <x:v>Node.js后端开发</x:v>
      </x:c>
      <x:c r="E26" s="27" t="str">
        <x:v>2-02-10-03</x:v>
      </x:c>
      <x:c r="F26" s="25" t="str">
        <x:v>计算机软件工程技术人员</x:v>
      </x:c>
      <x:c r="G26" s="27" t="str">
        <x:v>IC19</x:v>
      </x:c>
      <x:c r="H26" s="25" t="str">
        <x:v>软件与数字安全产业链</x:v>
      </x:c>
      <x:c r="I26" s="25" t="str">
        <x:v>中游</x:v>
      </x:c>
      <x:c r="J26" s="27" t="str">
        <x:v>ICN056</x:v>
      </x:c>
      <x:c r="K26" s="25" t="str">
        <x:v>应用软件、区块链平台与安全产品</x:v>
      </x:c>
      <x:c r="L26" s="28" t="n">
        <x:v>96</x:v>
      </x:c>
      <x:c r="M26" s="25" t="str">
        <x:v>高</x:v>
      </x:c>
      <x:c r="N26" s="26" t="str">
        <x:v>后端、node.js、软件、互联网技术、前端、程序、测试</x:v>
      </x:c>
      <x:c r="O26" s="26" t="str">
        <x:v>岗位名称/描述出现“后端、node.js、软件、互联网技术、前端”，工作环节更贴近“后端、前端、程序、测试”，因此关联到该节点。</x:v>
      </x:c>
      <x:c r="P26" s="26" t="str">
        <x:v>自动通过</x:v>
      </x:c>
    </x:row>
    <x:row r="27" ht="44" customHeight="1">
      <x:c r="A27" s="27" t="str">
        <x:v>REL000024</x:v>
      </x:c>
      <x:c r="B27" s="25" t="n">
        <x:v>10915</x:v>
      </x:c>
      <x:c r="C27" s="27" t="str">
        <x:v>IC-L3-172</x:v>
      </x:c>
      <x:c r="D27" s="25" t="str">
        <x:v>PHP后端开发</x:v>
      </x:c>
      <x:c r="E27" s="27" t="str">
        <x:v>2-02-10-03</x:v>
      </x:c>
      <x:c r="F27" s="25" t="str">
        <x:v>计算机软件工程技术人员</x:v>
      </x:c>
      <x:c r="G27" s="27" t="str">
        <x:v>IC19</x:v>
      </x:c>
      <x:c r="H27" s="25" t="str">
        <x:v>软件与数字安全产业链</x:v>
      </x:c>
      <x:c r="I27" s="25" t="str">
        <x:v>中游</x:v>
      </x:c>
      <x:c r="J27" s="27" t="str">
        <x:v>ICN056</x:v>
      </x:c>
      <x:c r="K27" s="25" t="str">
        <x:v>应用软件、区块链平台与安全产品</x:v>
      </x:c>
      <x:c r="L27" s="28" t="n">
        <x:v>84</x:v>
      </x:c>
      <x:c r="M27" s="25" t="str">
        <x:v>高</x:v>
      </x:c>
      <x:c r="N27" s="26" t="str">
        <x:v>后端、软件、互联网技术、前端、数据库</x:v>
      </x:c>
      <x:c r="O27" s="26" t="str">
        <x:v>岗位名称/描述出现“后端、软件、互联网技术、前端、数据库”，工作环节更贴近“后端、前端”，因此关联到该节点。</x:v>
      </x:c>
      <x:c r="P27" s="26" t="str">
        <x:v>自动通过</x:v>
      </x:c>
    </x:row>
    <x:row r="28" ht="44" customHeight="1">
      <x:c r="A28" s="27" t="str">
        <x:v>REL000025</x:v>
      </x:c>
      <x:c r="B28" s="25" t="n">
        <x:v>10916</x:v>
      </x:c>
      <x:c r="C28" s="27" t="str">
        <x:v>IC-L3-173</x:v>
      </x:c>
      <x:c r="D28" s="25" t="str">
        <x:v>Python后端开发</x:v>
      </x:c>
      <x:c r="E28" s="27" t="str">
        <x:v>2-02-10-03</x:v>
      </x:c>
      <x:c r="F28" s="25" t="str">
        <x:v>计算机软件工程技术人员</x:v>
      </x:c>
      <x:c r="G28" s="27" t="str">
        <x:v>IC19</x:v>
      </x:c>
      <x:c r="H28" s="25" t="str">
        <x:v>软件与数字安全产业链</x:v>
      </x:c>
      <x:c r="I28" s="25" t="str">
        <x:v>中游</x:v>
      </x:c>
      <x:c r="J28" s="27" t="str">
        <x:v>ICN056</x:v>
      </x:c>
      <x:c r="K28" s="25" t="str">
        <x:v>应用软件、区块链平台与安全产品</x:v>
      </x:c>
      <x:c r="L28" s="28" t="n">
        <x:v>95</x:v>
      </x:c>
      <x:c r="M28" s="25" t="str">
        <x:v>高</x:v>
      </x:c>
      <x:c r="N28" s="26" t="str">
        <x:v>后端、python、软件、互联网技术、前端、程序</x:v>
      </x:c>
      <x:c r="O28" s="26" t="str">
        <x:v>岗位名称/描述出现“后端、python、软件、互联网技术、前端”，工作环节更贴近“后端、前端、程序”，因此关联到该节点。</x:v>
      </x:c>
      <x:c r="P28" s="26" t="str">
        <x:v>自动通过</x:v>
      </x:c>
    </x:row>
    <x:row r="29" ht="44" customHeight="1">
      <x:c r="A29" s="27" t="str">
        <x:v>REL000026</x:v>
      </x:c>
      <x:c r="B29" s="25" t="n">
        <x:v>10917</x:v>
      </x:c>
      <x:c r="C29" s="27" t="str">
        <x:v>IC-L3-174</x:v>
      </x:c>
      <x:c r="D29" s="25" t="str">
        <x:v>java后端开发</x:v>
      </x:c>
      <x:c r="E29" s="27" t="str">
        <x:v>2-02-10-03</x:v>
      </x:c>
      <x:c r="F29" s="25" t="str">
        <x:v>计算机软件工程技术人员</x:v>
      </x:c>
      <x:c r="G29" s="27" t="str">
        <x:v>IC19</x:v>
      </x:c>
      <x:c r="H29" s="25" t="str">
        <x:v>软件与数字安全产业链</x:v>
      </x:c>
      <x:c r="I29" s="25" t="str">
        <x:v>中游</x:v>
      </x:c>
      <x:c r="J29" s="27" t="str">
        <x:v>ICN056</x:v>
      </x:c>
      <x:c r="K29" s="25" t="str">
        <x:v>应用软件、区块链平台与安全产品</x:v>
      </x:c>
      <x:c r="L29" s="28" t="n">
        <x:v>96</x:v>
      </x:c>
      <x:c r="M29" s="25" t="str">
        <x:v>高</x:v>
      </x:c>
      <x:c r="N29" s="26" t="str">
        <x:v>后端、java、软件、互联网技术、前端、程序、测试</x:v>
      </x:c>
      <x:c r="O29" s="26" t="str">
        <x:v>岗位名称/描述出现“后端、java、软件、互联网技术、前端”，工作环节更贴近“后端、前端、程序、测试”，因此关联到该节点。</x:v>
      </x:c>
      <x:c r="P29" s="26" t="str">
        <x:v>自动通过</x:v>
      </x:c>
    </x:row>
    <x:row r="30" ht="44" customHeight="1">
      <x:c r="A30" s="27" t="str">
        <x:v>REL000027</x:v>
      </x:c>
      <x:c r="B30" s="25" t="n">
        <x:v>10918</x:v>
      </x:c>
      <x:c r="C30" s="27" t="str">
        <x:v>IC-L3-175</x:v>
      </x:c>
      <x:c r="D30" s="25" t="str">
        <x:v>全栈工程师</x:v>
      </x:c>
      <x:c r="E30" s="27" t="str">
        <x:v>2-02-10-03</x:v>
      </x:c>
      <x:c r="F30" s="25" t="str">
        <x:v>计算机软件工程技术人员</x:v>
      </x:c>
      <x:c r="G30" s="27" t="str">
        <x:v>IC19</x:v>
      </x:c>
      <x:c r="H30" s="25" t="str">
        <x:v>软件与数字安全产业链</x:v>
      </x:c>
      <x:c r="I30" s="25" t="str">
        <x:v>中游</x:v>
      </x:c>
      <x:c r="J30" s="27" t="str">
        <x:v>ICN056</x:v>
      </x:c>
      <x:c r="K30" s="25" t="str">
        <x:v>应用软件、区块链平台与安全产品</x:v>
      </x:c>
      <x:c r="L30" s="28" t="n">
        <x:v>66</x:v>
      </x:c>
      <x:c r="M30" s="25" t="str">
        <x:v>低</x:v>
      </x:c>
      <x:c r="N30" s="26" t="str">
        <x:v>软件、互联网技术、前端、后端、软件开发、测试</x:v>
      </x:c>
      <x:c r="O30" s="26" t="str">
        <x:v>岗位名称/描述出现“软件、互联网技术、前端、后端”，工作环节更贴近“软件开发、前端、后端、测试”，因此关联到该节点。</x:v>
      </x:c>
      <x:c r="P30" s="26" t="str">
        <x:v>建议复核</x:v>
      </x:c>
    </x:row>
    <x:row r="31" ht="44" customHeight="1">
      <x:c r="A31" s="27" t="str">
        <x:v>REL000028</x:v>
      </x:c>
      <x:c r="B31" s="25" t="n">
        <x:v>10919</x:v>
      </x:c>
      <x:c r="C31" s="27" t="str">
        <x:v>IC-L3-176</x:v>
      </x:c>
      <x:c r="D31" s="25" t="str">
        <x:v>区块链开发</x:v>
      </x:c>
      <x:c r="E31" s="27" t="str">
        <x:v>2-02-10-03</x:v>
      </x:c>
      <x:c r="F31" s="25" t="str">
        <x:v>计算机软件工程技术人员</x:v>
      </x:c>
      <x:c r="G31" s="27" t="str">
        <x:v>IC19</x:v>
      </x:c>
      <x:c r="H31" s="25" t="str">
        <x:v>软件与数字安全产业链</x:v>
      </x:c>
      <x:c r="I31" s="25" t="str">
        <x:v>中游</x:v>
      </x:c>
      <x:c r="J31" s="27" t="str">
        <x:v>ICN056</x:v>
      </x:c>
      <x:c r="K31" s="25" t="str">
        <x:v>应用软件、区块链平台与安全产品</x:v>
      </x:c>
      <x:c r="L31" s="28" t="n">
        <x:v>80</x:v>
      </x:c>
      <x:c r="M31" s="25" t="str">
        <x:v>中</x:v>
      </x:c>
      <x:c r="N31" s="26" t="str">
        <x:v>区块链、软件、互联网技术、前端、后端、测试、区块链平台</x:v>
      </x:c>
      <x:c r="O31" s="26" t="str">
        <x:v>岗位名称/描述出现“区块链、软件、互联网技术、前端、后端”，工作环节更贴近“前端、后端、测试、区块链平台”，因此关联到该节点。</x:v>
      </x:c>
      <x:c r="P31" s="26" t="str">
        <x:v>自动通过</x:v>
      </x:c>
    </x:row>
    <x:row r="32" ht="44" customHeight="1">
      <x:c r="A32" s="27" t="str">
        <x:v>REL000029</x:v>
      </x:c>
      <x:c r="B32" s="25" t="n">
        <x:v>10920</x:v>
      </x:c>
      <x:c r="C32" s="27" t="str">
        <x:v>IC-L3-177</x:v>
      </x:c>
      <x:c r="D32" s="25" t="str">
        <x:v>数据开发</x:v>
      </x:c>
      <x:c r="E32" s="27" t="str">
        <x:v>2-02-10-03</x:v>
      </x:c>
      <x:c r="F32" s="25" t="str">
        <x:v>计算机软件工程技术人员</x:v>
      </x:c>
      <x:c r="G32" s="27" t="str">
        <x:v>IC01</x:v>
      </x:c>
      <x:c r="H32" s="25" t="str">
        <x:v>数据要素与数字经济产业链</x:v>
      </x:c>
      <x:c r="I32" s="25" t="str">
        <x:v>中游</x:v>
      </x:c>
      <x:c r="J32" s="27" t="str">
        <x:v>ICN002</x:v>
      </x:c>
      <x:c r="K32" s="25" t="str">
        <x:v>数据治理、流通与服务</x:v>
      </x:c>
      <x:c r="L32" s="28" t="n">
        <x:v>80</x:v>
      </x:c>
      <x:c r="M32" s="25" t="str">
        <x:v>中</x:v>
      </x:c>
      <x:c r="N32" s="26" t="str">
        <x:v>数据开发、大数据、数据科学、数据资产</x:v>
      </x:c>
      <x:c r="O32" s="26" t="str">
        <x:v>岗位名称/描述出现“数据开发、大数据、数据科学、数据资产”，工作环节更贴近“数据开发、数据资产”，因此关联到该节点。</x:v>
      </x:c>
      <x:c r="P32" s="26" t="str">
        <x:v>自动通过</x:v>
      </x:c>
    </x:row>
    <x:row r="33" ht="44" customHeight="1">
      <x:c r="A33" s="27" t="str">
        <x:v>REL000030</x:v>
      </x:c>
      <x:c r="B33" s="25" t="n">
        <x:v>10920</x:v>
      </x:c>
      <x:c r="C33" s="27" t="str">
        <x:v>IC-L3-177</x:v>
      </x:c>
      <x:c r="D33" s="25" t="str">
        <x:v>数据开发</x:v>
      </x:c>
      <x:c r="E33" s="27" t="str">
        <x:v>2-02-10-03</x:v>
      </x:c>
      <x:c r="F33" s="25" t="str">
        <x:v>计算机软件工程技术人员</x:v>
      </x:c>
      <x:c r="G33" s="27" t="str">
        <x:v>IC19</x:v>
      </x:c>
      <x:c r="H33" s="25" t="str">
        <x:v>软件与数字安全产业链</x:v>
      </x:c>
      <x:c r="I33" s="25" t="str">
        <x:v>中游</x:v>
      </x:c>
      <x:c r="J33" s="27" t="str">
        <x:v>ICN056</x:v>
      </x:c>
      <x:c r="K33" s="25" t="str">
        <x:v>应用软件、区块链平台与安全产品</x:v>
      </x:c>
      <x:c r="L33" s="28" t="n">
        <x:v>59</x:v>
      </x:c>
      <x:c r="M33" s="25" t="str">
        <x:v>低</x:v>
      </x:c>
      <x:c r="N33" s="26" t="str">
        <x:v>软件、互联网技术、前端</x:v>
      </x:c>
      <x:c r="O33" s="26" t="str">
        <x:v>岗位名称/描述出现“软件、互联网技术、前端”，工作环节更贴近“前端”，因此关联到该节点。</x:v>
      </x:c>
      <x:c r="P33" s="26" t="str">
        <x:v>建议复核</x:v>
      </x:c>
    </x:row>
    <x:row r="34" ht="44" customHeight="1">
      <x:c r="A34" s="27" t="str">
        <x:v>REL000031</x:v>
      </x:c>
      <x:c r="B34" s="25" t="n">
        <x:v>10921</x:v>
      </x:c>
      <x:c r="C34" s="27" t="str">
        <x:v>IC-L3-178</x:v>
      </x:c>
      <x:c r="D34" s="25" t="str">
        <x:v>架构师</x:v>
      </x:c>
      <x:c r="E34" s="27" t="str">
        <x:v>2-02-10-03</x:v>
      </x:c>
      <x:c r="F34" s="25" t="str">
        <x:v>计算机软件工程技术人员</x:v>
      </x:c>
      <x:c r="G34" s="27" t="str">
        <x:v>IC19</x:v>
      </x:c>
      <x:c r="H34" s="25" t="str">
        <x:v>软件与数字安全产业链</x:v>
      </x:c>
      <x:c r="I34" s="25" t="str">
        <x:v>中游</x:v>
      </x:c>
      <x:c r="J34" s="27" t="str">
        <x:v>ICN056</x:v>
      </x:c>
      <x:c r="K34" s="25" t="str">
        <x:v>应用软件、区块链平台与安全产品</x:v>
      </x:c>
      <x:c r="L34" s="28" t="n">
        <x:v>65</x:v>
      </x:c>
      <x:c r="M34" s="25" t="str">
        <x:v>低</x:v>
      </x:c>
      <x:c r="N34" s="26" t="str">
        <x:v>软件、互联网技术、前端、后端、程序</x:v>
      </x:c>
      <x:c r="O34" s="26" t="str">
        <x:v>岗位名称/描述出现“软件、互联网技术、前端、后端”，工作环节更贴近“前端、后端、程序”，因此关联到该节点。</x:v>
      </x:c>
      <x:c r="P34" s="26" t="str">
        <x:v>建议复核</x:v>
      </x:c>
    </x:row>
    <x:row r="35" ht="44" customHeight="1">
      <x:c r="A35" s="27" t="str">
        <x:v>REL000032</x:v>
      </x:c>
      <x:c r="B35" s="25" t="n">
        <x:v>10922</x:v>
      </x:c>
      <x:c r="C35" s="27" t="str">
        <x:v>IC-L3-179</x:v>
      </x:c>
      <x:c r="D35" s="25" t="str">
        <x:v>语音/视频/图形开发</x:v>
      </x:c>
      <x:c r="E35" s="27" t="str">
        <x:v>2-02-10-03</x:v>
      </x:c>
      <x:c r="F35" s="25" t="str">
        <x:v>计算机软件工程技术人员</x:v>
      </x:c>
      <x:c r="G35" s="27" t="str">
        <x:v>IC19</x:v>
      </x:c>
      <x:c r="H35" s="25" t="str">
        <x:v>软件与数字安全产业链</x:v>
      </x:c>
      <x:c r="I35" s="25" t="str">
        <x:v>中游</x:v>
      </x:c>
      <x:c r="J35" s="27" t="str">
        <x:v>ICN056</x:v>
      </x:c>
      <x:c r="K35" s="25" t="str">
        <x:v>应用软件、区块链平台与安全产品</x:v>
      </x:c>
      <x:c r="L35" s="28" t="n">
        <x:v>59</x:v>
      </x:c>
      <x:c r="M35" s="25" t="str">
        <x:v>低</x:v>
      </x:c>
      <x:c r="N35" s="26" t="str">
        <x:v>软件、互联网技术、前端</x:v>
      </x:c>
      <x:c r="O35" s="26" t="str">
        <x:v>岗位名称/描述出现“软件、互联网技术、前端”，工作环节更贴近“前端”，因此关联到该节点。</x:v>
      </x:c>
      <x:c r="P35" s="26" t="str">
        <x:v>建议复核</x:v>
      </x:c>
    </x:row>
    <x:row r="36" ht="44" customHeight="1">
      <x:c r="A36" s="27" t="str">
        <x:v>REL000033</x:v>
      </x:c>
      <x:c r="B36" s="25" t="n">
        <x:v>10923</x:v>
      </x:c>
      <x:c r="C36" s="27" t="str">
        <x:v>IC-L3-180</x:v>
      </x:c>
      <x:c r="D36" s="25" t="str">
        <x:v>软件工程师</x:v>
      </x:c>
      <x:c r="E36" s="27" t="str">
        <x:v>2-02-10-03</x:v>
      </x:c>
      <x:c r="F36" s="25" t="str">
        <x:v>计算机软件工程技术人员</x:v>
      </x:c>
      <x:c r="G36" s="27" t="str">
        <x:v>IC19</x:v>
      </x:c>
      <x:c r="H36" s="25" t="str">
        <x:v>软件与数字安全产业链</x:v>
      </x:c>
      <x:c r="I36" s="25" t="str">
        <x:v>中游</x:v>
      </x:c>
      <x:c r="J36" s="27" t="str">
        <x:v>ICN056</x:v>
      </x:c>
      <x:c r="K36" s="25" t="str">
        <x:v>应用软件、区块链平台与安全产品</x:v>
      </x:c>
      <x:c r="L36" s="28" t="n">
        <x:v>83</x:v>
      </x:c>
      <x:c r="M36" s="25" t="str">
        <x:v>高</x:v>
      </x:c>
      <x:c r="N36" s="26" t="str">
        <x:v>软件、互联网技术、前端、后端、软件测试、软件开发、程序、测试</x:v>
      </x:c>
      <x:c r="O36" s="26" t="str">
        <x:v>岗位名称/描述出现“软件、互联网技术、前端、后端、软件测试”，工作环节更贴近“软件开发、前端、后端、程序、测试”，因此关联到该节点。</x:v>
      </x:c>
      <x:c r="P36" s="26" t="str">
        <x:v>自动通过</x:v>
      </x:c>
    </x:row>
    <x:row r="37" ht="44" customHeight="1">
      <x:c r="A37" s="27" t="str">
        <x:v>REL000034</x:v>
      </x:c>
      <x:c r="B37" s="25" t="n">
        <x:v>10925</x:v>
      </x:c>
      <x:c r="C37" s="27" t="str">
        <x:v>IC-L3-182</x:v>
      </x:c>
      <x:c r="D37" s="25" t="str">
        <x:v>鸿蒙系统开发工程师</x:v>
      </x:c>
      <x:c r="E37" s="27" t="str">
        <x:v>2-02-10-03</x:v>
      </x:c>
      <x:c r="F37" s="25" t="str">
        <x:v>计算机软件工程技术人员</x:v>
      </x:c>
      <x:c r="G37" s="27" t="str">
        <x:v>IC19</x:v>
      </x:c>
      <x:c r="H37" s="25" t="str">
        <x:v>软件与数字安全产业链</x:v>
      </x:c>
      <x:c r="I37" s="25" t="str">
        <x:v>中游</x:v>
      </x:c>
      <x:c r="J37" s="27" t="str">
        <x:v>ICN056</x:v>
      </x:c>
      <x:c r="K37" s="25" t="str">
        <x:v>应用软件、区块链平台与安全产品</x:v>
      </x:c>
      <x:c r="L37" s="28" t="n">
        <x:v>62</x:v>
      </x:c>
      <x:c r="M37" s="25" t="str">
        <x:v>低</x:v>
      </x:c>
      <x:c r="N37" s="26" t="str">
        <x:v>软件、操作系统、java、程序、测试</x:v>
      </x:c>
      <x:c r="O37" s="26" t="str">
        <x:v>岗位名称/描述出现“软件、操作系统、java”，工作环节更贴近“程序、测试”，因此关联到该节点。</x:v>
      </x:c>
      <x:c r="P37" s="26" t="str">
        <x:v>建议复核</x:v>
      </x:c>
    </x:row>
    <x:row r="38" ht="44" customHeight="1">
      <x:c r="A38" s="27" t="str">
        <x:v>REL000035</x:v>
      </x:c>
      <x:c r="B38" s="25" t="n">
        <x:v>10929</x:v>
      </x:c>
      <x:c r="C38" s="27" t="str">
        <x:v>IC-L3-186</x:v>
      </x:c>
      <x:c r="D38" s="25" t="str">
        <x:v>测试经理</x:v>
      </x:c>
      <x:c r="E38" s="27" t="str">
        <x:v>2-02-10-03</x:v>
      </x:c>
      <x:c r="F38" s="25" t="str">
        <x:v>计算机软件工程技术人员</x:v>
      </x:c>
      <x:c r="G38" s="27" t="str">
        <x:v>IC19</x:v>
      </x:c>
      <x:c r="H38" s="25" t="str">
        <x:v>软件与数字安全产业链</x:v>
      </x:c>
      <x:c r="I38" s="25" t="str">
        <x:v>中游</x:v>
      </x:c>
      <x:c r="J38" s="27" t="str">
        <x:v>ICN056</x:v>
      </x:c>
      <x:c r="K38" s="25" t="str">
        <x:v>应用软件、区块链平台与安全产品</x:v>
      </x:c>
      <x:c r="L38" s="28" t="n">
        <x:v>66</x:v>
      </x:c>
      <x:c r="M38" s="25" t="str">
        <x:v>低</x:v>
      </x:c>
      <x:c r="N38" s="26" t="str">
        <x:v>软件、互联网技术、测试、产品开发</x:v>
      </x:c>
      <x:c r="O38" s="26" t="str">
        <x:v>岗位名称/描述出现“软件、互联网技术”，工作环节更贴近“测试、产品开发”，因此关联到该节点。</x:v>
      </x:c>
      <x:c r="P38" s="26" t="str">
        <x:v>建议复核</x:v>
      </x:c>
    </x:row>
    <x:row r="39" ht="44" customHeight="1">
      <x:c r="A39" s="27" t="str">
        <x:v>REL000036</x:v>
      </x:c>
      <x:c r="B39" s="25" t="n">
        <x:v>10930</x:v>
      </x:c>
      <x:c r="C39" s="27" t="str">
        <x:v>IC-L3-187</x:v>
      </x:c>
      <x:c r="D39" s="25" t="str">
        <x:v>网络工程师</x:v>
      </x:c>
      <x:c r="E39" s="27" t="str">
        <x:v>2-02-10-01</x:v>
      </x:c>
      <x:c r="F39" s="25" t="str">
        <x:v>通信工程技术人员</x:v>
      </x:c>
      <x:c r="G39" s="27" t="str">
        <x:v>IC10</x:v>
      </x:c>
      <x:c r="H39" s="25" t="str">
        <x:v>新一代信息基础设施产业链</x:v>
      </x:c>
      <x:c r="I39" s="25" t="str">
        <x:v>中游</x:v>
      </x:c>
      <x:c r="J39" s="27" t="str">
        <x:v>ICN029</x:v>
      </x:c>
      <x:c r="K39" s="25" t="str">
        <x:v>5G网络、数据中心与云边平台</x:v>
      </x:c>
      <x:c r="L39" s="28" t="n">
        <x:v>76</x:v>
      </x:c>
      <x:c r="M39" s="25" t="str">
        <x:v>中</x:v>
      </x:c>
      <x:c r="N39" s="26" t="str">
        <x:v>网络工程、通信、云计算、网络架构、部署、架构</x:v>
      </x:c>
      <x:c r="O39" s="26" t="str">
        <x:v>岗位名称/描述出现“网络工程、通信、云计算、网络架构”，工作环节更贴近“部署、架构”，因此关联到该节点。</x:v>
      </x:c>
      <x:c r="P39" s="26" t="str">
        <x:v>自动通过</x:v>
      </x:c>
    </x:row>
    <x:row r="40" ht="44" customHeight="1">
      <x:c r="A40" s="27" t="str">
        <x:v>REL000037</x:v>
      </x:c>
      <x:c r="B40" s="25" t="n">
        <x:v>10935</x:v>
      </x:c>
      <x:c r="C40" s="27" t="str">
        <x:v>IC-L3-192</x:v>
      </x:c>
      <x:c r="D40" s="25" t="str">
        <x:v>首席信息官CIO</x:v>
      </x:c>
      <x:c r="E40" s="27" t="str">
        <x:v>2-02-10-03</x:v>
      </x:c>
      <x:c r="F40" s="25" t="str">
        <x:v>计算机软件工程技术人员</x:v>
      </x:c>
      <x:c r="G40" s="27" t="str">
        <x:v>IC19</x:v>
      </x:c>
      <x:c r="H40" s="25" t="str">
        <x:v>软件与数字安全产业链</x:v>
      </x:c>
      <x:c r="I40" s="25" t="str">
        <x:v>下游</x:v>
      </x:c>
      <x:c r="J40" s="27" t="str">
        <x:v>ICN057</x:v>
      </x:c>
      <x:c r="K40" s="25" t="str">
        <x:v>政企数字化、可信流通与安全运营</x:v>
      </x:c>
      <x:c r="L40" s="28" t="n">
        <x:v>60</x:v>
      </x:c>
      <x:c r="M40" s="25" t="str">
        <x:v>低</x:v>
      </x:c>
      <x:c r="N40" s="26" t="str">
        <x:v>软件、互联网技术、信息安全、数字化、实施、技术支持、解决方案</x:v>
      </x:c>
      <x:c r="O40" s="26" t="str">
        <x:v>岗位名称/描述出现“软件、互联网技术、信息安全”，工作环节更贴近“数字化、实施、技术支持、解决方案”，因此关联到该节点。</x:v>
      </x:c>
      <x:c r="P40" s="26" t="str">
        <x:v>建议复核</x:v>
      </x:c>
    </x:row>
    <x:row r="41" ht="44" customHeight="1">
      <x:c r="A41" s="27" t="str">
        <x:v>REL000038</x:v>
      </x:c>
      <x:c r="B41" s="25" t="n">
        <x:v>10937</x:v>
      </x:c>
      <x:c r="C41" s="27" t="str">
        <x:v>IC-L3-194</x:v>
      </x:c>
      <x:c r="D41" s="25" t="str">
        <x:v>BI工程师</x:v>
      </x:c>
      <x:c r="E41" s="27" t="str">
        <x:v>2-02-10-03</x:v>
      </x:c>
      <x:c r="F41" s="25" t="str">
        <x:v>计算机软件工程技术人员</x:v>
      </x:c>
      <x:c r="G41" s="27" t="str">
        <x:v>IC01</x:v>
      </x:c>
      <x:c r="H41" s="25" t="str">
        <x:v>数据要素与数字经济产业链</x:v>
      </x:c>
      <x:c r="I41" s="25" t="str">
        <x:v>中游</x:v>
      </x:c>
      <x:c r="J41" s="27" t="str">
        <x:v>ICN002</x:v>
      </x:c>
      <x:c r="K41" s="25" t="str">
        <x:v>数据治理、流通与服务</x:v>
      </x:c>
      <x:c r="L41" s="28" t="n">
        <x:v>82</x:v>
      </x:c>
      <x:c r="M41" s="25" t="str">
        <x:v>高</x:v>
      </x:c>
      <x:c r="N41" s="26" t="str">
        <x:v>bi工程、数据分析、数据仓库、商业智能、bi</x:v>
      </x:c>
      <x:c r="O41" s="26" t="str">
        <x:v>岗位名称/描述出现“bi工程、数据分析、数据仓库、商业智能”，工作环节更贴近“bi、数据分析、数据仓库、商业智能”，因此关联到该节点。</x:v>
      </x:c>
      <x:c r="P41" s="26" t="str">
        <x:v>自动通过</x:v>
      </x:c>
    </x:row>
    <x:row r="42" ht="44" customHeight="1">
      <x:c r="A42" s="27" t="str">
        <x:v>REL000039</x:v>
      </x:c>
      <x:c r="B42" s="25" t="n">
        <x:v>10938</x:v>
      </x:c>
      <x:c r="C42" s="27" t="str">
        <x:v>IC-L3-195</x:v>
      </x:c>
      <x:c r="D42" s="25" t="str">
        <x:v>BI工程师</x:v>
      </x:c>
      <x:c r="E42" s="27" t="str">
        <x:v>2-02-10-03</x:v>
      </x:c>
      <x:c r="F42" s="25" t="str">
        <x:v>计算机软件工程技术人员</x:v>
      </x:c>
      <x:c r="G42" s="27" t="str">
        <x:v>IC01</x:v>
      </x:c>
      <x:c r="H42" s="25" t="str">
        <x:v>数据要素与数字经济产业链</x:v>
      </x:c>
      <x:c r="I42" s="25" t="str">
        <x:v>中游</x:v>
      </x:c>
      <x:c r="J42" s="27" t="str">
        <x:v>ICN002</x:v>
      </x:c>
      <x:c r="K42" s="25" t="str">
        <x:v>数据治理、流通与服务</x:v>
      </x:c>
      <x:c r="L42" s="28" t="n">
        <x:v>87</x:v>
      </x:c>
      <x:c r="M42" s="25" t="str">
        <x:v>高</x:v>
      </x:c>
      <x:c r="N42" s="26" t="str">
        <x:v>bi工程、大数据、数据科学、数据分析、数据仓库、bi、商业智能、清洗</x:v>
      </x:c>
      <x:c r="O42" s="26" t="str">
        <x:v>岗位名称/描述出现“bi工程、大数据、数据科学、数据分析、数据仓库”，工作环节更贴近“bi、数据分析、数据仓库、商业智能、清洗”，因此关联到该节点。</x:v>
      </x:c>
      <x:c r="P42" s="26" t="str">
        <x:v>自动通过</x:v>
      </x:c>
    </x:row>
    <x:row r="43" ht="44" customHeight="1">
      <x:c r="A43" s="27" t="str">
        <x:v>REL000040</x:v>
      </x:c>
      <x:c r="B43" s="25" t="n">
        <x:v>10939</x:v>
      </x:c>
      <x:c r="C43" s="27" t="str">
        <x:v>IC-L3-196</x:v>
      </x:c>
      <x:c r="D43" s="25" t="str">
        <x:v>ETL开发工程师</x:v>
      </x:c>
      <x:c r="E43" s="27" t="str">
        <x:v>2-02-10-03</x:v>
      </x:c>
      <x:c r="F43" s="25" t="str">
        <x:v>计算机软件工程技术人员</x:v>
      </x:c>
      <x:c r="G43" s="27" t="str">
        <x:v>IC01</x:v>
      </x:c>
      <x:c r="H43" s="25" t="str">
        <x:v>数据要素与数字经济产业链</x:v>
      </x:c>
      <x:c r="I43" s="25" t="str">
        <x:v>上游</x:v>
      </x:c>
      <x:c r="J43" s="27" t="str">
        <x:v>ICN001</x:v>
      </x:c>
      <x:c r="K43" s="25" t="str">
        <x:v>数据资源采集与基础设施</x:v>
      </x:c>
      <x:c r="L43" s="28" t="n">
        <x:v>61</x:v>
      </x:c>
      <x:c r="M43" s="25" t="str">
        <x:v>低</x:v>
      </x:c>
      <x:c r="N43" s="26" t="str">
        <x:v>数据分析、数据仓库、数据资产、etl</x:v>
      </x:c>
      <x:c r="O43" s="26" t="str">
        <x:v>岗位名称/描述出现“数据分析、数据仓库、数据资产”，工作环节更贴近“etl”，因此关联到该节点。</x:v>
      </x:c>
      <x:c r="P43" s="26" t="str">
        <x:v>建议复核</x:v>
      </x:c>
    </x:row>
    <x:row r="44" ht="44" customHeight="1">
      <x:c r="A44" s="27" t="str">
        <x:v>REL000041</x:v>
      </x:c>
      <x:c r="B44" s="25" t="n">
        <x:v>10940</x:v>
      </x:c>
      <x:c r="C44" s="27" t="str">
        <x:v>IC-L3-197</x:v>
      </x:c>
      <x:c r="D44" s="25" t="str">
        <x:v>密码技术应用员</x:v>
      </x:c>
      <x:c r="E44" s="27" t="str">
        <x:v>2-02-10-03</x:v>
      </x:c>
      <x:c r="F44" s="25" t="str">
        <x:v>计算机软件工程技术人员</x:v>
      </x:c>
      <x:c r="G44" s="27" t="str">
        <x:v>IC19</x:v>
      </x:c>
      <x:c r="H44" s="25" t="str">
        <x:v>软件与数字安全产业链</x:v>
      </x:c>
      <x:c r="I44" s="25" t="str">
        <x:v>上游</x:v>
      </x:c>
      <x:c r="J44" s="27" t="str">
        <x:v>ICN055</x:v>
      </x:c>
      <x:c r="K44" s="25" t="str">
        <x:v>基础软件、密码与可信技术</x:v>
      </x:c>
      <x:c r="L44" s="28" t="n">
        <x:v>84</x:v>
      </x:c>
      <x:c r="M44" s="25" t="str">
        <x:v>高</x:v>
      </x:c>
      <x:c r="N44" s="26" t="str">
        <x:v>密码、软件、互联网技术、区块链、网络安全、可信</x:v>
      </x:c>
      <x:c r="O44" s="26" t="str">
        <x:v>岗位名称/描述出现“密码、软件、互联网技术、区块链、网络安全”，工作环节更贴近“密码、可信”，因此关联到该节点。</x:v>
      </x:c>
      <x:c r="P44" s="26" t="str">
        <x:v>自动通过</x:v>
      </x:c>
    </x:row>
    <x:row r="45" ht="44" customHeight="1">
      <x:c r="A45" s="27" t="str">
        <x:v>REL000042</x:v>
      </x:c>
      <x:c r="B45" s="25" t="n">
        <x:v>10941</x:v>
      </x:c>
      <x:c r="C45" s="27" t="str">
        <x:v>IC-L3-198</x:v>
      </x:c>
      <x:c r="D45" s="25" t="str">
        <x:v>数据仓库工程师</x:v>
      </x:c>
      <x:c r="E45" s="27" t="str">
        <x:v>2-02-10-03</x:v>
      </x:c>
      <x:c r="F45" s="25" t="str">
        <x:v>计算机软件工程技术人员</x:v>
      </x:c>
      <x:c r="G45" s="27" t="str">
        <x:v>IC01</x:v>
      </x:c>
      <x:c r="H45" s="25" t="str">
        <x:v>数据要素与数字经济产业链</x:v>
      </x:c>
      <x:c r="I45" s="25" t="str">
        <x:v>中游</x:v>
      </x:c>
      <x:c r="J45" s="27" t="str">
        <x:v>ICN002</x:v>
      </x:c>
      <x:c r="K45" s="25" t="str">
        <x:v>数据治理、流通与服务</x:v>
      </x:c>
      <x:c r="L45" s="28" t="n">
        <x:v>80</x:v>
      </x:c>
      <x:c r="M45" s="25" t="str">
        <x:v>中</x:v>
      </x:c>
      <x:c r="N45" s="26" t="str">
        <x:v>数据仓库、大数据、数据科学、数据分析</x:v>
      </x:c>
      <x:c r="O45" s="26" t="str">
        <x:v>岗位名称/描述出现“数据仓库、大数据、数据科学、数据分析”，工作环节更贴近“数据仓库、数据分析”，因此关联到该节点。</x:v>
      </x:c>
      <x:c r="P45" s="26" t="str">
        <x:v>自动通过</x:v>
      </x:c>
    </x:row>
    <x:row r="46" ht="44" customHeight="1">
      <x:c r="A46" s="27" t="str">
        <x:v>REL000043</x:v>
      </x:c>
      <x:c r="B46" s="25" t="n">
        <x:v>10941</x:v>
      </x:c>
      <x:c r="C46" s="27" t="str">
        <x:v>IC-L3-198</x:v>
      </x:c>
      <x:c r="D46" s="25" t="str">
        <x:v>数据仓库工程师</x:v>
      </x:c>
      <x:c r="E46" s="27" t="str">
        <x:v>2-02-10-03</x:v>
      </x:c>
      <x:c r="F46" s="25" t="str">
        <x:v>计算机软件工程技术人员</x:v>
      </x:c>
      <x:c r="G46" s="27" t="str">
        <x:v>IC19</x:v>
      </x:c>
      <x:c r="H46" s="25" t="str">
        <x:v>软件与数字安全产业链</x:v>
      </x:c>
      <x:c r="I46" s="25" t="str">
        <x:v>中游</x:v>
      </x:c>
      <x:c r="J46" s="27" t="str">
        <x:v>ICN056</x:v>
      </x:c>
      <x:c r="K46" s="25" t="str">
        <x:v>应用软件、区块链平台与安全产品</x:v>
      </x:c>
      <x:c r="L46" s="28" t="n">
        <x:v>60</x:v>
      </x:c>
      <x:c r="M46" s="25" t="str">
        <x:v>低</x:v>
      </x:c>
      <x:c r="N46" s="26" t="str">
        <x:v>软件、互联网技术、软件开发、测试</x:v>
      </x:c>
      <x:c r="O46" s="26" t="str">
        <x:v>岗位名称/描述出现“软件、互联网技术”，工作环节更贴近“软件开发、测试”，因此关联到该节点。</x:v>
      </x:c>
      <x:c r="P46" s="26" t="str">
        <x:v>建议复核</x:v>
      </x:c>
    </x:row>
    <x:row r="47" ht="44" customHeight="1">
      <x:c r="A47" s="27" t="str">
        <x:v>REL000044</x:v>
      </x:c>
      <x:c r="B47" s="25" t="n">
        <x:v>10942</x:v>
      </x:c>
      <x:c r="C47" s="27" t="str">
        <x:v>IC-L3-199</x:v>
      </x:c>
      <x:c r="D47" s="25" t="str">
        <x:v>数据分析经理/主管</x:v>
      </x:c>
      <x:c r="E47" s="27" t="str">
        <x:v>2-02-10-03</x:v>
      </x:c>
      <x:c r="F47" s="25" t="str">
        <x:v>计算机软件工程技术人员</x:v>
      </x:c>
      <x:c r="G47" s="27" t="str">
        <x:v>IC01</x:v>
      </x:c>
      <x:c r="H47" s="25" t="str">
        <x:v>数据要素与数字经济产业链</x:v>
      </x:c>
      <x:c r="I47" s="25" t="str">
        <x:v>中游</x:v>
      </x:c>
      <x:c r="J47" s="27" t="str">
        <x:v>ICN002</x:v>
      </x:c>
      <x:c r="K47" s="25" t="str">
        <x:v>数据治理、流通与服务</x:v>
      </x:c>
      <x:c r="L47" s="28" t="n">
        <x:v>76</x:v>
      </x:c>
      <x:c r="M47" s="25" t="str">
        <x:v>中</x:v>
      </x:c>
      <x:c r="N47" s="26" t="str">
        <x:v>数据分析、大数据、建模</x:v>
      </x:c>
      <x:c r="O47" s="26" t="str">
        <x:v>岗位名称/描述出现“数据分析、大数据”，工作环节更贴近“数据分析、建模”，因此关联到该节点。</x:v>
      </x:c>
      <x:c r="P47" s="26" t="str">
        <x:v>自动通过</x:v>
      </x:c>
    </x:row>
    <x:row r="48" ht="44" customHeight="1">
      <x:c r="A48" s="27" t="str">
        <x:v>REL000045</x:v>
      </x:c>
      <x:c r="B48" s="25" t="n">
        <x:v>10943</x:v>
      </x:c>
      <x:c r="C48" s="27" t="str">
        <x:v>IC-L3-200</x:v>
      </x:c>
      <x:c r="D48" s="25" t="str">
        <x:v>数据标注师</x:v>
      </x:c>
      <x:c r="E48" s="27" t="str">
        <x:v>4-04-05-05</x:v>
      </x:c>
      <x:c r="F48" s="25" t="str">
        <x:v>人工智能训练师</x:v>
      </x:c>
      <x:c r="G48" s="27" t="str">
        <x:v>IC01</x:v>
      </x:c>
      <x:c r="H48" s="25" t="str">
        <x:v>数据要素与数字经济产业链</x:v>
      </x:c>
      <x:c r="I48" s="25" t="str">
        <x:v>上游</x:v>
      </x:c>
      <x:c r="J48" s="27" t="str">
        <x:v>ICN001</x:v>
      </x:c>
      <x:c r="K48" s="25" t="str">
        <x:v>数据资源采集与基础设施</x:v>
      </x:c>
      <x:c r="L48" s="28" t="n">
        <x:v>75</x:v>
      </x:c>
      <x:c r="M48" s="25" t="str">
        <x:v>中</x:v>
      </x:c>
      <x:c r="N48" s="26" t="str">
        <x:v>数据标注、数据科学、数据分析</x:v>
      </x:c>
      <x:c r="O48" s="26" t="str">
        <x:v>岗位名称/描述出现“数据标注、数据科学、数据分析”，工作环节更贴近“数据标注”，因此关联到该节点。</x:v>
      </x:c>
      <x:c r="P48" s="26" t="str">
        <x:v>自动通过</x:v>
      </x:c>
    </x:row>
    <x:row r="49" ht="44" customHeight="1">
      <x:c r="A49" s="27" t="str">
        <x:v>REL000046</x:v>
      </x:c>
      <x:c r="B49" s="25" t="n">
        <x:v>10944</x:v>
      </x:c>
      <x:c r="C49" s="27" t="str">
        <x:v>IC-L3-201</x:v>
      </x:c>
      <x:c r="D49" s="25" t="str">
        <x:v>数据治理工程师</x:v>
      </x:c>
      <x:c r="E49" s="27" t="str">
        <x:v>2-02-10-03</x:v>
      </x:c>
      <x:c r="F49" s="25" t="str">
        <x:v>计算机软件工程技术人员</x:v>
      </x:c>
      <x:c r="G49" s="27" t="str">
        <x:v>IC01</x:v>
      </x:c>
      <x:c r="H49" s="25" t="str">
        <x:v>数据要素与数字经济产业链</x:v>
      </x:c>
      <x:c r="I49" s="25" t="str">
        <x:v>中游</x:v>
      </x:c>
      <x:c r="J49" s="27" t="str">
        <x:v>ICN002</x:v>
      </x:c>
      <x:c r="K49" s="25" t="str">
        <x:v>数据治理、流通与服务</x:v>
      </x:c>
      <x:c r="L49" s="28" t="n">
        <x:v>85</x:v>
      </x:c>
      <x:c r="M49" s="25" t="str">
        <x:v>高</x:v>
      </x:c>
      <x:c r="N49" s="26" t="str">
        <x:v>数据治理、大数据、数据科学、数据分析、数据采集、数据资产</x:v>
      </x:c>
      <x:c r="O49" s="26" t="str">
        <x:v>岗位名称/描述出现“数据治理、大数据、数据科学、数据分析、数据采集”，工作环节更贴近“数据治理、数据分析、数据资产”，因此关联到该节点。</x:v>
      </x:c>
      <x:c r="P49" s="26" t="str">
        <x:v>自动通过</x:v>
      </x:c>
    </x:row>
    <x:row r="50" ht="44" customHeight="1">
      <x:c r="A50" s="27" t="str">
        <x:v>REL000047</x:v>
      </x:c>
      <x:c r="B50" s="25" t="n">
        <x:v>10945</x:v>
      </x:c>
      <x:c r="C50" s="27" t="str">
        <x:v>IC-L3-202</x:v>
      </x:c>
      <x:c r="D50" s="25" t="str">
        <x:v>数据采集工程师</x:v>
      </x:c>
      <x:c r="E50" s="27" t="str">
        <x:v>2-02-10-03</x:v>
      </x:c>
      <x:c r="F50" s="25" t="str">
        <x:v>计算机软件工程技术人员</x:v>
      </x:c>
      <x:c r="G50" s="27" t="str">
        <x:v>IC01</x:v>
      </x:c>
      <x:c r="H50" s="25" t="str">
        <x:v>数据要素与数字经济产业链</x:v>
      </x:c>
      <x:c r="I50" s="25" t="str">
        <x:v>上游</x:v>
      </x:c>
      <x:c r="J50" s="27" t="str">
        <x:v>ICN001</x:v>
      </x:c>
      <x:c r="K50" s="25" t="str">
        <x:v>数据资源采集与基础设施</x:v>
      </x:c>
      <x:c r="L50" s="28" t="n">
        <x:v>80</x:v>
      </x:c>
      <x:c r="M50" s="25" t="str">
        <x:v>中</x:v>
      </x:c>
      <x:c r="N50" s="26" t="str">
        <x:v>数据采集、数据分析、采集工程、数据源</x:v>
      </x:c>
      <x:c r="O50" s="26" t="str">
        <x:v>岗位名称/描述出现“数据采集、数据分析”，工作环节更贴近“数据采集、采集工程、数据源”，因此关联到该节点。</x:v>
      </x:c>
      <x:c r="P50" s="26" t="str">
        <x:v>自动通过</x:v>
      </x:c>
    </x:row>
    <x:row r="51" ht="44" customHeight="1">
      <x:c r="A51" s="27" t="str">
        <x:v>REL000048</x:v>
      </x:c>
      <x:c r="B51" s="25" t="n">
        <x:v>10945</x:v>
      </x:c>
      <x:c r="C51" s="27" t="str">
        <x:v>IC-L3-202</x:v>
      </x:c>
      <x:c r="D51" s="25" t="str">
        <x:v>数据采集工程师</x:v>
      </x:c>
      <x:c r="E51" s="27" t="str">
        <x:v>2-02-10-03</x:v>
      </x:c>
      <x:c r="F51" s="25" t="str">
        <x:v>计算机软件工程技术人员</x:v>
      </x:c>
      <x:c r="G51" s="27" t="str">
        <x:v>IC19</x:v>
      </x:c>
      <x:c r="H51" s="25" t="str">
        <x:v>软件与数字安全产业链</x:v>
      </x:c>
      <x:c r="I51" s="25" t="str">
        <x:v>中游</x:v>
      </x:c>
      <x:c r="J51" s="27" t="str">
        <x:v>ICN056</x:v>
      </x:c>
      <x:c r="K51" s="25" t="str">
        <x:v>应用软件、区块链平台与安全产品</x:v>
      </x:c>
      <x:c r="L51" s="28" t="n">
        <x:v>58</x:v>
      </x:c>
      <x:c r="M51" s="25" t="str">
        <x:v>低</x:v>
      </x:c>
      <x:c r="N51" s="26" t="str">
        <x:v>软件、互联网技术、数据库</x:v>
      </x:c>
      <x:c r="O51" s="26" t="str">
        <x:v>岗位名称/描述出现“软件、互联网技术、数据库”，工作环节更贴近“中游”，因此关联到该节点。</x:v>
      </x:c>
      <x:c r="P51" s="26" t="str">
        <x:v>建议复核</x:v>
      </x:c>
    </x:row>
    <x:row r="52" ht="44" customHeight="1">
      <x:c r="A52" s="27" t="str">
        <x:v>REL000049</x:v>
      </x:c>
      <x:c r="B52" s="25" t="n">
        <x:v>10946</x:v>
      </x:c>
      <x:c r="C52" s="27" t="str">
        <x:v>IC-L3-203</x:v>
      </x:c>
      <x:c r="D52" s="25" t="str">
        <x:v>爬虫工程师</x:v>
      </x:c>
      <x:c r="E52" s="27" t="str">
        <x:v>2-02-10-03</x:v>
      </x:c>
      <x:c r="F52" s="25" t="str">
        <x:v>计算机软件工程技术人员</x:v>
      </x:c>
      <x:c r="G52" s="27" t="str">
        <x:v>IC01</x:v>
      </x:c>
      <x:c r="H52" s="25" t="str">
        <x:v>数据要素与数字经济产业链</x:v>
      </x:c>
      <x:c r="I52" s="25" t="str">
        <x:v>上游</x:v>
      </x:c>
      <x:c r="J52" s="27" t="str">
        <x:v>ICN001</x:v>
      </x:c>
      <x:c r="K52" s="25" t="str">
        <x:v>数据资源采集与基础设施</x:v>
      </x:c>
      <x:c r="L52" s="28" t="n">
        <x:v>64</x:v>
      </x:c>
      <x:c r="M52" s="25" t="str">
        <x:v>低</x:v>
      </x:c>
      <x:c r="N52" s="26" t="str">
        <x:v>大数据、数据科学、数据分析、数据采集、爬虫</x:v>
      </x:c>
      <x:c r="O52" s="26" t="str">
        <x:v>岗位名称/描述出现“大数据、数据科学、数据分析、数据采集”，工作环节更贴近“爬虫、数据采集”，因此关联到该节点。</x:v>
      </x:c>
      <x:c r="P52" s="26" t="str">
        <x:v>建议复核</x:v>
      </x:c>
    </x:row>
    <x:row r="53" ht="44" customHeight="1">
      <x:c r="A53" s="27" t="str">
        <x:v>REL000050</x:v>
      </x:c>
      <x:c r="B53" s="25" t="n">
        <x:v>10946</x:v>
      </x:c>
      <x:c r="C53" s="27" t="str">
        <x:v>IC-L3-203</x:v>
      </x:c>
      <x:c r="D53" s="25" t="str">
        <x:v>爬虫工程师</x:v>
      </x:c>
      <x:c r="E53" s="27" t="str">
        <x:v>2-02-10-03</x:v>
      </x:c>
      <x:c r="F53" s="25" t="str">
        <x:v>计算机软件工程技术人员</x:v>
      </x:c>
      <x:c r="G53" s="27" t="str">
        <x:v>IC19</x:v>
      </x:c>
      <x:c r="H53" s="25" t="str">
        <x:v>软件与数字安全产业链</x:v>
      </x:c>
      <x:c r="I53" s="25" t="str">
        <x:v>中游</x:v>
      </x:c>
      <x:c r="J53" s="27" t="str">
        <x:v>ICN056</x:v>
      </x:c>
      <x:c r="K53" s="25" t="str">
        <x:v>应用软件、区块链平台与安全产品</x:v>
      </x:c>
      <x:c r="L53" s="28" t="n">
        <x:v>61</x:v>
      </x:c>
      <x:c r="M53" s="25" t="str">
        <x:v>低</x:v>
      </x:c>
      <x:c r="N53" s="26" t="str">
        <x:v>软件、互联网技术、后端、程序、产品开发</x:v>
      </x:c>
      <x:c r="O53" s="26" t="str">
        <x:v>岗位名称/描述出现“软件、互联网技术、后端”，工作环节更贴近“后端、程序、产品开发”，因此关联到该节点。</x:v>
      </x:c>
      <x:c r="P53" s="26" t="str">
        <x:v>建议复核</x:v>
      </x:c>
    </x:row>
    <x:row r="54" ht="44" customHeight="1">
      <x:c r="A54" s="27" t="str">
        <x:v>REL000051</x:v>
      </x:c>
      <x:c r="B54" s="25" t="n">
        <x:v>10947</x:v>
      </x:c>
      <x:c r="C54" s="27" t="str">
        <x:v>IC-L3-204</x:v>
      </x:c>
      <x:c r="D54" s="25" t="str">
        <x:v>电子数据取证分析师</x:v>
      </x:c>
      <x:c r="E54" s="27" t="str">
        <x:v>2-02-09-02</x:v>
      </x:c>
      <x:c r="F54" s="25" t="str">
        <x:v>电子元器件工程技术人员</x:v>
      </x:c>
      <x:c r="G54" s="27" t="str">
        <x:v>IC19</x:v>
      </x:c>
      <x:c r="H54" s="25" t="str">
        <x:v>软件与数字安全产业链</x:v>
      </x:c>
      <x:c r="I54" s="25" t="str">
        <x:v>中游</x:v>
      </x:c>
      <x:c r="J54" s="27" t="str">
        <x:v>ICN056</x:v>
      </x:c>
      <x:c r="K54" s="25" t="str">
        <x:v>应用软件、区块链平台与安全产品</x:v>
      </x:c>
      <x:c r="L54" s="28" t="n">
        <x:v>56</x:v>
      </x:c>
      <x:c r="M54" s="25" t="str">
        <x:v>低</x:v>
      </x:c>
      <x:c r="N54" s="26" t="str">
        <x:v>软件、互联网技术、网络安全</x:v>
      </x:c>
      <x:c r="O54" s="26" t="str">
        <x:v>岗位名称/描述出现“软件、互联网技术、网络安全”，工作环节更贴近“中游”，因此关联到该节点。</x:v>
      </x:c>
      <x:c r="P54" s="26" t="str">
        <x:v>建议复核</x:v>
      </x:c>
    </x:row>
    <x:row r="55" ht="44" customHeight="1">
      <x:c r="A55" s="27" t="str">
        <x:v>REL000052</x:v>
      </x:c>
      <x:c r="B55" s="25" t="n">
        <x:v>10948</x:v>
      </x:c>
      <x:c r="C55" s="27" t="str">
        <x:v>IC-L3-205</x:v>
      </x:c>
      <x:c r="D55" s="25" t="str">
        <x:v>数据运营</x:v>
      </x:c>
      <x:c r="E55" s="27" t="str">
        <x:v>2-02-10-03</x:v>
      </x:c>
      <x:c r="F55" s="25" t="str">
        <x:v>计算机软件工程技术人员</x:v>
      </x:c>
      <x:c r="G55" s="27" t="str">
        <x:v>IC01</x:v>
      </x:c>
      <x:c r="H55" s="25" t="str">
        <x:v>数据要素与数字经济产业链</x:v>
      </x:c>
      <x:c r="I55" s="25" t="str">
        <x:v>下游</x:v>
      </x:c>
      <x:c r="J55" s="27" t="str">
        <x:v>ICN003</x:v>
      </x:c>
      <x:c r="K55" s="25" t="str">
        <x:v>数字经济场景应用与内容创意</x:v>
      </x:c>
      <x:c r="L55" s="28" t="n">
        <x:v>74</x:v>
      </x:c>
      <x:c r="M55" s="25" t="str">
        <x:v>中</x:v>
      </x:c>
      <x:c r="N55" s="26" t="str">
        <x:v>数据运营、数据资产、增长</x:v>
      </x:c>
      <x:c r="O55" s="26" t="str">
        <x:v>岗位名称/描述出现“数据运营、数据资产”，工作环节更贴近“数据运营、增长”，因此关联到该节点。</x:v>
      </x:c>
      <x:c r="P55" s="26" t="str">
        <x:v>自动通过</x:v>
      </x:c>
    </x:row>
    <x:row r="56" ht="44" customHeight="1">
      <x:c r="A56" s="27" t="str">
        <x:v>REL000053</x:v>
      </x:c>
      <x:c r="B56" s="25" t="n">
        <x:v>10950</x:v>
      </x:c>
      <x:c r="C56" s="27" t="str">
        <x:v>IC-L3-207</x:v>
      </x:c>
      <x:c r="D56" s="25" t="str">
        <x:v>功能测试</x:v>
      </x:c>
      <x:c r="E56" s="27" t="str">
        <x:v>4-04-05-02</x:v>
      </x:c>
      <x:c r="F56" s="25" t="str">
        <x:v>计算机软件测试员</x:v>
      </x:c>
      <x:c r="G56" s="27" t="str">
        <x:v>IC19</x:v>
      </x:c>
      <x:c r="H56" s="25" t="str">
        <x:v>软件与数字安全产业链</x:v>
      </x:c>
      <x:c r="I56" s="25" t="str">
        <x:v>中游</x:v>
      </x:c>
      <x:c r="J56" s="27" t="str">
        <x:v>ICN056</x:v>
      </x:c>
      <x:c r="K56" s="25" t="str">
        <x:v>应用软件、区块链平台与安全产品</x:v>
      </x:c>
      <x:c r="L56" s="28" t="n">
        <x:v>66</x:v>
      </x:c>
      <x:c r="M56" s="25" t="str">
        <x:v>低</x:v>
      </x:c>
      <x:c r="N56" s="26" t="str">
        <x:v>软件、软件测试、互联网技术、测试、软件开发</x:v>
      </x:c>
      <x:c r="O56" s="26" t="str">
        <x:v>岗位名称/描述出现“软件、软件测试、互联网技术”，工作环节更贴近“测试、软件开发”，因此关联到该节点。</x:v>
      </x:c>
      <x:c r="P56" s="26" t="str">
        <x:v>建议复核</x:v>
      </x:c>
    </x:row>
    <x:row r="57" ht="44" customHeight="1">
      <x:c r="A57" s="27" t="str">
        <x:v>REL000054</x:v>
      </x:c>
      <x:c r="B57" s="25" t="n">
        <x:v>10951</x:v>
      </x:c>
      <x:c r="C57" s="27" t="str">
        <x:v>IC-L3-208</x:v>
      </x:c>
      <x:c r="D57" s="25" t="str">
        <x:v>性能测试</x:v>
      </x:c>
      <x:c r="E57" s="27" t="str">
        <x:v>4-04-05-02</x:v>
      </x:c>
      <x:c r="F57" s="25" t="str">
        <x:v>计算机软件测试员</x:v>
      </x:c>
      <x:c r="G57" s="27" t="str">
        <x:v>IC19</x:v>
      </x:c>
      <x:c r="H57" s="25" t="str">
        <x:v>软件与数字安全产业链</x:v>
      </x:c>
      <x:c r="I57" s="25" t="str">
        <x:v>中游</x:v>
      </x:c>
      <x:c r="J57" s="27" t="str">
        <x:v>ICN056</x:v>
      </x:c>
      <x:c r="K57" s="25" t="str">
        <x:v>应用软件、区块链平台与安全产品</x:v>
      </x:c>
      <x:c r="L57" s="28" t="n">
        <x:v>65</x:v>
      </x:c>
      <x:c r="M57" s="25" t="str">
        <x:v>低</x:v>
      </x:c>
      <x:c r="N57" s="26" t="str">
        <x:v>软件、软件测试、互联网技术、测试</x:v>
      </x:c>
      <x:c r="O57" s="26" t="str">
        <x:v>岗位名称/描述出现“软件、软件测试、互联网技术”，工作环节更贴近“测试”，因此关联到该节点。</x:v>
      </x:c>
      <x:c r="P57" s="26" t="str">
        <x:v>建议复核</x:v>
      </x:c>
    </x:row>
    <x:row r="58" ht="44" customHeight="1">
      <x:c r="A58" s="27" t="str">
        <x:v>REL000055</x:v>
      </x:c>
      <x:c r="B58" s="25" t="n">
        <x:v>10952</x:v>
      </x:c>
      <x:c r="C58" s="27" t="str">
        <x:v>IC-L3-209</x:v>
      </x:c>
      <x:c r="D58" s="25" t="str">
        <x:v>测试工程师</x:v>
      </x:c>
      <x:c r="E58" s="27" t="str">
        <x:v>4-04-05-02</x:v>
      </x:c>
      <x:c r="F58" s="25" t="str">
        <x:v>计算机软件测试员</x:v>
      </x:c>
      <x:c r="G58" s="27" t="str">
        <x:v>IC19</x:v>
      </x:c>
      <x:c r="H58" s="25" t="str">
        <x:v>软件与数字安全产业链</x:v>
      </x:c>
      <x:c r="I58" s="25" t="str">
        <x:v>中游</x:v>
      </x:c>
      <x:c r="J58" s="27" t="str">
        <x:v>ICN056</x:v>
      </x:c>
      <x:c r="K58" s="25" t="str">
        <x:v>应用软件、区块链平台与安全产品</x:v>
      </x:c>
      <x:c r="L58" s="28" t="n">
        <x:v>65</x:v>
      </x:c>
      <x:c r="M58" s="25" t="str">
        <x:v>低</x:v>
      </x:c>
      <x:c r="N58" s="26" t="str">
        <x:v>软件、软件测试、互联网技术、测试</x:v>
      </x:c>
      <x:c r="O58" s="26" t="str">
        <x:v>岗位名称/描述出现“软件、软件测试、互联网技术”，工作环节更贴近“测试”，因此关联到该节点。</x:v>
      </x:c>
      <x:c r="P58" s="26" t="str">
        <x:v>建议复核</x:v>
      </x:c>
    </x:row>
    <x:row r="59" ht="44" customHeight="1">
      <x:c r="A59" s="27" t="str">
        <x:v>REL000056</x:v>
      </x:c>
      <x:c r="B59" s="25" t="n">
        <x:v>10953</x:v>
      </x:c>
      <x:c r="C59" s="27" t="str">
        <x:v>IC-L3-210</x:v>
      </x:c>
      <x:c r="D59" s="25" t="str">
        <x:v>测试开发</x:v>
      </x:c>
      <x:c r="E59" s="27" t="str">
        <x:v>4-04-05-02</x:v>
      </x:c>
      <x:c r="F59" s="25" t="str">
        <x:v>计算机软件测试员</x:v>
      </x:c>
      <x:c r="G59" s="27" t="str">
        <x:v>IC19</x:v>
      </x:c>
      <x:c r="H59" s="25" t="str">
        <x:v>软件与数字安全产业链</x:v>
      </x:c>
      <x:c r="I59" s="25" t="str">
        <x:v>中游</x:v>
      </x:c>
      <x:c r="J59" s="27" t="str">
        <x:v>ICN056</x:v>
      </x:c>
      <x:c r="K59" s="25" t="str">
        <x:v>应用软件、区块链平台与安全产品</x:v>
      </x:c>
      <x:c r="L59" s="28" t="n">
        <x:v>89</x:v>
      </x:c>
      <x:c r="M59" s="25" t="str">
        <x:v>高</x:v>
      </x:c>
      <x:c r="N59" s="26" t="str">
        <x:v>测试开发、软件、软件测试、互联网技术、前端、测试、后端</x:v>
      </x:c>
      <x:c r="O59" s="26" t="str">
        <x:v>岗位名称/描述出现“测试开发、软件、软件测试、互联网技术、前端”，工作环节更贴近“测试、前端、后端”，因此关联到该节点。</x:v>
      </x:c>
      <x:c r="P59" s="26" t="str">
        <x:v>自动通过</x:v>
      </x:c>
    </x:row>
    <x:row r="60" ht="44" customHeight="1">
      <x:c r="A60" s="27" t="str">
        <x:v>REL000057</x:v>
      </x:c>
      <x:c r="B60" s="25" t="n">
        <x:v>10954</x:v>
      </x:c>
      <x:c r="C60" s="27" t="str">
        <x:v>IC-L3-211</x:v>
      </x:c>
      <x:c r="D60" s="25" t="str">
        <x:v>测试经理</x:v>
      </x:c>
      <x:c r="E60" s="27" t="str">
        <x:v>4-04-05-02</x:v>
      </x:c>
      <x:c r="F60" s="25" t="str">
        <x:v>计算机软件测试员</x:v>
      </x:c>
      <x:c r="G60" s="27" t="str">
        <x:v>IC19</x:v>
      </x:c>
      <x:c r="H60" s="25" t="str">
        <x:v>软件与数字安全产业链</x:v>
      </x:c>
      <x:c r="I60" s="25" t="str">
        <x:v>中游</x:v>
      </x:c>
      <x:c r="J60" s="27" t="str">
        <x:v>ICN056</x:v>
      </x:c>
      <x:c r="K60" s="25" t="str">
        <x:v>应用软件、区块链平台与安全产品</x:v>
      </x:c>
      <x:c r="L60" s="28" t="n">
        <x:v>65</x:v>
      </x:c>
      <x:c r="M60" s="25" t="str">
        <x:v>低</x:v>
      </x:c>
      <x:c r="N60" s="26" t="str">
        <x:v>软件、软件测试、互联网技术、测试</x:v>
      </x:c>
      <x:c r="O60" s="26" t="str">
        <x:v>岗位名称/描述出现“软件、软件测试、互联网技术”，工作环节更贴近“测试”，因此关联到该节点。</x:v>
      </x:c>
      <x:c r="P60" s="26" t="str">
        <x:v>建议复核</x:v>
      </x:c>
    </x:row>
    <x:row r="61" ht="44" customHeight="1">
      <x:c r="A61" s="27" t="str">
        <x:v>REL000058</x:v>
      </x:c>
      <x:c r="B61" s="25" t="n">
        <x:v>10955</x:v>
      </x:c>
      <x:c r="C61" s="27" t="str">
        <x:v>IC-L3-212</x:v>
      </x:c>
      <x:c r="D61" s="25" t="str">
        <x:v>游戏测试</x:v>
      </x:c>
      <x:c r="E61" s="27" t="str">
        <x:v>2-09-06-01</x:v>
      </x:c>
      <x:c r="F61" s="25" t="str">
        <x:v>视觉传达设计人员</x:v>
      </x:c>
      <x:c r="G61" s="27" t="str">
        <x:v>IC18</x:v>
      </x:c>
      <x:c r="H61" s="25" t="str">
        <x:v>新型显示与虚拟现实产业链</x:v>
      </x:c>
      <x:c r="I61" s="25" t="str">
        <x:v>下游</x:v>
      </x:c>
      <x:c r="J61" s="27" t="str">
        <x:v>ICN054</x:v>
      </x:c>
      <x:c r="K61" s="25" t="str">
        <x:v>沉浸式内容、行业应用与消费场景</x:v>
      </x:c>
      <x:c r="L61" s="28" t="n">
        <x:v>73</x:v>
      </x:c>
      <x:c r="M61" s="25" t="str">
        <x:v>中</x:v>
      </x:c>
      <x:c r="N61" s="26" t="str">
        <x:v>游戏</x:v>
      </x:c>
      <x:c r="O61" s="26" t="str">
        <x:v>岗位名称/描述出现“游戏”，工作环节更贴近“游戏”，因此关联到该节点。</x:v>
      </x:c>
      <x:c r="P61" s="26" t="str">
        <x:v>自动通过</x:v>
      </x:c>
    </x:row>
    <x:row r="62" ht="44" customHeight="1">
      <x:c r="A62" s="27" t="str">
        <x:v>REL000059</x:v>
      </x:c>
      <x:c r="B62" s="25" t="n">
        <x:v>10956</x:v>
      </x:c>
      <x:c r="C62" s="27" t="str">
        <x:v>IC-L3-213</x:v>
      </x:c>
      <x:c r="D62" s="25" t="str">
        <x:v>硬件测试工程师</x:v>
      </x:c>
      <x:c r="E62" s="27" t="str">
        <x:v>4-04-05-02</x:v>
      </x:c>
      <x:c r="F62" s="25" t="str">
        <x:v>计算机软件测试员</x:v>
      </x:c>
      <x:c r="G62" s="27" t="str">
        <x:v>IC19</x:v>
      </x:c>
      <x:c r="H62" s="25" t="str">
        <x:v>软件与数字安全产业链</x:v>
      </x:c>
      <x:c r="I62" s="25" t="str">
        <x:v>中游</x:v>
      </x:c>
      <x:c r="J62" s="27" t="str">
        <x:v>ICN056</x:v>
      </x:c>
      <x:c r="K62" s="25" t="str">
        <x:v>应用软件、区块链平台与安全产品</x:v>
      </x:c>
      <x:c r="L62" s="28" t="n">
        <x:v>67</x:v>
      </x:c>
      <x:c r="M62" s="25" t="str">
        <x:v>低</x:v>
      </x:c>
      <x:c r="N62" s="26" t="str">
        <x:v>软件、软件测试、互联网技术、测试</x:v>
      </x:c>
      <x:c r="O62" s="26" t="str">
        <x:v>岗位名称/描述出现“软件、软件测试、互联网技术”，工作环节更贴近“测试”，因此关联到该节点。</x:v>
      </x:c>
      <x:c r="P62" s="26" t="str">
        <x:v>建议复核</x:v>
      </x:c>
    </x:row>
    <x:row r="63" ht="44" customHeight="1">
      <x:c r="A63" s="27" t="str">
        <x:v>REL000060</x:v>
      </x:c>
      <x:c r="B63" s="25" t="n">
        <x:v>10957</x:v>
      </x:c>
      <x:c r="C63" s="27" t="str">
        <x:v>IC-L3-214</x:v>
      </x:c>
      <x:c r="D63" s="25" t="str">
        <x:v>自动化测试</x:v>
      </x:c>
      <x:c r="E63" s="27" t="str">
        <x:v>4-04-05-02</x:v>
      </x:c>
      <x:c r="F63" s="25" t="str">
        <x:v>计算机软件测试员</x:v>
      </x:c>
      <x:c r="G63" s="27" t="str">
        <x:v>IC19</x:v>
      </x:c>
      <x:c r="H63" s="25" t="str">
        <x:v>软件与数字安全产业链</x:v>
      </x:c>
      <x:c r="I63" s="25" t="str">
        <x:v>中游</x:v>
      </x:c>
      <x:c r="J63" s="27" t="str">
        <x:v>ICN056</x:v>
      </x:c>
      <x:c r="K63" s="25" t="str">
        <x:v>应用软件、区块链平台与安全产品</x:v>
      </x:c>
      <x:c r="L63" s="28" t="n">
        <x:v>65</x:v>
      </x:c>
      <x:c r="M63" s="25" t="str">
        <x:v>低</x:v>
      </x:c>
      <x:c r="N63" s="26" t="str">
        <x:v>软件、软件测试、互联网技术、测试</x:v>
      </x:c>
      <x:c r="O63" s="26" t="str">
        <x:v>岗位名称/描述出现“软件、软件测试、互联网技术”，工作环节更贴近“测试”，因此关联到该节点。</x:v>
      </x:c>
      <x:c r="P63" s="26" t="str">
        <x:v>建议复核</x:v>
      </x:c>
    </x:row>
    <x:row r="64" ht="44" customHeight="1">
      <x:c r="A64" s="27" t="str">
        <x:v>REL000061</x:v>
      </x:c>
      <x:c r="B64" s="25" t="n">
        <x:v>10958</x:v>
      </x:c>
      <x:c r="C64" s="27" t="str">
        <x:v>IC-L3-215</x:v>
      </x:c>
      <x:c r="D64" s="25" t="str">
        <x:v>软件测试</x:v>
      </x:c>
      <x:c r="E64" s="27" t="str">
        <x:v>4-04-05-02</x:v>
      </x:c>
      <x:c r="F64" s="25" t="str">
        <x:v>计算机软件测试员</x:v>
      </x:c>
      <x:c r="G64" s="27" t="str">
        <x:v>IC19</x:v>
      </x:c>
      <x:c r="H64" s="25" t="str">
        <x:v>软件与数字安全产业链</x:v>
      </x:c>
      <x:c r="I64" s="25" t="str">
        <x:v>中游</x:v>
      </x:c>
      <x:c r="J64" s="27" t="str">
        <x:v>ICN056</x:v>
      </x:c>
      <x:c r="K64" s="25" t="str">
        <x:v>应用软件、区块链平台与安全产品</x:v>
      </x:c>
      <x:c r="L64" s="28" t="n">
        <x:v>93</x:v>
      </x:c>
      <x:c r="M64" s="25" t="str">
        <x:v>高</x:v>
      </x:c>
      <x:c r="N64" s="26" t="str">
        <x:v>软件、软件测试、互联网技术、测试</x:v>
      </x:c>
      <x:c r="O64" s="26" t="str">
        <x:v>岗位名称/描述出现“软件、软件测试、互联网技术”，工作环节更贴近“测试”，因此关联到该节点。</x:v>
      </x:c>
      <x:c r="P64" s="26" t="str">
        <x:v>自动通过</x:v>
      </x:c>
    </x:row>
    <x:row r="65" ht="44" customHeight="1">
      <x:c r="A65" s="27" t="str">
        <x:v>REL000062</x:v>
      </x:c>
      <x:c r="B65" s="25" t="n">
        <x:v>10959</x:v>
      </x:c>
      <x:c r="C65" s="27" t="str">
        <x:v>IC-L3-216</x:v>
      </x:c>
      <x:c r="D65" s="25" t="str">
        <x:v>游戏开发工程师</x:v>
      </x:c>
      <x:c r="E65" s="27" t="str">
        <x:v>2-09-06-01</x:v>
      </x:c>
      <x:c r="F65" s="25" t="str">
        <x:v>视觉传达设计人员</x:v>
      </x:c>
      <x:c r="G65" s="27" t="str">
        <x:v>IC18</x:v>
      </x:c>
      <x:c r="H65" s="25" t="str">
        <x:v>新型显示与虚拟现实产业链</x:v>
      </x:c>
      <x:c r="I65" s="25" t="str">
        <x:v>下游</x:v>
      </x:c>
      <x:c r="J65" s="27" t="str">
        <x:v>ICN054</x:v>
      </x:c>
      <x:c r="K65" s="25" t="str">
        <x:v>沉浸式内容、行业应用与消费场景</x:v>
      </x:c>
      <x:c r="L65" s="28" t="n">
        <x:v>73</x:v>
      </x:c>
      <x:c r="M65" s="25" t="str">
        <x:v>中</x:v>
      </x:c>
      <x:c r="N65" s="26" t="str">
        <x:v>游戏</x:v>
      </x:c>
      <x:c r="O65" s="26" t="str">
        <x:v>岗位名称/描述出现“游戏”，工作环节更贴近“游戏”，因此关联到该节点。</x:v>
      </x:c>
      <x:c r="P65" s="26" t="str">
        <x:v>自动通过</x:v>
      </x:c>
    </x:row>
    <x:row r="66" ht="44" customHeight="1">
      <x:c r="A66" s="27" t="str">
        <x:v>REL000063</x:v>
      </x:c>
      <x:c r="B66" s="25" t="n">
        <x:v>10959</x:v>
      </x:c>
      <x:c r="C66" s="27" t="str">
        <x:v>IC-L3-216</x:v>
      </x:c>
      <x:c r="D66" s="25" t="str">
        <x:v>游戏开发工程师</x:v>
      </x:c>
      <x:c r="E66" s="27" t="str">
        <x:v>2-09-06-01</x:v>
      </x:c>
      <x:c r="F66" s="25" t="str">
        <x:v>视觉传达设计人员</x:v>
      </x:c>
      <x:c r="G66" s="27" t="str">
        <x:v>IC18</x:v>
      </x:c>
      <x:c r="H66" s="25" t="str">
        <x:v>新型显示与虚拟现实产业链</x:v>
      </x:c>
      <x:c r="I66" s="25" t="str">
        <x:v>中游</x:v>
      </x:c>
      <x:c r="J66" s="27" t="str">
        <x:v>ICN053</x:v>
      </x:c>
      <x:c r="K66" s="25" t="str">
        <x:v>显示面板、终端与VR设备制造</x:v>
      </x:c>
      <x:c r="L66" s="28" t="n">
        <x:v>71</x:v>
      </x:c>
      <x:c r="M66" s="25" t="str">
        <x:v>中</x:v>
      </x:c>
      <x:c r="N66" s="26" t="str">
        <x:v>游戏、开发</x:v>
      </x:c>
      <x:c r="O66" s="26" t="str">
        <x:v>岗位名称/描述出现“游戏”，工作环节更贴近“开发”，因此关联到该节点。</x:v>
      </x:c>
      <x:c r="P66" s="26" t="str">
        <x:v>自动通过</x:v>
      </x:c>
    </x:row>
    <x:row r="67" ht="44" customHeight="1">
      <x:c r="A67" s="27" t="str">
        <x:v>REL000064</x:v>
      </x:c>
      <x:c r="B67" s="25" t="n">
        <x:v>10960</x:v>
      </x:c>
      <x:c r="C67" s="27" t="str">
        <x:v>IC-L3-217</x:v>
      </x:c>
      <x:c r="D67" s="25" t="str">
        <x:v>游戏测试</x:v>
      </x:c>
      <x:c r="E67" s="27" t="str">
        <x:v>2-09-06-01</x:v>
      </x:c>
      <x:c r="F67" s="25" t="str">
        <x:v>视觉传达设计人员</x:v>
      </x:c>
      <x:c r="G67" s="27" t="str">
        <x:v>IC18</x:v>
      </x:c>
      <x:c r="H67" s="25" t="str">
        <x:v>新型显示与虚拟现实产业链</x:v>
      </x:c>
      <x:c r="I67" s="25" t="str">
        <x:v>下游</x:v>
      </x:c>
      <x:c r="J67" s="27" t="str">
        <x:v>ICN054</x:v>
      </x:c>
      <x:c r="K67" s="25" t="str">
        <x:v>沉浸式内容、行业应用与消费场景</x:v>
      </x:c>
      <x:c r="L67" s="28" t="n">
        <x:v>73</x:v>
      </x:c>
      <x:c r="M67" s="25" t="str">
        <x:v>中</x:v>
      </x:c>
      <x:c r="N67" s="26" t="str">
        <x:v>游戏</x:v>
      </x:c>
      <x:c r="O67" s="26" t="str">
        <x:v>岗位名称/描述出现“游戏”，工作环节更贴近“游戏”，因此关联到该节点。</x:v>
      </x:c>
      <x:c r="P67" s="26" t="str">
        <x:v>自动通过</x:v>
      </x:c>
    </x:row>
    <x:row r="68" ht="44" customHeight="1">
      <x:c r="A68" s="27" t="str">
        <x:v>REL000065</x:v>
      </x:c>
      <x:c r="B68" s="25" t="n">
        <x:v>10961</x:v>
      </x:c>
      <x:c r="C68" s="27" t="str">
        <x:v>IC-L3-218</x:v>
      </x:c>
      <x:c r="D68" s="25" t="str">
        <x:v>游戏运营</x:v>
      </x:c>
      <x:c r="E68" s="27" t="str">
        <x:v>2-09-06-01</x:v>
      </x:c>
      <x:c r="F68" s="25" t="str">
        <x:v>视觉传达设计人员</x:v>
      </x:c>
      <x:c r="G68" s="27" t="str">
        <x:v>IC18</x:v>
      </x:c>
      <x:c r="H68" s="25" t="str">
        <x:v>新型显示与虚拟现实产业链</x:v>
      </x:c>
      <x:c r="I68" s="25" t="str">
        <x:v>下游</x:v>
      </x:c>
      <x:c r="J68" s="27" t="str">
        <x:v>ICN054</x:v>
      </x:c>
      <x:c r="K68" s="25" t="str">
        <x:v>沉浸式内容、行业应用与消费场景</x:v>
      </x:c>
      <x:c r="L68" s="28" t="n">
        <x:v>73</x:v>
      </x:c>
      <x:c r="M68" s="25" t="str">
        <x:v>中</x:v>
      </x:c>
      <x:c r="N68" s="26" t="str">
        <x:v>游戏</x:v>
      </x:c>
      <x:c r="O68" s="26" t="str">
        <x:v>岗位名称/描述出现“游戏”，工作环节更贴近“游戏”，因此关联到该节点。</x:v>
      </x:c>
      <x:c r="P68" s="26" t="str">
        <x:v>自动通过</x:v>
      </x:c>
    </x:row>
    <x:row r="69" ht="44" customHeight="1">
      <x:c r="A69" s="27" t="str">
        <x:v>REL000066</x:v>
      </x:c>
      <x:c r="B69" s="25" t="n">
        <x:v>10962</x:v>
      </x:c>
      <x:c r="C69" s="27" t="str">
        <x:v>IC-L3-219</x:v>
      </x:c>
      <x:c r="D69" s="25" t="str">
        <x:v>游戏制作人</x:v>
      </x:c>
      <x:c r="E69" s="27" t="str">
        <x:v>2-09-06-01</x:v>
      </x:c>
      <x:c r="F69" s="25" t="str">
        <x:v>视觉传达设计人员</x:v>
      </x:c>
      <x:c r="G69" s="27" t="str">
        <x:v>IC18</x:v>
      </x:c>
      <x:c r="H69" s="25" t="str">
        <x:v>新型显示与虚拟现实产业链</x:v>
      </x:c>
      <x:c r="I69" s="25" t="str">
        <x:v>下游</x:v>
      </x:c>
      <x:c r="J69" s="27" t="str">
        <x:v>ICN054</x:v>
      </x:c>
      <x:c r="K69" s="25" t="str">
        <x:v>沉浸式内容、行业应用与消费场景</x:v>
      </x:c>
      <x:c r="L69" s="28" t="n">
        <x:v>73</x:v>
      </x:c>
      <x:c r="M69" s="25" t="str">
        <x:v>中</x:v>
      </x:c>
      <x:c r="N69" s="26" t="str">
        <x:v>游戏</x:v>
      </x:c>
      <x:c r="O69" s="26" t="str">
        <x:v>岗位名称/描述出现“游戏”，工作环节更贴近“游戏”，因此关联到该节点。</x:v>
      </x:c>
      <x:c r="P69" s="26" t="str">
        <x:v>自动通过</x:v>
      </x:c>
    </x:row>
    <x:row r="70" ht="44" customHeight="1">
      <x:c r="A70" s="27" t="str">
        <x:v>REL000067</x:v>
      </x:c>
      <x:c r="B70" s="25" t="n">
        <x:v>10963</x:v>
      </x:c>
      <x:c r="C70" s="27" t="str">
        <x:v>IC-L3-220</x:v>
      </x:c>
      <x:c r="D70" s="25" t="str">
        <x:v>游戏特效设计师</x:v>
      </x:c>
      <x:c r="E70" s="27" t="str">
        <x:v>2-09-06-01</x:v>
      </x:c>
      <x:c r="F70" s="25" t="str">
        <x:v>视觉传达设计人员</x:v>
      </x:c>
      <x:c r="G70" s="27" t="str">
        <x:v>IC18</x:v>
      </x:c>
      <x:c r="H70" s="25" t="str">
        <x:v>新型显示与虚拟现实产业链</x:v>
      </x:c>
      <x:c r="I70" s="25" t="str">
        <x:v>下游</x:v>
      </x:c>
      <x:c r="J70" s="27" t="str">
        <x:v>ICN054</x:v>
      </x:c>
      <x:c r="K70" s="25" t="str">
        <x:v>沉浸式内容、行业应用与消费场景</x:v>
      </x:c>
      <x:c r="L70" s="28" t="n">
        <x:v>96</x:v>
      </x:c>
      <x:c r="M70" s="25" t="str">
        <x:v>高</x:v>
      </x:c>
      <x:c r="N70" s="26" t="str">
        <x:v>游戏、特效、动画</x:v>
      </x:c>
      <x:c r="O70" s="26" t="str">
        <x:v>岗位名称/描述出现“游戏、特效、动画”，工作环节更贴近“游戏、特效”，因此关联到该节点。</x:v>
      </x:c>
      <x:c r="P70" s="26" t="str">
        <x:v>自动通过</x:v>
      </x:c>
    </x:row>
    <x:row r="71" ht="44" customHeight="1">
      <x:c r="A71" s="27" t="str">
        <x:v>REL000068</x:v>
      </x:c>
      <x:c r="B71" s="25" t="n">
        <x:v>10964</x:v>
      </x:c>
      <x:c r="C71" s="27" t="str">
        <x:v>IC-L3-221</x:v>
      </x:c>
      <x:c r="D71" s="25" t="str">
        <x:v>游戏动画师</x:v>
      </x:c>
      <x:c r="E71" s="27" t="str">
        <x:v>2-09-06-01</x:v>
      </x:c>
      <x:c r="F71" s="25" t="str">
        <x:v>视觉传达设计人员</x:v>
      </x:c>
      <x:c r="G71" s="27" t="str">
        <x:v>IC18</x:v>
      </x:c>
      <x:c r="H71" s="25" t="str">
        <x:v>新型显示与虚拟现实产业链</x:v>
      </x:c>
      <x:c r="I71" s="25" t="str">
        <x:v>下游</x:v>
      </x:c>
      <x:c r="J71" s="27" t="str">
        <x:v>ICN054</x:v>
      </x:c>
      <x:c r="K71" s="25" t="str">
        <x:v>沉浸式内容、行业应用与消费场景</x:v>
      </x:c>
      <x:c r="L71" s="28" t="n">
        <x:v>92</x:v>
      </x:c>
      <x:c r="M71" s="25" t="str">
        <x:v>高</x:v>
      </x:c>
      <x:c r="N71" s="26" t="str">
        <x:v>游戏、动画、特效</x:v>
      </x:c>
      <x:c r="O71" s="26" t="str">
        <x:v>岗位名称/描述出现“游戏、动画、特效”，工作环节更贴近“游戏、特效”，因此关联到该节点。</x:v>
      </x:c>
      <x:c r="P71" s="26" t="str">
        <x:v>自动通过</x:v>
      </x:c>
    </x:row>
    <x:row r="72" ht="44" customHeight="1">
      <x:c r="A72" s="27" t="str">
        <x:v>REL000069</x:v>
      </x:c>
      <x:c r="B72" s="25" t="n">
        <x:v>10965</x:v>
      </x:c>
      <x:c r="C72" s="27" t="str">
        <x:v>IC-L3-222</x:v>
      </x:c>
      <x:c r="D72" s="25" t="str">
        <x:v>DBA运维/技术支持</x:v>
      </x:c>
      <x:c r="E72" s="27" t="str">
        <x:v>4-04-05-01</x:v>
      </x:c>
      <x:c r="F72" s="25" t="str">
        <x:v>计算机程序设计员</x:v>
      </x:c>
      <x:c r="G72" s="27" t="str">
        <x:v>IC19</x:v>
      </x:c>
      <x:c r="H72" s="25" t="str">
        <x:v>软件与数字安全产业链</x:v>
      </x:c>
      <x:c r="I72" s="25" t="str">
        <x:v>下游</x:v>
      </x:c>
      <x:c r="J72" s="27" t="str">
        <x:v>ICN057</x:v>
      </x:c>
      <x:c r="K72" s="25" t="str">
        <x:v>政企数字化、可信流通与安全运营</x:v>
      </x:c>
      <x:c r="L72" s="28" t="n">
        <x:v>70</x:v>
      </x:c>
      <x:c r="M72" s="25" t="str">
        <x:v>中</x:v>
      </x:c>
      <x:c r="N72" s="26" t="str">
        <x:v>程序设计、互联网技术、数据库、运维、技术支持</x:v>
      </x:c>
      <x:c r="O72" s="26" t="str">
        <x:v>岗位名称/描述出现“程序设计、互联网技术、数据库”，工作环节更贴近“运维、技术支持”，因此关联到该节点。</x:v>
      </x:c>
      <x:c r="P72" s="26" t="str">
        <x:v>自动通过</x:v>
      </x:c>
    </x:row>
    <x:row r="73" ht="44" customHeight="1">
      <x:c r="A73" s="27" t="str">
        <x:v>REL000070</x:v>
      </x:c>
      <x:c r="B73" s="25" t="n">
        <x:v>10966</x:v>
      </x:c>
      <x:c r="C73" s="27" t="str">
        <x:v>IC-L3-223</x:v>
      </x:c>
      <x:c r="D73" s="25" t="str">
        <x:v>ERP实施顾问</x:v>
      </x:c>
      <x:c r="E73" s="27" t="str">
        <x:v>4-04-05-01</x:v>
      </x:c>
      <x:c r="F73" s="25" t="str">
        <x:v>计算机程序设计员</x:v>
      </x:c>
      <x:c r="G73" s="27" t="str">
        <x:v>IC19</x:v>
      </x:c>
      <x:c r="H73" s="25" t="str">
        <x:v>软件与数字安全产业链</x:v>
      </x:c>
      <x:c r="I73" s="25" t="str">
        <x:v>中游</x:v>
      </x:c>
      <x:c r="J73" s="27" t="str">
        <x:v>ICN056</x:v>
      </x:c>
      <x:c r="K73" s="25" t="str">
        <x:v>应用软件、区块链平台与安全产品</x:v>
      </x:c>
      <x:c r="L73" s="28" t="n">
        <x:v>80</x:v>
      </x:c>
      <x:c r="M73" s="25" t="str">
        <x:v>中</x:v>
      </x:c>
      <x:c r="N73" s="26" t="str">
        <x:v>erp、程序设计、互联网技术、程序、测试</x:v>
      </x:c>
      <x:c r="O73" s="26" t="str">
        <x:v>岗位名称/描述出现“erp、程序设计、互联网技术”，工作环节更贴近“erp、程序、测试”，因此关联到该节点。</x:v>
      </x:c>
      <x:c r="P73" s="26" t="str">
        <x:v>自动通过</x:v>
      </x:c>
    </x:row>
    <x:row r="74" ht="44" customHeight="1">
      <x:c r="A74" s="27" t="str">
        <x:v>REL000071</x:v>
      </x:c>
      <x:c r="B74" s="25" t="n">
        <x:v>10966</x:v>
      </x:c>
      <x:c r="C74" s="27" t="str">
        <x:v>IC-L3-223</x:v>
      </x:c>
      <x:c r="D74" s="25" t="str">
        <x:v>ERP实施顾问</x:v>
      </x:c>
      <x:c r="E74" s="27" t="str">
        <x:v>4-04-05-01</x:v>
      </x:c>
      <x:c r="F74" s="25" t="str">
        <x:v>计算机程序设计员</x:v>
      </x:c>
      <x:c r="G74" s="27" t="str">
        <x:v>IC19</x:v>
      </x:c>
      <x:c r="H74" s="25" t="str">
        <x:v>软件与数字安全产业链</x:v>
      </x:c>
      <x:c r="I74" s="25" t="str">
        <x:v>下游</x:v>
      </x:c>
      <x:c r="J74" s="27" t="str">
        <x:v>ICN057</x:v>
      </x:c>
      <x:c r="K74" s="25" t="str">
        <x:v>政企数字化、可信流通与安全运营</x:v>
      </x:c>
      <x:c r="L74" s="28" t="n">
        <x:v>79</x:v>
      </x:c>
      <x:c r="M74" s="25" t="str">
        <x:v>中</x:v>
      </x:c>
      <x:c r="N74" s="26" t="str">
        <x:v>erp、程序设计、互联网技术、实施、技术支持、解决方案</x:v>
      </x:c>
      <x:c r="O74" s="26" t="str">
        <x:v>岗位名称/描述出现“erp、程序设计、互联网技术”，工作环节更贴近“实施、技术支持、解决方案”，因此关联到该节点。</x:v>
      </x:c>
      <x:c r="P74" s="26" t="str">
        <x:v>自动通过</x:v>
      </x:c>
    </x:row>
    <x:row r="75" ht="44" customHeight="1">
      <x:c r="A75" s="27" t="str">
        <x:v>REL000072</x:v>
      </x:c>
      <x:c r="B75" s="25" t="n">
        <x:v>10967</x:v>
      </x:c>
      <x:c r="C75" s="27" t="str">
        <x:v>IC-L3-224</x:v>
      </x:c>
      <x:c r="D75" s="25" t="str">
        <x:v>IT技术支持</x:v>
      </x:c>
      <x:c r="E75" s="27" t="str">
        <x:v>4-04-05-01</x:v>
      </x:c>
      <x:c r="F75" s="25" t="str">
        <x:v>计算机程序设计员</x:v>
      </x:c>
      <x:c r="G75" s="27" t="str">
        <x:v>IC19</x:v>
      </x:c>
      <x:c r="H75" s="25" t="str">
        <x:v>软件与数字安全产业链</x:v>
      </x:c>
      <x:c r="I75" s="25" t="str">
        <x:v>下游</x:v>
      </x:c>
      <x:c r="J75" s="27" t="str">
        <x:v>ICN057</x:v>
      </x:c>
      <x:c r="K75" s="25" t="str">
        <x:v>政企数字化、可信流通与安全运营</x:v>
      </x:c>
      <x:c r="L75" s="28" t="n">
        <x:v>64</x:v>
      </x:c>
      <x:c r="M75" s="25" t="str">
        <x:v>低</x:v>
      </x:c>
      <x:c r="N75" s="26" t="str">
        <x:v>程序设计、软件、互联网技术、技术支持、解决方案</x:v>
      </x:c>
      <x:c r="O75" s="26" t="str">
        <x:v>岗位名称/描述出现“程序设计、软件、互联网技术”，工作环节更贴近“技术支持、解决方案”，因此关联到该节点。</x:v>
      </x:c>
      <x:c r="P75" s="26" t="str">
        <x:v>建议复核</x:v>
      </x:c>
    </x:row>
    <x:row r="76" ht="44" customHeight="1">
      <x:c r="A76" s="27" t="str">
        <x:v>REL000073</x:v>
      </x:c>
      <x:c r="B76" s="25" t="n">
        <x:v>10969</x:v>
      </x:c>
      <x:c r="C76" s="27" t="str">
        <x:v>IC-L3-226</x:v>
      </x:c>
      <x:c r="D76" s="25" t="str">
        <x:v>系统工程师</x:v>
      </x:c>
      <x:c r="E76" s="27" t="str">
        <x:v>4-04-05-01</x:v>
      </x:c>
      <x:c r="F76" s="25" t="str">
        <x:v>计算机程序设计员</x:v>
      </x:c>
      <x:c r="G76" s="27" t="str">
        <x:v>IC19</x:v>
      </x:c>
      <x:c r="H76" s="25" t="str">
        <x:v>软件与数字安全产业链</x:v>
      </x:c>
      <x:c r="I76" s="25" t="str">
        <x:v>中游</x:v>
      </x:c>
      <x:c r="J76" s="27" t="str">
        <x:v>ICN056</x:v>
      </x:c>
      <x:c r="K76" s="25" t="str">
        <x:v>应用软件、区块链平台与安全产品</x:v>
      </x:c>
      <x:c r="L76" s="28" t="n">
        <x:v>67</x:v>
      </x:c>
      <x:c r="M76" s="25" t="str">
        <x:v>低</x:v>
      </x:c>
      <x:c r="N76" s="26" t="str">
        <x:v>程序设计、软件、互联网技术、前端、网络安全、程序、软件开发</x:v>
      </x:c>
      <x:c r="O76" s="26" t="str">
        <x:v>岗位名称/描述出现“程序设计、软件、互联网技术、前端、网络安全”，工作环节更贴近“程序、软件开发、前端”，因此关联到该节点。</x:v>
      </x:c>
      <x:c r="P76" s="26" t="str">
        <x:v>建议复核</x:v>
      </x:c>
    </x:row>
    <x:row r="77" ht="44" customHeight="1">
      <x:c r="A77" s="27" t="str">
        <x:v>REL000074</x:v>
      </x:c>
      <x:c r="B77" s="25" t="n">
        <x:v>10971</x:v>
      </x:c>
      <x:c r="C77" s="27" t="str">
        <x:v>IC-L3-228</x:v>
      </x:c>
      <x:c r="D77" s="25" t="str">
        <x:v>网络安全工程师</x:v>
      </x:c>
      <x:c r="E77" s="27" t="str">
        <x:v>2-02-28-03</x:v>
      </x:c>
      <x:c r="F77" s="25" t="str">
        <x:v>安全生产管理工程技术人员</x:v>
      </x:c>
      <x:c r="G77" s="27" t="str">
        <x:v>IC19</x:v>
      </x:c>
      <x:c r="H77" s="25" t="str">
        <x:v>软件与数字安全产业链</x:v>
      </x:c>
      <x:c r="I77" s="25" t="str">
        <x:v>中游</x:v>
      </x:c>
      <x:c r="J77" s="27" t="str">
        <x:v>ICN056</x:v>
      </x:c>
      <x:c r="K77" s="25" t="str">
        <x:v>应用软件、区块链平台与安全产品</x:v>
      </x:c>
      <x:c r="L77" s="28" t="n">
        <x:v>70</x:v>
      </x:c>
      <x:c r="M77" s="25" t="str">
        <x:v>中</x:v>
      </x:c>
      <x:c r="N77" s="26" t="str">
        <x:v>网络安全、互联网技术、信息安全</x:v>
      </x:c>
      <x:c r="O77" s="26" t="str">
        <x:v>岗位名称/描述出现“网络安全、互联网技术、信息安全”，工作环节更贴近“中游”，因此关联到该节点。</x:v>
      </x:c>
      <x:c r="P77" s="26" t="str">
        <x:v>自动通过</x:v>
      </x:c>
    </x:row>
    <x:row r="78" ht="44" customHeight="1">
      <x:c r="A78" s="27" t="str">
        <x:v>REL000075</x:v>
      </x:c>
      <x:c r="B78" s="25" t="n">
        <x:v>10972</x:v>
      </x:c>
      <x:c r="C78" s="27" t="str">
        <x:v>IC-L3-229</x:v>
      </x:c>
      <x:c r="D78" s="25" t="str">
        <x:v>网络工程师</x:v>
      </x:c>
      <x:c r="E78" s="27" t="str">
        <x:v>2-02-10-01</x:v>
      </x:c>
      <x:c r="F78" s="25" t="str">
        <x:v>通信工程技术人员</x:v>
      </x:c>
      <x:c r="G78" s="27" t="str">
        <x:v>IC10</x:v>
      </x:c>
      <x:c r="H78" s="25" t="str">
        <x:v>新一代信息基础设施产业链</x:v>
      </x:c>
      <x:c r="I78" s="25" t="str">
        <x:v>中游</x:v>
      </x:c>
      <x:c r="J78" s="27" t="str">
        <x:v>ICN029</x:v>
      </x:c>
      <x:c r="K78" s="25" t="str">
        <x:v>5G网络、数据中心与云边平台</x:v>
      </x:c>
      <x:c r="L78" s="28" t="n">
        <x:v>73</x:v>
      </x:c>
      <x:c r="M78" s="25" t="str">
        <x:v>中</x:v>
      </x:c>
      <x:c r="N78" s="26" t="str">
        <x:v>网络工程、通信、网络架构、架构</x:v>
      </x:c>
      <x:c r="O78" s="26" t="str">
        <x:v>岗位名称/描述出现“网络工程、通信、网络架构”，工作环节更贴近“架构”，因此关联到该节点。</x:v>
      </x:c>
      <x:c r="P78" s="26" t="str">
        <x:v>自动通过</x:v>
      </x:c>
    </x:row>
    <x:row r="79" ht="44" customHeight="1">
      <x:c r="A79" s="27" t="str">
        <x:v>REL000076</x:v>
      </x:c>
      <x:c r="B79" s="25" t="n">
        <x:v>10973</x:v>
      </x:c>
      <x:c r="C79" s="27" t="str">
        <x:v>IC-L3-230</x:v>
      </x:c>
      <x:c r="D79" s="25" t="str">
        <x:v>自动化运维工程师</x:v>
      </x:c>
      <x:c r="E79" s="27" t="str">
        <x:v>4-04-05-01</x:v>
      </x:c>
      <x:c r="F79" s="25" t="str">
        <x:v>计算机程序设计员</x:v>
      </x:c>
      <x:c r="G79" s="27" t="str">
        <x:v>IC19</x:v>
      </x:c>
      <x:c r="H79" s="25" t="str">
        <x:v>软件与数字安全产业链</x:v>
      </x:c>
      <x:c r="I79" s="25" t="str">
        <x:v>下游</x:v>
      </x:c>
      <x:c r="J79" s="27" t="str">
        <x:v>ICN057</x:v>
      </x:c>
      <x:c r="K79" s="25" t="str">
        <x:v>政企数字化、可信流通与安全运营</x:v>
      </x:c>
      <x:c r="L79" s="28" t="n">
        <x:v>65</x:v>
      </x:c>
      <x:c r="M79" s="25" t="str">
        <x:v>低</x:v>
      </x:c>
      <x:c r="N79" s="26" t="str">
        <x:v>程序设计、互联网技术、python、运维、实施、解决方案</x:v>
      </x:c>
      <x:c r="O79" s="26" t="str">
        <x:v>岗位名称/描述出现“程序设计、互联网技术、python”，工作环节更贴近“运维、实施、解决方案”，因此关联到该节点。</x:v>
      </x:c>
      <x:c r="P79" s="26" t="str">
        <x:v>建议复核</x:v>
      </x:c>
    </x:row>
    <x:row r="80" ht="44" customHeight="1">
      <x:c r="A80" s="27" t="str">
        <x:v>REL000077</x:v>
      </x:c>
      <x:c r="B80" s="25" t="n">
        <x:v>10976</x:v>
      </x:c>
      <x:c r="C80" s="27" t="str">
        <x:v>IC-L3-233</x:v>
      </x:c>
      <x:c r="D80" s="25" t="str">
        <x:v>软件测试</x:v>
      </x:c>
      <x:c r="E80" s="27" t="str">
        <x:v>4-04-05-01</x:v>
      </x:c>
      <x:c r="F80" s="25" t="str">
        <x:v>计算机程序设计员</x:v>
      </x:c>
      <x:c r="G80" s="27" t="str">
        <x:v>IC19</x:v>
      </x:c>
      <x:c r="H80" s="25" t="str">
        <x:v>软件与数字安全产业链</x:v>
      </x:c>
      <x:c r="I80" s="25" t="str">
        <x:v>中游</x:v>
      </x:c>
      <x:c r="J80" s="27" t="str">
        <x:v>ICN056</x:v>
      </x:c>
      <x:c r="K80" s="25" t="str">
        <x:v>应用软件、区块链平台与安全产品</x:v>
      </x:c>
      <x:c r="L80" s="28" t="n">
        <x:v>93</x:v>
      </x:c>
      <x:c r="M80" s="25" t="str">
        <x:v>高</x:v>
      </x:c>
      <x:c r="N80" s="26" t="str">
        <x:v>软件、软件测试、程序设计、测试、程序</x:v>
      </x:c>
      <x:c r="O80" s="26" t="str">
        <x:v>岗位名称/描述出现“软件、软件测试、程序设计”，工作环节更贴近“测试、程序”，因此关联到该节点。</x:v>
      </x:c>
      <x:c r="P80" s="26" t="str">
        <x:v>自动通过</x:v>
      </x:c>
    </x:row>
    <x:row r="81" ht="44" customHeight="1">
      <x:c r="A81" s="27" t="str">
        <x:v>REL000078</x:v>
      </x:c>
      <x:c r="B81" s="25" t="n">
        <x:v>10978</x:v>
      </x:c>
      <x:c r="C81" s="27" t="str">
        <x:v>IC-L3-235</x:v>
      </x:c>
      <x:c r="D81" s="25" t="str">
        <x:v>用户运营</x:v>
      </x:c>
      <x:c r="E81" s="27" t="str">
        <x:v>4-04-05-01</x:v>
      </x:c>
      <x:c r="F81" s="25" t="str">
        <x:v>计算机程序设计员</x:v>
      </x:c>
      <x:c r="G81" s="27" t="str">
        <x:v>IC01</x:v>
      </x:c>
      <x:c r="H81" s="25" t="str">
        <x:v>数据要素与数字经济产业链</x:v>
      </x:c>
      <x:c r="I81" s="25" t="str">
        <x:v>中游</x:v>
      </x:c>
      <x:c r="J81" s="27" t="str">
        <x:v>ICN002</x:v>
      </x:c>
      <x:c r="K81" s="25" t="str">
        <x:v>数据治理、流通与服务</x:v>
      </x:c>
      <x:c r="L81" s="28" t="n">
        <x:v>66</x:v>
      </x:c>
      <x:c r="M81" s="25" t="str">
        <x:v>低</x:v>
      </x:c>
      <x:c r="N81" s="26" t="str">
        <x:v>用户运营</x:v>
      </x:c>
      <x:c r="O81" s="26" t="str">
        <x:v>岗位名称/描述出现“用户运营”，工作环节更贴近“中游”，因此关联到该节点。</x:v>
      </x:c>
      <x:c r="P81" s="26" t="str">
        <x:v>建议复核</x:v>
      </x:c>
    </x:row>
    <x:row r="82" ht="44" customHeight="1">
      <x:c r="A82" s="27" t="str">
        <x:v>REL000079</x:v>
      </x:c>
      <x:c r="B82" s="25" t="n">
        <x:v>10981</x:v>
      </x:c>
      <x:c r="C82" s="27" t="str">
        <x:v>IC-L3-238</x:v>
      </x:c>
      <x:c r="D82" s="25" t="str">
        <x:v>直播运营</x:v>
      </x:c>
      <x:c r="E82" s="27" t="str">
        <x:v>4-04-05-01</x:v>
      </x:c>
      <x:c r="F82" s="25" t="str">
        <x:v>计算机程序设计员</x:v>
      </x:c>
      <x:c r="G82" s="27" t="str">
        <x:v>IC01</x:v>
      </x:c>
      <x:c r="H82" s="25" t="str">
        <x:v>数据要素与数字经济产业链</x:v>
      </x:c>
      <x:c r="I82" s="25" t="str">
        <x:v>下游</x:v>
      </x:c>
      <x:c r="J82" s="27" t="str">
        <x:v>ICN003</x:v>
      </x:c>
      <x:c r="K82" s="25" t="str">
        <x:v>数字经济场景应用与内容创意</x:v>
      </x:c>
      <x:c r="L82" s="28" t="n">
        <x:v>71</x:v>
      </x:c>
      <x:c r="M82" s="25" t="str">
        <x:v>中</x:v>
      </x:c>
      <x:c r="N82" s="26" t="str">
        <x:v>直播</x:v>
      </x:c>
      <x:c r="O82" s="26" t="str">
        <x:v>岗位名称/描述出现“直播”，工作环节更贴近“直播”，因此关联到该节点。</x:v>
      </x:c>
      <x:c r="P82" s="26" t="str">
        <x:v>自动通过</x:v>
      </x:c>
    </x:row>
    <x:row r="83" ht="44" customHeight="1">
      <x:c r="A83" s="27" t="str">
        <x:v>REL000080</x:v>
      </x:c>
      <x:c r="B83" s="25" t="n">
        <x:v>10987</x:v>
      </x:c>
      <x:c r="C83" s="27" t="str">
        <x:v>IC-L3-244</x:v>
      </x:c>
      <x:c r="D83" s="25" t="str">
        <x:v>售后技术支持工程师</x:v>
      </x:c>
      <x:c r="E83" s="27" t="str">
        <x:v>4-04-05-01</x:v>
      </x:c>
      <x:c r="F83" s="25" t="str">
        <x:v>计算机程序设计员</x:v>
      </x:c>
      <x:c r="G83" s="27" t="str">
        <x:v>IC19</x:v>
      </x:c>
      <x:c r="H83" s="25" t="str">
        <x:v>软件与数字安全产业链</x:v>
      </x:c>
      <x:c r="I83" s="25" t="str">
        <x:v>下游</x:v>
      </x:c>
      <x:c r="J83" s="27" t="str">
        <x:v>ICN057</x:v>
      </x:c>
      <x:c r="K83" s="25" t="str">
        <x:v>政企数字化、可信流通与安全运营</x:v>
      </x:c>
      <x:c r="L83" s="28" t="n">
        <x:v>64</x:v>
      </x:c>
      <x:c r="M83" s="25" t="str">
        <x:v>低</x:v>
      </x:c>
      <x:c r="N83" s="26" t="str">
        <x:v>程序设计、软件、互联网技术、技术支持、解决方案</x:v>
      </x:c>
      <x:c r="O83" s="26" t="str">
        <x:v>岗位名称/描述出现“程序设计、软件、互联网技术”，工作环节更贴近“技术支持、解决方案”，因此关联到该节点。</x:v>
      </x:c>
      <x:c r="P83" s="26" t="str">
        <x:v>建议复核</x:v>
      </x:c>
    </x:row>
    <x:row r="84" ht="44" customHeight="1">
      <x:c r="A84" s="27" t="str">
        <x:v>REL000081</x:v>
      </x:c>
      <x:c r="B84" s="25" t="n">
        <x:v>10996</x:v>
      </x:c>
      <x:c r="C84" s="27" t="str">
        <x:v>IC-L3-253</x:v>
      </x:c>
      <x:c r="D84" s="25" t="str">
        <x:v>数据产品经理</x:v>
      </x:c>
      <x:c r="E84" s="27" t="str">
        <x:v>2-02-10-03</x:v>
      </x:c>
      <x:c r="F84" s="25" t="str">
        <x:v>计算机软件工程技术人员</x:v>
      </x:c>
      <x:c r="G84" s="27" t="str">
        <x:v>IC01</x:v>
      </x:c>
      <x:c r="H84" s="25" t="str">
        <x:v>数据要素与数字经济产业链</x:v>
      </x:c>
      <x:c r="I84" s="25" t="str">
        <x:v>下游</x:v>
      </x:c>
      <x:c r="J84" s="27" t="str">
        <x:v>ICN003</x:v>
      </x:c>
      <x:c r="K84" s="25" t="str">
        <x:v>数字经济场景应用与内容创意</x:v>
      </x:c>
      <x:c r="L84" s="28" t="n">
        <x:v>77</x:v>
      </x:c>
      <x:c r="M84" s="25" t="str">
        <x:v>中</x:v>
      </x:c>
      <x:c r="N84" s="26" t="str">
        <x:v>数据产品、大数据、数据分析、数据采集</x:v>
      </x:c>
      <x:c r="O84" s="26" t="str">
        <x:v>岗位名称/描述出现“数据产品、大数据、数据分析、数据采集”，工作环节更贴近“数据产品”，因此关联到该节点。</x:v>
      </x:c>
      <x:c r="P84" s="26" t="str">
        <x:v>自动通过</x:v>
      </x:c>
    </x:row>
    <x:row r="85" ht="44" customHeight="1">
      <x:c r="A85" s="27" t="str">
        <x:v>REL000082</x:v>
      </x:c>
      <x:c r="B85" s="25" t="n">
        <x:v>10999</x:v>
      </x:c>
      <x:c r="C85" s="27" t="str">
        <x:v>IC-L3-256</x:v>
      </x:c>
      <x:c r="D85" s="25" t="str">
        <x:v>电商产品经理</x:v>
      </x:c>
      <x:c r="E85" s="27" t="str">
        <x:v>2-02-10-03</x:v>
      </x:c>
      <x:c r="F85" s="25" t="str">
        <x:v>计算机软件工程技术人员</x:v>
      </x:c>
      <x:c r="G85" s="27" t="str">
        <x:v>IC01</x:v>
      </x:c>
      <x:c r="H85" s="25" t="str">
        <x:v>数据要素与数字经济产业链</x:v>
      </x:c>
      <x:c r="I85" s="25" t="str">
        <x:v>下游</x:v>
      </x:c>
      <x:c r="J85" s="27" t="str">
        <x:v>ICN003</x:v>
      </x:c>
      <x:c r="K85" s="25" t="str">
        <x:v>数字经济场景应用与内容创意</x:v>
      </x:c>
      <x:c r="L85" s="28" t="n">
        <x:v>75</x:v>
      </x:c>
      <x:c r="M85" s="25" t="str">
        <x:v>中</x:v>
      </x:c>
      <x:c r="N85" s="26" t="str">
        <x:v>电商、数据分析、增长、品牌</x:v>
      </x:c>
      <x:c r="O85" s="26" t="str">
        <x:v>岗位名称/描述出现“电商、数据分析”，工作环节更贴近“电商、增长、品牌”，因此关联到该节点。</x:v>
      </x:c>
      <x:c r="P85" s="26" t="str">
        <x:v>自动通过</x:v>
      </x:c>
    </x:row>
    <x:row r="86" ht="44" customHeight="1">
      <x:c r="A86" s="27" t="str">
        <x:v>REL000083</x:v>
      </x:c>
      <x:c r="B86" s="25" t="n">
        <x:v>11003</x:v>
      </x:c>
      <x:c r="C86" s="27" t="str">
        <x:v>IC-L3-260</x:v>
      </x:c>
      <x:c r="D86" s="25" t="str">
        <x:v>医药产品经理</x:v>
      </x:c>
      <x:c r="E86" s="27" t="str">
        <x:v>2-06-07-07</x:v>
      </x:c>
      <x:c r="F86" s="25" t="str">
        <x:v>医药代表</x:v>
      </x:c>
      <x:c r="G86" s="27" t="str">
        <x:v>IC04</x:v>
      </x:c>
      <x:c r="H86" s="25" t="str">
        <x:v>医药生物与医疗健康产业链</x:v>
      </x:c>
      <x:c r="I86" s="25" t="str">
        <x:v>下游</x:v>
      </x:c>
      <x:c r="J86" s="27" t="str">
        <x:v>ICN012</x:v>
      </x:c>
      <x:c r="K86" s="25" t="str">
        <x:v>医疗服务、临床应用与健康管理</x:v>
      </x:c>
      <x:c r="L86" s="28" t="n">
        <x:v>72</x:v>
      </x:c>
      <x:c r="M86" s="25" t="str">
        <x:v>中</x:v>
      </x:c>
      <x:c r="N86" s="26" t="str">
        <x:v>医药、医疗、医药代表</x:v>
      </x:c>
      <x:c r="O86" s="26" t="str">
        <x:v>岗位名称/描述出现“医药、医疗”，工作环节更贴近“医药代表”，因此关联到该节点。</x:v>
      </x:c>
      <x:c r="P86" s="26" t="str">
        <x:v>自动通过</x:v>
      </x:c>
    </x:row>
    <x:row r="87" ht="44" customHeight="1">
      <x:c r="A87" s="27" t="str">
        <x:v>REL000084</x:v>
      </x:c>
      <x:c r="B87" s="25" t="n">
        <x:v>11005</x:v>
      </x:c>
      <x:c r="C87" s="27" t="str">
        <x:v>IC-L3-262</x:v>
      </x:c>
      <x:c r="D87" s="25" t="str">
        <x:v>电子产品经理/产品工程师</x:v>
      </x:c>
      <x:c r="E87" s="27" t="str">
        <x:v>2-02-09-02</x:v>
      </x:c>
      <x:c r="F87" s="25" t="str">
        <x:v>电子元器件工程技术人员</x:v>
      </x:c>
      <x:c r="G87" s="27" t="str">
        <x:v>IC06</x:v>
      </x:c>
      <x:c r="H87" s="25" t="str">
        <x:v>智能物联与消费电子产业链</x:v>
      </x:c>
      <x:c r="I87" s="25" t="str">
        <x:v>中游</x:v>
      </x:c>
      <x:c r="J87" s="27" t="str">
        <x:v>ICN017</x:v>
      </x:c>
      <x:c r="K87" s="25" t="str">
        <x:v>智能终端、家电与物联平台</x:v>
      </x:c>
      <x:c r="L87" s="28" t="n">
        <x:v>82</x:v>
      </x:c>
      <x:c r="M87" s="25" t="str">
        <x:v>高</x:v>
      </x:c>
      <x:c r="N87" s="26" t="str">
        <x:v>电子产品、电子元器件、产品</x:v>
      </x:c>
      <x:c r="O87" s="26" t="str">
        <x:v>岗位名称/描述出现“电子产品、电子元器件”，工作环节更贴近“电子产品、产品”，因此关联到该节点。</x:v>
      </x:c>
      <x:c r="P87" s="26" t="str">
        <x:v>自动通过</x:v>
      </x:c>
    </x:row>
    <x:row r="88" ht="44" customHeight="1">
      <x:c r="A88" s="27" t="str">
        <x:v>REL000085</x:v>
      </x:c>
      <x:c r="B88" s="25" t="n">
        <x:v>11008</x:v>
      </x:c>
      <x:c r="C88" s="27" t="str">
        <x:v>IC-L3-265</x:v>
      </x:c>
      <x:c r="D88" s="25" t="str">
        <x:v>数据产品经理</x:v>
      </x:c>
      <x:c r="E88" s="27" t="str">
        <x:v>2-02-10-03</x:v>
      </x:c>
      <x:c r="F88" s="25" t="str">
        <x:v>计算机软件工程技术人员</x:v>
      </x:c>
      <x:c r="G88" s="27" t="str">
        <x:v>IC01</x:v>
      </x:c>
      <x:c r="H88" s="25" t="str">
        <x:v>数据要素与数字经济产业链</x:v>
      </x:c>
      <x:c r="I88" s="25" t="str">
        <x:v>下游</x:v>
      </x:c>
      <x:c r="J88" s="27" t="str">
        <x:v>ICN003</x:v>
      </x:c>
      <x:c r="K88" s="25" t="str">
        <x:v>数字经济场景应用与内容创意</x:v>
      </x:c>
      <x:c r="L88" s="28" t="n">
        <x:v>74</x:v>
      </x:c>
      <x:c r="M88" s="25" t="str">
        <x:v>中</x:v>
      </x:c>
      <x:c r="N88" s="26" t="str">
        <x:v>数据产品、数据开发、增长</x:v>
      </x:c>
      <x:c r="O88" s="26" t="str">
        <x:v>岗位名称/描述出现“数据产品、数据开发”，工作环节更贴近“数据产品、增长”，因此关联到该节点。</x:v>
      </x:c>
      <x:c r="P88" s="26" t="str">
        <x:v>自动通过</x:v>
      </x:c>
    </x:row>
    <x:row r="89" ht="44" customHeight="1">
      <x:c r="A89" s="27" t="str">
        <x:v>REL000086</x:v>
      </x:c>
      <x:c r="B89" s="25" t="n">
        <x:v>11010</x:v>
      </x:c>
      <x:c r="C89" s="27" t="str">
        <x:v>IC-L3-267</x:v>
      </x:c>
      <x:c r="D89" s="25" t="str">
        <x:v>游戏关卡策划</x:v>
      </x:c>
      <x:c r="E89" s="27" t="str">
        <x:v>2-09-06-01</x:v>
      </x:c>
      <x:c r="F89" s="25" t="str">
        <x:v>视觉传达设计人员</x:v>
      </x:c>
      <x:c r="G89" s="27" t="str">
        <x:v>IC18</x:v>
      </x:c>
      <x:c r="H89" s="25" t="str">
        <x:v>新型显示与虚拟现实产业链</x:v>
      </x:c>
      <x:c r="I89" s="25" t="str">
        <x:v>下游</x:v>
      </x:c>
      <x:c r="J89" s="27" t="str">
        <x:v>ICN054</x:v>
      </x:c>
      <x:c r="K89" s="25" t="str">
        <x:v>沉浸式内容、行业应用与消费场景</x:v>
      </x:c>
      <x:c r="L89" s="28" t="n">
        <x:v>73</x:v>
      </x:c>
      <x:c r="M89" s="25" t="str">
        <x:v>中</x:v>
      </x:c>
      <x:c r="N89" s="26" t="str">
        <x:v>游戏</x:v>
      </x:c>
      <x:c r="O89" s="26" t="str">
        <x:v>岗位名称/描述出现“游戏”，工作环节更贴近“游戏”，因此关联到该节点。</x:v>
      </x:c>
      <x:c r="P89" s="26" t="str">
        <x:v>自动通过</x:v>
      </x:c>
    </x:row>
    <x:row r="90" ht="44" customHeight="1">
      <x:c r="A90" s="27" t="str">
        <x:v>REL000087</x:v>
      </x:c>
      <x:c r="B90" s="25" t="n">
        <x:v>11011</x:v>
      </x:c>
      <x:c r="C90" s="27" t="str">
        <x:v>IC-L3-268</x:v>
      </x:c>
      <x:c r="D90" s="25" t="str">
        <x:v>游戏制作人</x:v>
      </x:c>
      <x:c r="E90" s="27" t="str">
        <x:v>2-09-06-01</x:v>
      </x:c>
      <x:c r="F90" s="25" t="str">
        <x:v>视觉传达设计人员</x:v>
      </x:c>
      <x:c r="G90" s="27" t="str">
        <x:v>IC18</x:v>
      </x:c>
      <x:c r="H90" s="25" t="str">
        <x:v>新型显示与虚拟现实产业链</x:v>
      </x:c>
      <x:c r="I90" s="25" t="str">
        <x:v>下游</x:v>
      </x:c>
      <x:c r="J90" s="27" t="str">
        <x:v>ICN054</x:v>
      </x:c>
      <x:c r="K90" s="25" t="str">
        <x:v>沉浸式内容、行业应用与消费场景</x:v>
      </x:c>
      <x:c r="L90" s="28" t="n">
        <x:v>73</x:v>
      </x:c>
      <x:c r="M90" s="25" t="str">
        <x:v>中</x:v>
      </x:c>
      <x:c r="N90" s="26" t="str">
        <x:v>游戏</x:v>
      </x:c>
      <x:c r="O90" s="26" t="str">
        <x:v>岗位名称/描述出现“游戏”，工作环节更贴近“游戏”，因此关联到该节点。</x:v>
      </x:c>
      <x:c r="P90" s="26" t="str">
        <x:v>自动通过</x:v>
      </x:c>
    </x:row>
    <x:row r="91" ht="44" customHeight="1">
      <x:c r="A91" s="27" t="str">
        <x:v>REL000088</x:v>
      </x:c>
      <x:c r="B91" s="25" t="n">
        <x:v>11012</x:v>
      </x:c>
      <x:c r="C91" s="27" t="str">
        <x:v>IC-L3-269</x:v>
      </x:c>
      <x:c r="D91" s="25" t="str">
        <x:v>游戏数值策划</x:v>
      </x:c>
      <x:c r="E91" s="27" t="str">
        <x:v>2-09-06-01</x:v>
      </x:c>
      <x:c r="F91" s="25" t="str">
        <x:v>视觉传达设计人员</x:v>
      </x:c>
      <x:c r="G91" s="27" t="str">
        <x:v>IC18</x:v>
      </x:c>
      <x:c r="H91" s="25" t="str">
        <x:v>新型显示与虚拟现实产业链</x:v>
      </x:c>
      <x:c r="I91" s="25" t="str">
        <x:v>下游</x:v>
      </x:c>
      <x:c r="J91" s="27" t="str">
        <x:v>ICN054</x:v>
      </x:c>
      <x:c r="K91" s="25" t="str">
        <x:v>沉浸式内容、行业应用与消费场景</x:v>
      </x:c>
      <x:c r="L91" s="28" t="n">
        <x:v>73</x:v>
      </x:c>
      <x:c r="M91" s="25" t="str">
        <x:v>中</x:v>
      </x:c>
      <x:c r="N91" s="26" t="str">
        <x:v>游戏</x:v>
      </x:c>
      <x:c r="O91" s="26" t="str">
        <x:v>岗位名称/描述出现“游戏”，工作环节更贴近“游戏”，因此关联到该节点。</x:v>
      </x:c>
      <x:c r="P91" s="26" t="str">
        <x:v>自动通过</x:v>
      </x:c>
    </x:row>
    <x:row r="92" ht="44" customHeight="1">
      <x:c r="A92" s="27" t="str">
        <x:v>REL000089</x:v>
      </x:c>
      <x:c r="B92" s="25" t="n">
        <x:v>11013</x:v>
      </x:c>
      <x:c r="C92" s="27" t="str">
        <x:v>IC-L3-270</x:v>
      </x:c>
      <x:c r="D92" s="25" t="str">
        <x:v>游戏文案策划/剧情策划</x:v>
      </x:c>
      <x:c r="E92" s="27" t="str">
        <x:v>2-09-06-01</x:v>
      </x:c>
      <x:c r="F92" s="25" t="str">
        <x:v>视觉传达设计人员</x:v>
      </x:c>
      <x:c r="G92" s="27" t="str">
        <x:v>IC01</x:v>
      </x:c>
      <x:c r="H92" s="25" t="str">
        <x:v>数据要素与数字经济产业链</x:v>
      </x:c>
      <x:c r="I92" s="25" t="str">
        <x:v>下游</x:v>
      </x:c>
      <x:c r="J92" s="27" t="str">
        <x:v>ICN003</x:v>
      </x:c>
      <x:c r="K92" s="25" t="str">
        <x:v>数字经济场景应用与内容创意</x:v>
      </x:c>
      <x:c r="L92" s="28" t="n">
        <x:v>76</x:v>
      </x:c>
      <x:c r="M92" s="25" t="str">
        <x:v>中</x:v>
      </x:c>
      <x:c r="N92" s="26" t="str">
        <x:v>文案、美术、视觉、增长、品牌</x:v>
      </x:c>
      <x:c r="O92" s="26" t="str">
        <x:v>岗位名称/描述出现“文案、美术”，工作环节更贴近“文案、视觉、增长、品牌”，因此关联到该节点。</x:v>
      </x:c>
      <x:c r="P92" s="26" t="str">
        <x:v>自动通过</x:v>
      </x:c>
    </x:row>
    <x:row r="93" ht="44" customHeight="1">
      <x:c r="A93" s="27" t="str">
        <x:v>REL000090</x:v>
      </x:c>
      <x:c r="B93" s="25" t="n">
        <x:v>11013</x:v>
      </x:c>
      <x:c r="C93" s="27" t="str">
        <x:v>IC-L3-270</x:v>
      </x:c>
      <x:c r="D93" s="25" t="str">
        <x:v>游戏文案策划/剧情策划</x:v>
      </x:c>
      <x:c r="E93" s="27" t="str">
        <x:v>2-09-06-01</x:v>
      </x:c>
      <x:c r="F93" s="25" t="str">
        <x:v>视觉传达设计人员</x:v>
      </x:c>
      <x:c r="G93" s="27" t="str">
        <x:v>IC18</x:v>
      </x:c>
      <x:c r="H93" s="25" t="str">
        <x:v>新型显示与虚拟现实产业链</x:v>
      </x:c>
      <x:c r="I93" s="25" t="str">
        <x:v>下游</x:v>
      </x:c>
      <x:c r="J93" s="27" t="str">
        <x:v>ICN054</x:v>
      </x:c>
      <x:c r="K93" s="25" t="str">
        <x:v>沉浸式内容、行业应用与消费场景</x:v>
      </x:c>
      <x:c r="L93" s="28" t="n">
        <x:v>74</x:v>
      </x:c>
      <x:c r="M93" s="25" t="str">
        <x:v>中</x:v>
      </x:c>
      <x:c r="N93" s="26" t="str">
        <x:v>游戏、内容</x:v>
      </x:c>
      <x:c r="O93" s="26" t="str">
        <x:v>岗位名称/描述出现“游戏”，工作环节更贴近“游戏、内容”，因此关联到该节点。</x:v>
      </x:c>
      <x:c r="P93" s="26" t="str">
        <x:v>自动通过</x:v>
      </x:c>
    </x:row>
    <x:row r="94" ht="44" customHeight="1">
      <x:c r="A94" s="27" t="str">
        <x:v>REL000091</x:v>
      </x:c>
      <x:c r="B94" s="25" t="n">
        <x:v>11014</x:v>
      </x:c>
      <x:c r="C94" s="27" t="str">
        <x:v>IC-L3-271</x:v>
      </x:c>
      <x:c r="D94" s="25" t="str">
        <x:v>游戏策划师</x:v>
      </x:c>
      <x:c r="E94" s="27" t="str">
        <x:v>2-09-06-01</x:v>
      </x:c>
      <x:c r="F94" s="25" t="str">
        <x:v>视觉传达设计人员</x:v>
      </x:c>
      <x:c r="G94" s="27" t="str">
        <x:v>IC18</x:v>
      </x:c>
      <x:c r="H94" s="25" t="str">
        <x:v>新型显示与虚拟现实产业链</x:v>
      </x:c>
      <x:c r="I94" s="25" t="str">
        <x:v>下游</x:v>
      </x:c>
      <x:c r="J94" s="27" t="str">
        <x:v>ICN054</x:v>
      </x:c>
      <x:c r="K94" s="25" t="str">
        <x:v>沉浸式内容、行业应用与消费场景</x:v>
      </x:c>
      <x:c r="L94" s="28" t="n">
        <x:v>74</x:v>
      </x:c>
      <x:c r="M94" s="25" t="str">
        <x:v>中</x:v>
      </x:c>
      <x:c r="N94" s="26" t="str">
        <x:v>游戏、内容</x:v>
      </x:c>
      <x:c r="O94" s="26" t="str">
        <x:v>岗位名称/描述出现“游戏”，工作环节更贴近“游戏、内容”，因此关联到该节点。</x:v>
      </x:c>
      <x:c r="P94" s="26" t="str">
        <x:v>自动通过</x:v>
      </x:c>
    </x:row>
    <x:row r="95" ht="44" customHeight="1">
      <x:c r="A95" s="27" t="str">
        <x:v>REL000092</x:v>
      </x:c>
      <x:c r="B95" s="25" t="n">
        <x:v>11015</x:v>
      </x:c>
      <x:c r="C95" s="27" t="str">
        <x:v>IC-L3-272</x:v>
      </x:c>
      <x:c r="D95" s="25" t="str">
        <x:v>游戏系统策划</x:v>
      </x:c>
      <x:c r="E95" s="27" t="str">
        <x:v>2-09-06-01</x:v>
      </x:c>
      <x:c r="F95" s="25" t="str">
        <x:v>视觉传达设计人员</x:v>
      </x:c>
      <x:c r="G95" s="27" t="str">
        <x:v>IC18</x:v>
      </x:c>
      <x:c r="H95" s="25" t="str">
        <x:v>新型显示与虚拟现实产业链</x:v>
      </x:c>
      <x:c r="I95" s="25" t="str">
        <x:v>下游</x:v>
      </x:c>
      <x:c r="J95" s="27" t="str">
        <x:v>ICN054</x:v>
      </x:c>
      <x:c r="K95" s="25" t="str">
        <x:v>沉浸式内容、行业应用与消费场景</x:v>
      </x:c>
      <x:c r="L95" s="28" t="n">
        <x:v>73</x:v>
      </x:c>
      <x:c r="M95" s="25" t="str">
        <x:v>中</x:v>
      </x:c>
      <x:c r="N95" s="26" t="str">
        <x:v>游戏</x:v>
      </x:c>
      <x:c r="O95" s="26" t="str">
        <x:v>岗位名称/描述出现“游戏”，工作环节更贴近“游戏”，因此关联到该节点。</x:v>
      </x:c>
      <x:c r="P95" s="26" t="str">
        <x:v>自动通过</x:v>
      </x:c>
    </x:row>
    <x:row r="96" ht="44" customHeight="1">
      <x:c r="A96" s="27" t="str">
        <x:v>REL000093</x:v>
      </x:c>
      <x:c r="B96" s="25" t="n">
        <x:v>11016</x:v>
      </x:c>
      <x:c r="C96" s="27" t="str">
        <x:v>IC-L3-273</x:v>
      </x:c>
      <x:c r="D96" s="25" t="str">
        <x:v>AR/VR产品经理</x:v>
      </x:c>
      <x:c r="E96" s="27" t="str">
        <x:v>2-02-09-02</x:v>
      </x:c>
      <x:c r="F96" s="25" t="str">
        <x:v>电子元器件工程技术人员</x:v>
      </x:c>
      <x:c r="G96" s="27" t="str">
        <x:v>IC18</x:v>
      </x:c>
      <x:c r="H96" s="25" t="str">
        <x:v>新型显示与虚拟现实产业链</x:v>
      </x:c>
      <x:c r="I96" s="25" t="str">
        <x:v>下游</x:v>
      </x:c>
      <x:c r="J96" s="27" t="str">
        <x:v>ICN054</x:v>
      </x:c>
      <x:c r="K96" s="25" t="str">
        <x:v>沉浸式内容、行业应用与消费场景</x:v>
      </x:c>
      <x:c r="L96" s="28" t="n">
        <x:v>78</x:v>
      </x:c>
      <x:c r="M96" s="25" t="str">
        <x:v>中</x:v>
      </x:c>
      <x:c r="N96" s="26" t="str">
        <x:v>vr、ar</x:v>
      </x:c>
      <x:c r="O96" s="26" t="str">
        <x:v>岗位名称/描述出现“vr”，工作环节更贴近“vr、ar”，因此关联到该节点。</x:v>
      </x:c>
      <x:c r="P96" s="26" t="str">
        <x:v>自动通过</x:v>
      </x:c>
    </x:row>
    <x:row r="97" ht="44" customHeight="1">
      <x:c r="A97" s="27" t="str">
        <x:v>REL000094</x:v>
      </x:c>
      <x:c r="B97" s="25" t="n">
        <x:v>11017</x:v>
      </x:c>
      <x:c r="C97" s="27" t="str">
        <x:v>IC-L3-274</x:v>
      </x:c>
      <x:c r="D97" s="25" t="str">
        <x:v>IoT产品经理</x:v>
      </x:c>
      <x:c r="E97" s="27" t="str">
        <x:v>2-02-09-02</x:v>
      </x:c>
      <x:c r="F97" s="25" t="str">
        <x:v>电子元器件工程技术人员</x:v>
      </x:c>
      <x:c r="G97" s="27" t="str">
        <x:v>IC06</x:v>
      </x:c>
      <x:c r="H97" s="25" t="str">
        <x:v>智能物联与消费电子产业链</x:v>
      </x:c>
      <x:c r="I97" s="25" t="str">
        <x:v>中游</x:v>
      </x:c>
      <x:c r="J97" s="27" t="str">
        <x:v>ICN017</x:v>
      </x:c>
      <x:c r="K97" s="25" t="str">
        <x:v>智能终端、家电与物联平台</x:v>
      </x:c>
      <x:c r="L97" s="28" t="n">
        <x:v>79</x:v>
      </x:c>
      <x:c r="M97" s="25" t="str">
        <x:v>中</x:v>
      </x:c>
      <x:c r="N97" s="26" t="str">
        <x:v>iot、电子元器件、物联网、智能硬件、产品</x:v>
      </x:c>
      <x:c r="O97" s="26" t="str">
        <x:v>岗位名称/描述出现“iot、电子元器件、物联网、智能硬件”，工作环节更贴近“产品”，因此关联到该节点。</x:v>
      </x:c>
      <x:c r="P97" s="26" t="str">
        <x:v>自动通过</x:v>
      </x:c>
    </x:row>
    <x:row r="98" ht="44" customHeight="1">
      <x:c r="A98" s="27" t="str">
        <x:v>REL000095</x:v>
      </x:c>
      <x:c r="B98" s="25" t="n">
        <x:v>11018</x:v>
      </x:c>
      <x:c r="C98" s="27" t="str">
        <x:v>IC-L3-275</x:v>
      </x:c>
      <x:c r="D98" s="25" t="str">
        <x:v>半导体产品经理/产品工程师</x:v>
      </x:c>
      <x:c r="E98" s="27" t="str">
        <x:v>2-02-09-02</x:v>
      </x:c>
      <x:c r="F98" s="25" t="str">
        <x:v>电子元器件工程技术人员</x:v>
      </x:c>
      <x:c r="G98" s="27" t="str">
        <x:v>IC16</x:v>
      </x:c>
      <x:c r="H98" s="25" t="str">
        <x:v>半导体与集成电路产业链</x:v>
      </x:c>
      <x:c r="I98" s="25" t="str">
        <x:v>下游</x:v>
      </x:c>
      <x:c r="J98" s="27" t="str">
        <x:v>ICN048</x:v>
      </x:c>
      <x:c r="K98" s="25" t="str">
        <x:v>电子终端、汽车与工业芯片应用</x:v>
      </x:c>
      <x:c r="L98" s="28" t="n">
        <x:v>72</x:v>
      </x:c>
      <x:c r="M98" s="25" t="str">
        <x:v>中</x:v>
      </x:c>
      <x:c r="N98" s="26" t="str">
        <x:v>半导体、产品、销售</x:v>
      </x:c>
      <x:c r="O98" s="26" t="str">
        <x:v>岗位名称/描述出现“半导体”，工作环节更贴近“产品、销售”，因此关联到该节点。</x:v>
      </x:c>
      <x:c r="P98" s="26" t="str">
        <x:v>自动通过</x:v>
      </x:c>
    </x:row>
    <x:row r="99" ht="44" customHeight="1">
      <x:c r="A99" s="27" t="str">
        <x:v>REL000096</x:v>
      </x:c>
      <x:c r="B99" s="25" t="n">
        <x:v>11019</x:v>
      </x:c>
      <x:c r="C99" s="27" t="str">
        <x:v>IC-L3-276</x:v>
      </x:c>
      <x:c r="D99" s="25" t="str">
        <x:v>智能硬件产品经理</x:v>
      </x:c>
      <x:c r="E99" s="27" t="str">
        <x:v>2-02-09-02</x:v>
      </x:c>
      <x:c r="F99" s="25" t="str">
        <x:v>电子元器件工程技术人员</x:v>
      </x:c>
      <x:c r="G99" s="27" t="str">
        <x:v>IC06</x:v>
      </x:c>
      <x:c r="H99" s="25" t="str">
        <x:v>智能物联与消费电子产业链</x:v>
      </x:c>
      <x:c r="I99" s="25" t="str">
        <x:v>中游</x:v>
      </x:c>
      <x:c r="J99" s="27" t="str">
        <x:v>ICN017</x:v>
      </x:c>
      <x:c r="K99" s="25" t="str">
        <x:v>智能终端、家电与物联平台</x:v>
      </x:c>
      <x:c r="L99" s="28" t="n">
        <x:v>75</x:v>
      </x:c>
      <x:c r="M99" s="25" t="str">
        <x:v>中</x:v>
      </x:c>
      <x:c r="N99" s="26" t="str">
        <x:v>智能硬件、电子元器件、产品</x:v>
      </x:c>
      <x:c r="O99" s="26" t="str">
        <x:v>岗位名称/描述出现“智能硬件、电子元器件”，工作环节更贴近“产品”，因此关联到该节点。</x:v>
      </x:c>
      <x:c r="P99" s="26" t="str">
        <x:v>自动通过</x:v>
      </x:c>
    </x:row>
    <x:row r="100" ht="44" customHeight="1">
      <x:c r="A100" s="27" t="str">
        <x:v>REL000097</x:v>
      </x:c>
      <x:c r="B100" s="25" t="n">
        <x:v>11020</x:v>
      </x:c>
      <x:c r="C100" s="27" t="str">
        <x:v>IC-L3-277</x:v>
      </x:c>
      <x:c r="D100" s="25" t="str">
        <x:v>硬件工程师</x:v>
      </x:c>
      <x:c r="E100" s="27" t="str">
        <x:v>2-02-09-02</x:v>
      </x:c>
      <x:c r="F100" s="25" t="str">
        <x:v>电子元器件工程技术人员</x:v>
      </x:c>
      <x:c r="G100" s="27" t="str">
        <x:v>IC06</x:v>
      </x:c>
      <x:c r="H100" s="25" t="str">
        <x:v>智能物联与消费电子产业链</x:v>
      </x:c>
      <x:c r="I100" s="25" t="str">
        <x:v>上游</x:v>
      </x:c>
      <x:c r="J100" s="27" t="str">
        <x:v>ICN016</x:v>
      </x:c>
      <x:c r="K100" s="25" t="str">
        <x:v>传感器、芯片模组与基础器件</x:v>
      </x:c>
      <x:c r="L100" s="28" t="n">
        <x:v>76</x:v>
      </x:c>
      <x:c r="M100" s="25" t="str">
        <x:v>中</x:v>
      </x:c>
      <x:c r="N100" s="26" t="str">
        <x:v>硬件工程、电子元器件、pcb、电路设计、元器件、电路</x:v>
      </x:c>
      <x:c r="O100" s="26" t="str">
        <x:v>岗位名称/描述出现“硬件工程、电子元器件、pcb、电路设计”，工作环节更贴近“元器件、pcb、电路”，因此关联到该节点。</x:v>
      </x:c>
      <x:c r="P100" s="26" t="str">
        <x:v>自动通过</x:v>
      </x:c>
    </x:row>
    <x:row r="101" ht="44" customHeight="1">
      <x:c r="A101" s="27" t="str">
        <x:v>REL000098</x:v>
      </x:c>
      <x:c r="B101" s="25" t="n">
        <x:v>11051</x:v>
      </x:c>
      <x:c r="C101" s="27" t="str">
        <x:v>IC-L3-308</x:v>
      </x:c>
      <x:c r="D101" s="25" t="str">
        <x:v>临床协调员</x:v>
      </x:c>
      <x:c r="E101" s="27" t="str">
        <x:v>2-05-07-01</x:v>
      </x:c>
      <x:c r="F101" s="25" t="str">
        <x:v>影像技师</x:v>
      </x:c>
      <x:c r="G101" s="27" t="str">
        <x:v>IC04</x:v>
      </x:c>
      <x:c r="H101" s="25" t="str">
        <x:v>医药生物与医疗健康产业链</x:v>
      </x:c>
      <x:c r="I101" s="25" t="str">
        <x:v>下游</x:v>
      </x:c>
      <x:c r="J101" s="27" t="str">
        <x:v>ICN012</x:v>
      </x:c>
      <x:c r="K101" s="25" t="str">
        <x:v>医疗服务、临床应用与健康管理</x:v>
      </x:c>
      <x:c r="L101" s="28" t="n">
        <x:v>84</x:v>
      </x:c>
      <x:c r="M101" s="25" t="str">
        <x:v>高</x:v>
      </x:c>
      <x:c r="N101" s="26" t="str">
        <x:v>临床、影像技师、医药、医疗、护理</x:v>
      </x:c>
      <x:c r="O101" s="26" t="str">
        <x:v>岗位名称/描述出现“临床、影像技师、医药、医疗、护理”，工作环节更贴近“临床、影像技师、护理”，因此关联到该节点。</x:v>
      </x:c>
      <x:c r="P101" s="26" t="str">
        <x:v>自动通过</x:v>
      </x:c>
    </x:row>
    <x:row r="102" ht="44" customHeight="1">
      <x:c r="A102" s="27" t="str">
        <x:v>REL000099</x:v>
      </x:c>
      <x:c r="B102" s="25" t="n">
        <x:v>11052</x:v>
      </x:c>
      <x:c r="C102" s="27" t="str">
        <x:v>IC-L3-309</x:v>
      </x:c>
      <x:c r="D102" s="25" t="str">
        <x:v>临床数据分析员</x:v>
      </x:c>
      <x:c r="E102" s="27" t="str">
        <x:v>2-02-10-03</x:v>
      </x:c>
      <x:c r="F102" s="25" t="str">
        <x:v>计算机软件工程技术人员</x:v>
      </x:c>
      <x:c r="G102" s="27" t="str">
        <x:v>IC04</x:v>
      </x:c>
      <x:c r="H102" s="25" t="str">
        <x:v>医药生物与医疗健康产业链</x:v>
      </x:c>
      <x:c r="I102" s="25" t="str">
        <x:v>下游</x:v>
      </x:c>
      <x:c r="J102" s="27" t="str">
        <x:v>ICN012</x:v>
      </x:c>
      <x:c r="K102" s="25" t="str">
        <x:v>医疗服务、临床应用与健康管理</x:v>
      </x:c>
      <x:c r="L102" s="28" t="n">
        <x:v>79</x:v>
      </x:c>
      <x:c r="M102" s="25" t="str">
        <x:v>中</x:v>
      </x:c>
      <x:c r="N102" s="26" t="str">
        <x:v>临床、医药、医疗、药物</x:v>
      </x:c>
      <x:c r="O102" s="26" t="str">
        <x:v>岗位名称/描述出现“临床、医药、医疗、药物”，工作环节更贴近“临床”，因此关联到该节点。</x:v>
      </x:c>
      <x:c r="P102" s="26" t="str">
        <x:v>自动通过</x:v>
      </x:c>
    </x:row>
    <x:row r="103" ht="44" customHeight="1">
      <x:c r="A103" s="27" t="str">
        <x:v>REL000100</x:v>
      </x:c>
      <x:c r="B103" s="25" t="n">
        <x:v>11052</x:v>
      </x:c>
      <x:c r="C103" s="27" t="str">
        <x:v>IC-L3-309</x:v>
      </x:c>
      <x:c r="D103" s="25" t="str">
        <x:v>临床数据分析员</x:v>
      </x:c>
      <x:c r="E103" s="27" t="str">
        <x:v>2-02-10-03</x:v>
      </x:c>
      <x:c r="F103" s="25" t="str">
        <x:v>计算机软件工程技术人员</x:v>
      </x:c>
      <x:c r="G103" s="27" t="str">
        <x:v>IC01</x:v>
      </x:c>
      <x:c r="H103" s="25" t="str">
        <x:v>数据要素与数字经济产业链</x:v>
      </x:c>
      <x:c r="I103" s="25" t="str">
        <x:v>中游</x:v>
      </x:c>
      <x:c r="J103" s="27" t="str">
        <x:v>ICN002</x:v>
      </x:c>
      <x:c r="K103" s="25" t="str">
        <x:v>数据治理、流通与服务</x:v>
      </x:c>
      <x:c r="L103" s="28" t="n">
        <x:v>74</x:v>
      </x:c>
      <x:c r="M103" s="25" t="str">
        <x:v>中</x:v>
      </x:c>
      <x:c r="N103" s="26" t="str">
        <x:v>数据分析、清洗</x:v>
      </x:c>
      <x:c r="O103" s="26" t="str">
        <x:v>岗位名称/描述出现“数据分析”，工作环节更贴近“数据分析、清洗”，因此关联到该节点。</x:v>
      </x:c>
      <x:c r="P103" s="26" t="str">
        <x:v>自动通过</x:v>
      </x:c>
    </x:row>
    <x:row r="104" ht="44" customHeight="1">
      <x:c r="A104" s="27" t="str">
        <x:v>REL000101</x:v>
      </x:c>
      <x:c r="B104" s="25" t="n">
        <x:v>11053</x:v>
      </x:c>
      <x:c r="C104" s="27" t="str">
        <x:v>IC-L3-310</x:v>
      </x:c>
      <x:c r="D104" s="25" t="str">
        <x:v>临床监查员</x:v>
      </x:c>
      <x:c r="E104" s="27" t="str">
        <x:v>2-05-07-01</x:v>
      </x:c>
      <x:c r="F104" s="25" t="str">
        <x:v>影像技师</x:v>
      </x:c>
      <x:c r="G104" s="27" t="str">
        <x:v>IC04</x:v>
      </x:c>
      <x:c r="H104" s="25" t="str">
        <x:v>医药生物与医疗健康产业链</x:v>
      </x:c>
      <x:c r="I104" s="25" t="str">
        <x:v>下游</x:v>
      </x:c>
      <x:c r="J104" s="27" t="str">
        <x:v>ICN012</x:v>
      </x:c>
      <x:c r="K104" s="25" t="str">
        <x:v>医疗服务、临床应用与健康管理</x:v>
      </x:c>
      <x:c r="L104" s="28" t="n">
        <x:v>81</x:v>
      </x:c>
      <x:c r="M104" s="25" t="str">
        <x:v>中</x:v>
      </x:c>
      <x:c r="N104" s="26" t="str">
        <x:v>临床、影像技师、医药、药物</x:v>
      </x:c>
      <x:c r="O104" s="26" t="str">
        <x:v>岗位名称/描述出现“临床、影像技师、医药、药物”，工作环节更贴近“临床、影像技师”，因此关联到该节点。</x:v>
      </x:c>
      <x:c r="P104" s="26" t="str">
        <x:v>自动通过</x:v>
      </x:c>
    </x:row>
    <x:row r="105" ht="44" customHeight="1">
      <x:c r="A105" s="27" t="str">
        <x:v>REL000102</x:v>
      </x:c>
      <x:c r="B105" s="25" t="n">
        <x:v>11054</x:v>
      </x:c>
      <x:c r="C105" s="27" t="str">
        <x:v>IC-L3-311</x:v>
      </x:c>
      <x:c r="D105" s="25" t="str">
        <x:v>临床研究员</x:v>
      </x:c>
      <x:c r="E105" s="27" t="str">
        <x:v>2-01-06-03</x:v>
      </x:c>
      <x:c r="F105" s="25" t="str">
        <x:v>化学研究人员</x:v>
      </x:c>
      <x:c r="G105" s="27" t="str">
        <x:v>IC04</x:v>
      </x:c>
      <x:c r="H105" s="25" t="str">
        <x:v>医药生物与医疗健康产业链</x:v>
      </x:c>
      <x:c r="I105" s="25" t="str">
        <x:v>下游</x:v>
      </x:c>
      <x:c r="J105" s="27" t="str">
        <x:v>ICN012</x:v>
      </x:c>
      <x:c r="K105" s="25" t="str">
        <x:v>医疗服务、临床应用与健康管理</x:v>
      </x:c>
      <x:c r="L105" s="28" t="n">
        <x:v>82</x:v>
      </x:c>
      <x:c r="M105" s="25" t="str">
        <x:v>高</x:v>
      </x:c>
      <x:c r="N105" s="26" t="str">
        <x:v>临床、医药、医疗、药品、医生</x:v>
      </x:c>
      <x:c r="O105" s="26" t="str">
        <x:v>岗位名称/描述出现“临床、医药、医疗、药品、医生”，工作环节更贴近“临床、医生”，因此关联到该节点。</x:v>
      </x:c>
      <x:c r="P105" s="26" t="str">
        <x:v>自动通过</x:v>
      </x:c>
    </x:row>
    <x:row r="106" ht="44" customHeight="1">
      <x:c r="A106" s="27" t="str">
        <x:v>REL000103</x:v>
      </x:c>
      <x:c r="B106" s="25" t="n">
        <x:v>11057</x:v>
      </x:c>
      <x:c r="C106" s="27" t="str">
        <x:v>IC-L3-314</x:v>
      </x:c>
      <x:c r="D106" s="25" t="str">
        <x:v>专科医生</x:v>
      </x:c>
      <x:c r="E106" s="27" t="str">
        <x:v>2-05-01-19</x:v>
      </x:c>
      <x:c r="F106" s="25" t="str">
        <x:v>全科医师</x:v>
      </x:c>
      <x:c r="G106" s="27" t="str">
        <x:v>IC04</x:v>
      </x:c>
      <x:c r="H106" s="25" t="str">
        <x:v>医药生物与医疗健康产业链</x:v>
      </x:c>
      <x:c r="I106" s="25" t="str">
        <x:v>下游</x:v>
      </x:c>
      <x:c r="J106" s="27" t="str">
        <x:v>ICN012</x:v>
      </x:c>
      <x:c r="K106" s="25" t="str">
        <x:v>医疗服务、临床应用与健康管理</x:v>
      </x:c>
      <x:c r="L106" s="28" t="n">
        <x:v>94</x:v>
      </x:c>
      <x:c r="M106" s="25" t="str">
        <x:v>高</x:v>
      </x:c>
      <x:c r="N106" s="26" t="str">
        <x:v>医生、医师、医药、医疗、诊断、护士、护理、诊疗</x:v>
      </x:c>
      <x:c r="O106" s="26" t="str">
        <x:v>岗位名称/描述出现“医生、医师、医药、医疗、诊断”，工作环节更贴近“医生、医师、护士、护理、诊疗”，因此关联到该节点。</x:v>
      </x:c>
      <x:c r="P106" s="26" t="str">
        <x:v>自动通过</x:v>
      </x:c>
    </x:row>
    <x:row r="107" ht="44" customHeight="1">
      <x:c r="A107" s="27" t="str">
        <x:v>REL000104</x:v>
      </x:c>
      <x:c r="B107" s="25" t="n">
        <x:v>11058</x:v>
      </x:c>
      <x:c r="C107" s="27" t="str">
        <x:v>IC-L3-315</x:v>
      </x:c>
      <x:c r="D107" s="25" t="str">
        <x:v>中医科医生</x:v>
      </x:c>
      <x:c r="E107" s="27" t="str">
        <x:v>2-05-01-19</x:v>
      </x:c>
      <x:c r="F107" s="25" t="str">
        <x:v>全科医师</x:v>
      </x:c>
      <x:c r="G107" s="27" t="str">
        <x:v>IC04</x:v>
      </x:c>
      <x:c r="H107" s="25" t="str">
        <x:v>医药生物与医疗健康产业链</x:v>
      </x:c>
      <x:c r="I107" s="25" t="str">
        <x:v>下游</x:v>
      </x:c>
      <x:c r="J107" s="27" t="str">
        <x:v>ICN012</x:v>
      </x:c>
      <x:c r="K107" s="25" t="str">
        <x:v>医疗服务、临床应用与健康管理</x:v>
      </x:c>
      <x:c r="L107" s="28" t="n">
        <x:v>93</x:v>
      </x:c>
      <x:c r="M107" s="25" t="str">
        <x:v>高</x:v>
      </x:c>
      <x:c r="N107" s="26" t="str">
        <x:v>医生、医师、医药、医疗、药物、临床、诊疗、康复</x:v>
      </x:c>
      <x:c r="O107" s="26" t="str">
        <x:v>岗位名称/描述出现“医生、医师、医药、医疗、药物”，工作环节更贴近“医生、医师、临床、诊疗、康复”，因此关联到该节点。</x:v>
      </x:c>
      <x:c r="P107" s="26" t="str">
        <x:v>自动通过</x:v>
      </x:c>
    </x:row>
    <x:row r="108" ht="44" customHeight="1">
      <x:c r="A108" s="27" t="str">
        <x:v>REL000105</x:v>
      </x:c>
      <x:c r="B108" s="25" t="n">
        <x:v>11059</x:v>
      </x:c>
      <x:c r="C108" s="27" t="str">
        <x:v>IC-L3-316</x:v>
      </x:c>
      <x:c r="D108" s="25" t="str">
        <x:v>健康管理师</x:v>
      </x:c>
      <x:c r="E108" s="27" t="str">
        <x:v>2-05-01-19</x:v>
      </x:c>
      <x:c r="F108" s="25" t="str">
        <x:v>全科医师</x:v>
      </x:c>
      <x:c r="G108" s="27" t="str">
        <x:v>IC04</x:v>
      </x:c>
      <x:c r="H108" s="25" t="str">
        <x:v>医药生物与医疗健康产业链</x:v>
      </x:c>
      <x:c r="I108" s="25" t="str">
        <x:v>下游</x:v>
      </x:c>
      <x:c r="J108" s="27" t="str">
        <x:v>ICN012</x:v>
      </x:c>
      <x:c r="K108" s="25" t="str">
        <x:v>医疗服务、临床应用与健康管理</x:v>
      </x:c>
      <x:c r="L108" s="28" t="n">
        <x:v>87</x:v>
      </x:c>
      <x:c r="M108" s="25" t="str">
        <x:v>高</x:v>
      </x:c>
      <x:c r="N108" s="26" t="str">
        <x:v>健康管理、医师、医药、医疗、医生、营养</x:v>
      </x:c>
      <x:c r="O108" s="26" t="str">
        <x:v>岗位名称/描述出现“健康管理、医师、医药、医疗、医生”，工作环节更贴近“健康管理、医师、医生、营养”，因此关联到该节点。</x:v>
      </x:c>
      <x:c r="P108" s="26" t="str">
        <x:v>自动通过</x:v>
      </x:c>
    </x:row>
    <x:row r="109" ht="44" customHeight="1">
      <x:c r="A109" s="27" t="str">
        <x:v>REL000106</x:v>
      </x:c>
      <x:c r="B109" s="25" t="n">
        <x:v>11060</x:v>
      </x:c>
      <x:c r="C109" s="27" t="str">
        <x:v>IC-L3-317</x:v>
      </x:c>
      <x:c r="D109" s="25" t="str">
        <x:v>儿科医生</x:v>
      </x:c>
      <x:c r="E109" s="27" t="str">
        <x:v>2-05-01-19</x:v>
      </x:c>
      <x:c r="F109" s="25" t="str">
        <x:v>全科医师</x:v>
      </x:c>
      <x:c r="G109" s="27" t="str">
        <x:v>IC04</x:v>
      </x:c>
      <x:c r="H109" s="25" t="str">
        <x:v>医药生物与医疗健康产业链</x:v>
      </x:c>
      <x:c r="I109" s="25" t="str">
        <x:v>下游</x:v>
      </x:c>
      <x:c r="J109" s="27" t="str">
        <x:v>ICN012</x:v>
      </x:c>
      <x:c r="K109" s="25" t="str">
        <x:v>医疗服务、临床应用与健康管理</x:v>
      </x:c>
      <x:c r="L109" s="28" t="n">
        <x:v>96</x:v>
      </x:c>
      <x:c r="M109" s="25" t="str">
        <x:v>高</x:v>
      </x:c>
      <x:c r="N109" s="26" t="str">
        <x:v>医生、医师、医药、医疗、药物、临床、护士、护理</x:v>
      </x:c>
      <x:c r="O109" s="26" t="str">
        <x:v>岗位名称/描述出现“医生、医师、医药、医疗、药物”，工作环节更贴近“医生、医师、临床、护士、护理”，因此关联到该节点。</x:v>
      </x:c>
      <x:c r="P109" s="26" t="str">
        <x:v>自动通过</x:v>
      </x:c>
    </x:row>
    <x:row r="110" ht="44" customHeight="1">
      <x:c r="A110" s="27" t="str">
        <x:v>REL000107</x:v>
      </x:c>
      <x:c r="B110" s="25" t="n">
        <x:v>11061</x:v>
      </x:c>
      <x:c r="C110" s="27" t="str">
        <x:v>IC-L3-318</x:v>
      </x:c>
      <x:c r="D110" s="25" t="str">
        <x:v>公共卫生/疾病控制</x:v>
      </x:c>
      <x:c r="E110" s="27" t="str">
        <x:v>2-05-01-19</x:v>
      </x:c>
      <x:c r="F110" s="25" t="str">
        <x:v>全科医师</x:v>
      </x:c>
      <x:c r="G110" s="27" t="str">
        <x:v>IC04</x:v>
      </x:c>
      <x:c r="H110" s="25" t="str">
        <x:v>医药生物与医疗健康产业链</x:v>
      </x:c>
      <x:c r="I110" s="25" t="str">
        <x:v>下游</x:v>
      </x:c>
      <x:c r="J110" s="27" t="str">
        <x:v>ICN012</x:v>
      </x:c>
      <x:c r="K110" s="25" t="str">
        <x:v>医疗服务、临床应用与健康管理</x:v>
      </x:c>
      <x:c r="L110" s="28" t="n">
        <x:v>58</x:v>
      </x:c>
      <x:c r="M110" s="25" t="str">
        <x:v>低</x:v>
      </x:c>
      <x:c r="N110" s="26" t="str">
        <x:v>医师、医药、医疗</x:v>
      </x:c>
      <x:c r="O110" s="26" t="str">
        <x:v>岗位名称/描述出现“医师、医药、医疗”，工作环节更贴近“医师”，因此关联到该节点。</x:v>
      </x:c>
      <x:c r="P110" s="26" t="str">
        <x:v>建议复核</x:v>
      </x:c>
    </x:row>
    <x:row r="111" ht="44" customHeight="1">
      <x:c r="A111" s="27" t="str">
        <x:v>REL000108</x:v>
      </x:c>
      <x:c r="B111" s="25" t="n">
        <x:v>11062</x:v>
      </x:c>
      <x:c r="C111" s="27" t="str">
        <x:v>IC-L3-319</x:v>
      </x:c>
      <x:c r="D111" s="25" t="str">
        <x:v>内科医生</x:v>
      </x:c>
      <x:c r="E111" s="27" t="str">
        <x:v>2-05-01-19</x:v>
      </x:c>
      <x:c r="F111" s="25" t="str">
        <x:v>全科医师</x:v>
      </x:c>
      <x:c r="G111" s="27" t="str">
        <x:v>IC04</x:v>
      </x:c>
      <x:c r="H111" s="25" t="str">
        <x:v>医药生物与医疗健康产业链</x:v>
      </x:c>
      <x:c r="I111" s="25" t="str">
        <x:v>下游</x:v>
      </x:c>
      <x:c r="J111" s="27" t="str">
        <x:v>ICN012</x:v>
      </x:c>
      <x:c r="K111" s="25" t="str">
        <x:v>医疗服务、临床应用与健康管理</x:v>
      </x:c>
      <x:c r="L111" s="28" t="n">
        <x:v>91</x:v>
      </x:c>
      <x:c r="M111" s="25" t="str">
        <x:v>高</x:v>
      </x:c>
      <x:c r="N111" s="26" t="str">
        <x:v>医生、医师、医药、医疗、诊断、临床、护士、诊疗</x:v>
      </x:c>
      <x:c r="O111" s="26" t="str">
        <x:v>岗位名称/描述出现“医生、医师、医药、医疗、诊断”，工作环节更贴近“医生、医师、临床、护士、诊疗”，因此关联到该节点。</x:v>
      </x:c>
      <x:c r="P111" s="26" t="str">
        <x:v>自动通过</x:v>
      </x:c>
    </x:row>
    <x:row r="112" ht="44" customHeight="1">
      <x:c r="A112" s="27" t="str">
        <x:v>REL000109</x:v>
      </x:c>
      <x:c r="B112" s="25" t="n">
        <x:v>11063</x:v>
      </x:c>
      <x:c r="C112" s="27" t="str">
        <x:v>IC-L3-320</x:v>
      </x:c>
      <x:c r="D112" s="25" t="str">
        <x:v>医学检验</x:v>
      </x:c>
      <x:c r="E112" s="27" t="str">
        <x:v>2-05-01-19</x:v>
      </x:c>
      <x:c r="F112" s="25" t="str">
        <x:v>全科医师</x:v>
      </x:c>
      <x:c r="G112" s="27" t="str">
        <x:v>IC04</x:v>
      </x:c>
      <x:c r="H112" s="25" t="str">
        <x:v>医药生物与医疗健康产业链</x:v>
      </x:c>
      <x:c r="I112" s="25" t="str">
        <x:v>下游</x:v>
      </x:c>
      <x:c r="J112" s="27" t="str">
        <x:v>ICN012</x:v>
      </x:c>
      <x:c r="K112" s="25" t="str">
        <x:v>医疗服务、临床应用与健康管理</x:v>
      </x:c>
      <x:c r="L112" s="28" t="n">
        <x:v>71</x:v>
      </x:c>
      <x:c r="M112" s="25" t="str">
        <x:v>中</x:v>
      </x:c>
      <x:c r="N112" s="26" t="str">
        <x:v>医师、医疗、诊断、临床、医生、护士、诊疗</x:v>
      </x:c>
      <x:c r="O112" s="26" t="str">
        <x:v>岗位名称/描述出现“医师、医疗、诊断、临床、医生”，工作环节更贴近“医师、临床、医生、护士、诊疗”，因此关联到该节点。</x:v>
      </x:c>
      <x:c r="P112" s="26" t="str">
        <x:v>自动通过</x:v>
      </x:c>
    </x:row>
    <x:row r="113" ht="44" customHeight="1">
      <x:c r="A113" s="27" t="str">
        <x:v>REL000110</x:v>
      </x:c>
      <x:c r="B113" s="25" t="n">
        <x:v>11064</x:v>
      </x:c>
      <x:c r="C113" s="27" t="str">
        <x:v>IC-L3-321</x:v>
      </x:c>
      <x:c r="D113" s="25" t="str">
        <x:v>医院管理人员</x:v>
      </x:c>
      <x:c r="E113" s="27" t="str">
        <x:v>2-05-01-19</x:v>
      </x:c>
      <x:c r="F113" s="25" t="str">
        <x:v>全科医师</x:v>
      </x:c>
      <x:c r="G113" s="27" t="str">
        <x:v>IC04</x:v>
      </x:c>
      <x:c r="H113" s="25" t="str">
        <x:v>医药生物与医疗健康产业链</x:v>
      </x:c>
      <x:c r="I113" s="25" t="str">
        <x:v>下游</x:v>
      </x:c>
      <x:c r="J113" s="27" t="str">
        <x:v>ICN012</x:v>
      </x:c>
      <x:c r="K113" s="25" t="str">
        <x:v>医疗服务、临床应用与健康管理</x:v>
      </x:c>
      <x:c r="L113" s="28" t="n">
        <x:v>62</x:v>
      </x:c>
      <x:c r="M113" s="25" t="str">
        <x:v>低</x:v>
      </x:c>
      <x:c r="N113" s="26" t="str">
        <x:v>医师、医药、医疗、临床、医疗服务</x:v>
      </x:c>
      <x:c r="O113" s="26" t="str">
        <x:v>岗位名称/描述出现“医师、医药、医疗、临床”，工作环节更贴近“医师、临床、医疗服务”，因此关联到该节点。</x:v>
      </x:c>
      <x:c r="P113" s="26" t="str">
        <x:v>建议复核</x:v>
      </x:c>
    </x:row>
    <x:row r="114" ht="44" customHeight="1">
      <x:c r="A114" s="27" t="str">
        <x:v>REL000111</x:v>
      </x:c>
      <x:c r="B114" s="25" t="n">
        <x:v>11065</x:v>
      </x:c>
      <x:c r="C114" s="27" t="str">
        <x:v>IC-L3-322</x:v>
      </x:c>
      <x:c r="D114" s="25" t="str">
        <x:v>外科医生</x:v>
      </x:c>
      <x:c r="E114" s="27" t="str">
        <x:v>2-05-01-19</x:v>
      </x:c>
      <x:c r="F114" s="25" t="str">
        <x:v>全科医师</x:v>
      </x:c>
      <x:c r="G114" s="27" t="str">
        <x:v>IC04</x:v>
      </x:c>
      <x:c r="H114" s="25" t="str">
        <x:v>医药生物与医疗健康产业链</x:v>
      </x:c>
      <x:c r="I114" s="25" t="str">
        <x:v>下游</x:v>
      </x:c>
      <x:c r="J114" s="27" t="str">
        <x:v>ICN012</x:v>
      </x:c>
      <x:c r="K114" s="25" t="str">
        <x:v>医疗服务、临床应用与健康管理</x:v>
      </x:c>
      <x:c r="L114" s="28" t="n">
        <x:v>96</x:v>
      </x:c>
      <x:c r="M114" s="25" t="str">
        <x:v>高</x:v>
      </x:c>
      <x:c r="N114" s="26" t="str">
        <x:v>医生、医师、医药、医疗、诊断、临床、护士、护理</x:v>
      </x:c>
      <x:c r="O114" s="26" t="str">
        <x:v>岗位名称/描述出现“医生、医师、医药、医疗、诊断”，工作环节更贴近“医生、医师、临床、护士、护理”，因此关联到该节点。</x:v>
      </x:c>
      <x:c r="P114" s="26" t="str">
        <x:v>自动通过</x:v>
      </x:c>
    </x:row>
    <x:row r="115" ht="44" customHeight="1">
      <x:c r="A115" s="27" t="str">
        <x:v>REL000112</x:v>
      </x:c>
      <x:c r="B115" s="25" t="n">
        <x:v>11066</x:v>
      </x:c>
      <x:c r="C115" s="27" t="str">
        <x:v>IC-L3-323</x:v>
      </x:c>
      <x:c r="D115" s="25" t="str">
        <x:v>妇产科医生</x:v>
      </x:c>
      <x:c r="E115" s="27" t="str">
        <x:v>2-05-01-19</x:v>
      </x:c>
      <x:c r="F115" s="25" t="str">
        <x:v>全科医师</x:v>
      </x:c>
      <x:c r="G115" s="27" t="str">
        <x:v>IC04</x:v>
      </x:c>
      <x:c r="H115" s="25" t="str">
        <x:v>医药生物与医疗健康产业链</x:v>
      </x:c>
      <x:c r="I115" s="25" t="str">
        <x:v>下游</x:v>
      </x:c>
      <x:c r="J115" s="27" t="str">
        <x:v>ICN012</x:v>
      </x:c>
      <x:c r="K115" s="25" t="str">
        <x:v>医疗服务、临床应用与健康管理</x:v>
      </x:c>
      <x:c r="L115" s="28" t="n">
        <x:v>90</x:v>
      </x:c>
      <x:c r="M115" s="25" t="str">
        <x:v>高</x:v>
      </x:c>
      <x:c r="N115" s="26" t="str">
        <x:v>医生、医师、医药、医疗、诊断、护理、健康管理、医疗服务</x:v>
      </x:c>
      <x:c r="O115" s="26" t="str">
        <x:v>岗位名称/描述出现“医生、医师、医药、医疗、诊断”，工作环节更贴近“医生、医师、护理、健康管理、医疗服务”，因此关联到该节点。</x:v>
      </x:c>
      <x:c r="P115" s="26" t="str">
        <x:v>自动通过</x:v>
      </x:c>
    </x:row>
    <x:row r="116" ht="44" customHeight="1">
      <x:c r="A116" s="27" t="str">
        <x:v>REL000113</x:v>
      </x:c>
      <x:c r="B116" s="25" t="n">
        <x:v>11067</x:v>
      </x:c>
      <x:c r="C116" s="27" t="str">
        <x:v>IC-L3-324</x:v>
      </x:c>
      <x:c r="D116" s="25" t="str">
        <x:v>导医</x:v>
      </x:c>
      <x:c r="E116" s="27" t="str">
        <x:v>2-05-01-19</x:v>
      </x:c>
      <x:c r="F116" s="25" t="str">
        <x:v>全科医师</x:v>
      </x:c>
      <x:c r="G116" s="27" t="str">
        <x:v>IC04</x:v>
      </x:c>
      <x:c r="H116" s="25" t="str">
        <x:v>医药生物与医疗健康产业链</x:v>
      </x:c>
      <x:c r="I116" s="25" t="str">
        <x:v>下游</x:v>
      </x:c>
      <x:c r="J116" s="27" t="str">
        <x:v>ICN012</x:v>
      </x:c>
      <x:c r="K116" s="25" t="str">
        <x:v>医疗服务、临床应用与健康管理</x:v>
      </x:c>
      <x:c r="L116" s="28" t="n">
        <x:v>67</x:v>
      </x:c>
      <x:c r="M116" s="25" t="str">
        <x:v>低</x:v>
      </x:c>
      <x:c r="N116" s="26" t="str">
        <x:v>医师、医疗、医生、护士、护理、诊疗</x:v>
      </x:c>
      <x:c r="O116" s="26" t="str">
        <x:v>岗位名称/描述出现“医师、医疗、医生、护士、护理”，工作环节更贴近“医师、医生、护士、护理、诊疗”，因此关联到该节点。</x:v>
      </x:c>
      <x:c r="P116" s="26" t="str">
        <x:v>建议复核</x:v>
      </x:c>
    </x:row>
    <x:row r="117" ht="44" customHeight="1">
      <x:c r="A117" s="27" t="str">
        <x:v>REL000114</x:v>
      </x:c>
      <x:c r="B117" s="25" t="n">
        <x:v>11068</x:v>
      </x:c>
      <x:c r="C117" s="27" t="str">
        <x:v>IC-L3-325</x:v>
      </x:c>
      <x:c r="D117" s="25" t="str">
        <x:v>心理医生</x:v>
      </x:c>
      <x:c r="E117" s="27" t="str">
        <x:v>2-05-01-19</x:v>
      </x:c>
      <x:c r="F117" s="25" t="str">
        <x:v>全科医师</x:v>
      </x:c>
      <x:c r="G117" s="27" t="str">
        <x:v>IC04</x:v>
      </x:c>
      <x:c r="H117" s="25" t="str">
        <x:v>医药生物与医疗健康产业链</x:v>
      </x:c>
      <x:c r="I117" s="25" t="str">
        <x:v>下游</x:v>
      </x:c>
      <x:c r="J117" s="27" t="str">
        <x:v>ICN012</x:v>
      </x:c>
      <x:c r="K117" s="25" t="str">
        <x:v>医疗服务、临床应用与健康管理</x:v>
      </x:c>
      <x:c r="L117" s="28" t="n">
        <x:v>87</x:v>
      </x:c>
      <x:c r="M117" s="25" t="str">
        <x:v>高</x:v>
      </x:c>
      <x:c r="N117" s="26" t="str">
        <x:v>医生、医师、医药、医疗、诊断、护士、医疗服务</x:v>
      </x:c>
      <x:c r="O117" s="26" t="str">
        <x:v>岗位名称/描述出现“医生、医师、医药、医疗、诊断”，工作环节更贴近“医生、医师、护士、医疗服务”，因此关联到该节点。</x:v>
      </x:c>
      <x:c r="P117" s="26" t="str">
        <x:v>自动通过</x:v>
      </x:c>
    </x:row>
    <x:row r="118" ht="44" customHeight="1">
      <x:c r="A118" s="27" t="str">
        <x:v>REL000115</x:v>
      </x:c>
      <x:c r="B118" s="25" t="n">
        <x:v>11069</x:v>
      </x:c>
      <x:c r="C118" s="27" t="str">
        <x:v>IC-L3-326</x:v>
      </x:c>
      <x:c r="D118" s="25" t="str">
        <x:v>心理咨询师</x:v>
      </x:c>
      <x:c r="E118" s="27" t="str">
        <x:v>2-05-01-19</x:v>
      </x:c>
      <x:c r="F118" s="25" t="str">
        <x:v>全科医师</x:v>
      </x:c>
      <x:c r="G118" s="27" t="str">
        <x:v>IC04</x:v>
      </x:c>
      <x:c r="H118" s="25" t="str">
        <x:v>医药生物与医疗健康产业链</x:v>
      </x:c>
      <x:c r="I118" s="25" t="str">
        <x:v>下游</x:v>
      </x:c>
      <x:c r="J118" s="27" t="str">
        <x:v>ICN012</x:v>
      </x:c>
      <x:c r="K118" s="25" t="str">
        <x:v>医疗服务、临床应用与健康管理</x:v>
      </x:c>
      <x:c r="L118" s="28" t="n">
        <x:v>89</x:v>
      </x:c>
      <x:c r="M118" s="25" t="str">
        <x:v>高</x:v>
      </x:c>
      <x:c r="N118" s="26" t="str">
        <x:v>心理咨询、医师、医药、医疗、临床、医生、诊疗</x:v>
      </x:c>
      <x:c r="O118" s="26" t="str">
        <x:v>岗位名称/描述出现“心理咨询、医师、医药、医疗、临床”，工作环节更贴近“心理咨询、医师、临床、医生、诊疗”，因此关联到该节点。</x:v>
      </x:c>
      <x:c r="P118" s="26" t="str">
        <x:v>自动通过</x:v>
      </x:c>
    </x:row>
    <x:row r="119" ht="44" customHeight="1">
      <x:c r="A119" s="27" t="str">
        <x:v>REL000116</x:v>
      </x:c>
      <x:c r="B119" s="25" t="n">
        <x:v>11070</x:v>
      </x:c>
      <x:c r="C119" s="27" t="str">
        <x:v>IC-L3-327</x:v>
      </x:c>
      <x:c r="D119" s="25" t="str">
        <x:v>核酸检测员</x:v>
      </x:c>
      <x:c r="E119" s="27" t="str">
        <x:v>2-05-01-19</x:v>
      </x:c>
      <x:c r="F119" s="25" t="str">
        <x:v>全科医师</x:v>
      </x:c>
      <x:c r="G119" s="27" t="str">
        <x:v>IC04</x:v>
      </x:c>
      <x:c r="H119" s="25" t="str">
        <x:v>医药生物与医疗健康产业链</x:v>
      </x:c>
      <x:c r="I119" s="25" t="str">
        <x:v>下游</x:v>
      </x:c>
      <x:c r="J119" s="27" t="str">
        <x:v>ICN012</x:v>
      </x:c>
      <x:c r="K119" s="25" t="str">
        <x:v>医疗服务、临床应用与健康管理</x:v>
      </x:c>
      <x:c r="L119" s="28" t="n">
        <x:v>67</x:v>
      </x:c>
      <x:c r="M119" s="25" t="str">
        <x:v>低</x:v>
      </x:c>
      <x:c r="N119" s="26" t="str">
        <x:v>医师、医药、医疗、诊断、临床、医生、医疗服务</x:v>
      </x:c>
      <x:c r="O119" s="26" t="str">
        <x:v>岗位名称/描述出现“医师、医药、医疗、诊断、临床”，工作环节更贴近“医师、临床、医生、医疗服务”，因此关联到该节点。</x:v>
      </x:c>
      <x:c r="P119" s="26" t="str">
        <x:v>建议复核</x:v>
      </x:c>
    </x:row>
    <x:row r="120" ht="44" customHeight="1">
      <x:c r="A120" s="27" t="str">
        <x:v>REL000117</x:v>
      </x:c>
      <x:c r="B120" s="25" t="n">
        <x:v>11071</x:v>
      </x:c>
      <x:c r="C120" s="27" t="str">
        <x:v>IC-L3-328</x:v>
      </x:c>
      <x:c r="D120" s="25" t="str">
        <x:v>牙科医生</x:v>
      </x:c>
      <x:c r="E120" s="27" t="str">
        <x:v>2-05-01-19</x:v>
      </x:c>
      <x:c r="F120" s="25" t="str">
        <x:v>全科医师</x:v>
      </x:c>
      <x:c r="G120" s="27" t="str">
        <x:v>IC04</x:v>
      </x:c>
      <x:c r="H120" s="25" t="str">
        <x:v>医药生物与医疗健康产业链</x:v>
      </x:c>
      <x:c r="I120" s="25" t="str">
        <x:v>下游</x:v>
      </x:c>
      <x:c r="J120" s="27" t="str">
        <x:v>ICN012</x:v>
      </x:c>
      <x:c r="K120" s="25" t="str">
        <x:v>医疗服务、临床应用与健康管理</x:v>
      </x:c>
      <x:c r="L120" s="28" t="n">
        <x:v>91</x:v>
      </x:c>
      <x:c r="M120" s="25" t="str">
        <x:v>高</x:v>
      </x:c>
      <x:c r="N120" s="26" t="str">
        <x:v>医生、医师、医药、医疗、诊断、临床、护理、诊疗</x:v>
      </x:c>
      <x:c r="O120" s="26" t="str">
        <x:v>岗位名称/描述出现“医生、医师、医药、医疗、诊断”，工作环节更贴近“医生、医师、临床、护理、诊疗”，因此关联到该节点。</x:v>
      </x:c>
      <x:c r="P120" s="26" t="str">
        <x:v>自动通过</x:v>
      </x:c>
    </x:row>
    <x:row r="121" ht="44" customHeight="1">
      <x:c r="A121" s="27" t="str">
        <x:v>REL000118</x:v>
      </x:c>
      <x:c r="B121" s="25" t="n">
        <x:v>11072</x:v>
      </x:c>
      <x:c r="C121" s="27" t="str">
        <x:v>IC-L3-329</x:v>
      </x:c>
      <x:c r="D121" s="25" t="str">
        <x:v>理疗师</x:v>
      </x:c>
      <x:c r="E121" s="27" t="str">
        <x:v>2-05-01-19</x:v>
      </x:c>
      <x:c r="F121" s="25" t="str">
        <x:v>全科医师</x:v>
      </x:c>
      <x:c r="G121" s="27" t="str">
        <x:v>IC04</x:v>
      </x:c>
      <x:c r="H121" s="25" t="str">
        <x:v>医药生物与医疗健康产业链</x:v>
      </x:c>
      <x:c r="I121" s="25" t="str">
        <x:v>下游</x:v>
      </x:c>
      <x:c r="J121" s="27" t="str">
        <x:v>ICN012</x:v>
      </x:c>
      <x:c r="K121" s="25" t="str">
        <x:v>医疗服务、临床应用与健康管理</x:v>
      </x:c>
      <x:c r="L121" s="28" t="n">
        <x:v>72</x:v>
      </x:c>
      <x:c r="M121" s="25" t="str">
        <x:v>中</x:v>
      </x:c>
      <x:c r="N121" s="26" t="str">
        <x:v>医师、医疗、医生、护士、护理、康复</x:v>
      </x:c>
      <x:c r="O121" s="26" t="str">
        <x:v>岗位名称/描述出现“医师、医疗、医生、护士、护理”，工作环节更贴近“医师、医生、护士、护理、康复”，因此关联到该节点。</x:v>
      </x:c>
      <x:c r="P121" s="26" t="str">
        <x:v>自动通过</x:v>
      </x:c>
    </x:row>
    <x:row r="122" ht="44" customHeight="1">
      <x:c r="A122" s="27" t="str">
        <x:v>REL000119</x:v>
      </x:c>
      <x:c r="B122" s="25" t="n">
        <x:v>11073</x:v>
      </x:c>
      <x:c r="C122" s="27" t="str">
        <x:v>IC-L3-330</x:v>
      </x:c>
      <x:c r="D122" s="25" t="str">
        <x:v>眼科医生</x:v>
      </x:c>
      <x:c r="E122" s="27" t="str">
        <x:v>2-05-01-19</x:v>
      </x:c>
      <x:c r="F122" s="25" t="str">
        <x:v>全科医师</x:v>
      </x:c>
      <x:c r="G122" s="27" t="str">
        <x:v>IC04</x:v>
      </x:c>
      <x:c r="H122" s="25" t="str">
        <x:v>医药生物与医疗健康产业链</x:v>
      </x:c>
      <x:c r="I122" s="25" t="str">
        <x:v>下游</x:v>
      </x:c>
      <x:c r="J122" s="27" t="str">
        <x:v>ICN012</x:v>
      </x:c>
      <x:c r="K122" s="25" t="str">
        <x:v>医疗服务、临床应用与健康管理</x:v>
      </x:c>
      <x:c r="L122" s="28" t="n">
        <x:v>94</x:v>
      </x:c>
      <x:c r="M122" s="25" t="str">
        <x:v>高</x:v>
      </x:c>
      <x:c r="N122" s="26" t="str">
        <x:v>医生、医师、医药、医疗、诊断、临床、护士、护理</x:v>
      </x:c>
      <x:c r="O122" s="26" t="str">
        <x:v>岗位名称/描述出现“医生、医师、医药、医疗、诊断”，工作环节更贴近“医生、医师、临床、护士、护理”，因此关联到该节点。</x:v>
      </x:c>
      <x:c r="P122" s="26" t="str">
        <x:v>自动通过</x:v>
      </x:c>
    </x:row>
    <x:row r="123" ht="44" customHeight="1">
      <x:c r="A123" s="27" t="str">
        <x:v>REL000120</x:v>
      </x:c>
      <x:c r="B123" s="25" t="n">
        <x:v>11074</x:v>
      </x:c>
      <x:c r="C123" s="27" t="str">
        <x:v>IC-L3-331</x:v>
      </x:c>
      <x:c r="D123" s="25" t="str">
        <x:v>综合门诊/全科医生</x:v>
      </x:c>
      <x:c r="E123" s="27" t="str">
        <x:v>2-05-01-19</x:v>
      </x:c>
      <x:c r="F123" s="25" t="str">
        <x:v>全科医师</x:v>
      </x:c>
      <x:c r="G123" s="27" t="str">
        <x:v>IC04</x:v>
      </x:c>
      <x:c r="H123" s="25" t="str">
        <x:v>医药生物与医疗健康产业链</x:v>
      </x:c>
      <x:c r="I123" s="25" t="str">
        <x:v>下游</x:v>
      </x:c>
      <x:c r="J123" s="27" t="str">
        <x:v>ICN012</x:v>
      </x:c>
      <x:c r="K123" s="25" t="str">
        <x:v>医疗服务、临床应用与健康管理</x:v>
      </x:c>
      <x:c r="L123" s="28" t="n">
        <x:v>92</x:v>
      </x:c>
      <x:c r="M123" s="25" t="str">
        <x:v>高</x:v>
      </x:c>
      <x:c r="N123" s="26" t="str">
        <x:v>医生、医师、医药、医疗、药物、护士、健康管理、医疗服务</x:v>
      </x:c>
      <x:c r="O123" s="26" t="str">
        <x:v>岗位名称/描述出现“医生、医师、医药、医疗、药物”，工作环节更贴近“医生、医师、护士、健康管理、医疗服务”，因此关联到该节点。</x:v>
      </x:c>
      <x:c r="P123" s="26" t="str">
        <x:v>自动通过</x:v>
      </x:c>
    </x:row>
    <x:row r="124" ht="44" customHeight="1">
      <x:c r="A124" s="27" t="str">
        <x:v>REL000121</x:v>
      </x:c>
      <x:c r="B124" s="25" t="n">
        <x:v>11075</x:v>
      </x:c>
      <x:c r="C124" s="27" t="str">
        <x:v>IC-L3-332</x:v>
      </x:c>
      <x:c r="D124" s="25" t="str">
        <x:v>药库主任/药剂师</x:v>
      </x:c>
      <x:c r="E124" s="27" t="str">
        <x:v>2-05-01-19</x:v>
      </x:c>
      <x:c r="F124" s="25" t="str">
        <x:v>全科医师</x:v>
      </x:c>
      <x:c r="G124" s="27" t="str">
        <x:v>IC04</x:v>
      </x:c>
      <x:c r="H124" s="25" t="str">
        <x:v>医药生物与医疗健康产业链</x:v>
      </x:c>
      <x:c r="I124" s="25" t="str">
        <x:v>下游</x:v>
      </x:c>
      <x:c r="J124" s="27" t="str">
        <x:v>ICN012</x:v>
      </x:c>
      <x:c r="K124" s="25" t="str">
        <x:v>医疗服务、临床应用与健康管理</x:v>
      </x:c>
      <x:c r="L124" s="28" t="n">
        <x:v>65</x:v>
      </x:c>
      <x:c r="M124" s="25" t="str">
        <x:v>低</x:v>
      </x:c>
      <x:c r="N124" s="26" t="str">
        <x:v>医师、医药、医疗、药物、药品、临床</x:v>
      </x:c>
      <x:c r="O124" s="26" t="str">
        <x:v>岗位名称/描述出现“医师、医药、医疗、药物、药品”，工作环节更贴近“医师、临床”，因此关联到该节点。</x:v>
      </x:c>
      <x:c r="P124" s="26" t="str">
        <x:v>建议复核</x:v>
      </x:c>
    </x:row>
    <x:row r="125" ht="44" customHeight="1">
      <x:c r="A125" s="27" t="str">
        <x:v>REL000122</x:v>
      </x:c>
      <x:c r="B125" s="25" t="n">
        <x:v>11076</x:v>
      </x:c>
      <x:c r="C125" s="27" t="str">
        <x:v>IC-L3-333</x:v>
      </x:c>
      <x:c r="D125" s="25" t="str">
        <x:v>营养师</x:v>
      </x:c>
      <x:c r="E125" s="27" t="str">
        <x:v>2-05-01-19</x:v>
      </x:c>
      <x:c r="F125" s="25" t="str">
        <x:v>全科医师</x:v>
      </x:c>
      <x:c r="G125" s="27" t="str">
        <x:v>IC04</x:v>
      </x:c>
      <x:c r="H125" s="25" t="str">
        <x:v>医药生物与医疗健康产业链</x:v>
      </x:c>
      <x:c r="I125" s="25" t="str">
        <x:v>下游</x:v>
      </x:c>
      <x:c r="J125" s="27" t="str">
        <x:v>ICN012</x:v>
      </x:c>
      <x:c r="K125" s="25" t="str">
        <x:v>医疗服务、临床应用与健康管理</x:v>
      </x:c>
      <x:c r="L125" s="28" t="n">
        <x:v>96</x:v>
      </x:c>
      <x:c r="M125" s="25" t="str">
        <x:v>高</x:v>
      </x:c>
      <x:c r="N125" s="26" t="str">
        <x:v>营养师、医师、医药、医疗、临床、营养、医生、护士</x:v>
      </x:c>
      <x:c r="O125" s="26" t="str">
        <x:v>岗位名称/描述出现“营养师、医师、医药、医疗、临床”，工作环节更贴近“营养、医师、临床、医生、护士”，因此关联到该节点。</x:v>
      </x:c>
      <x:c r="P125" s="26" t="str">
        <x:v>自动通过</x:v>
      </x:c>
    </x:row>
    <x:row r="126" ht="44" customHeight="1">
      <x:c r="A126" s="27" t="str">
        <x:v>REL000123</x:v>
      </x:c>
      <x:c r="B126" s="25" t="n">
        <x:v>11076</x:v>
      </x:c>
      <x:c r="C126" s="27" t="str">
        <x:v>IC-L3-333</x:v>
      </x:c>
      <x:c r="D126" s="25" t="str">
        <x:v>营养师</x:v>
      </x:c>
      <x:c r="E126" s="27" t="str">
        <x:v>2-05-01-19</x:v>
      </x:c>
      <x:c r="F126" s="25" t="str">
        <x:v>全科医师</x:v>
      </x:c>
      <x:c r="G126" s="27" t="str">
        <x:v>IC09</x:v>
      </x:c>
      <x:c r="H126" s="25" t="str">
        <x:v>食品饮料产业链</x:v>
      </x:c>
      <x:c r="I126" s="25" t="str">
        <x:v>下游</x:v>
      </x:c>
      <x:c r="J126" s="27" t="str">
        <x:v>ICN027</x:v>
      </x:c>
      <x:c r="K126" s="25" t="str">
        <x:v>品牌渠道、餐饮零售与消费服务</x:v>
      </x:c>
      <x:c r="L126" s="28" t="n">
        <x:v>76</x:v>
      </x:c>
      <x:c r="M126" s="25" t="str">
        <x:v>中</x:v>
      </x:c>
      <x:c r="N126" s="26" t="str">
        <x:v>营养师、食品、营养、品牌</x:v>
      </x:c>
      <x:c r="O126" s="26" t="str">
        <x:v>岗位名称/描述出现“营养师、食品”，工作环节更贴近“营养、品牌”，因此关联到该节点。</x:v>
      </x:c>
      <x:c r="P126" s="26" t="str">
        <x:v>自动通过</x:v>
      </x:c>
    </x:row>
    <x:row r="127" ht="44" customHeight="1">
      <x:c r="A127" s="27" t="str">
        <x:v>REL000124</x:v>
      </x:c>
      <x:c r="B127" s="25" t="n">
        <x:v>11077</x:v>
      </x:c>
      <x:c r="C127" s="27" t="str">
        <x:v>IC-L3-334</x:v>
      </x:c>
      <x:c r="D127" s="25" t="str">
        <x:v>超声影像/放射科医师</x:v>
      </x:c>
      <x:c r="E127" s="27" t="str">
        <x:v>2-05-01-19</x:v>
      </x:c>
      <x:c r="F127" s="25" t="str">
        <x:v>全科医师</x:v>
      </x:c>
      <x:c r="G127" s="27" t="str">
        <x:v>IC04</x:v>
      </x:c>
      <x:c r="H127" s="25" t="str">
        <x:v>医药生物与医疗健康产业链</x:v>
      </x:c>
      <x:c r="I127" s="25" t="str">
        <x:v>下游</x:v>
      </x:c>
      <x:c r="J127" s="27" t="str">
        <x:v>ICN012</x:v>
      </x:c>
      <x:c r="K127" s="25" t="str">
        <x:v>医疗服务、临床应用与健康管理</x:v>
      </x:c>
      <x:c r="L127" s="28" t="n">
        <x:v>91</x:v>
      </x:c>
      <x:c r="M127" s="25" t="str">
        <x:v>高</x:v>
      </x:c>
      <x:c r="N127" s="26" t="str">
        <x:v>医师、医疗、诊断、临床、医生、诊疗、医疗服务</x:v>
      </x:c>
      <x:c r="O127" s="26" t="str">
        <x:v>岗位名称/描述出现“医师、医疗、诊断、临床、医生”，工作环节更贴近“医师、临床、医生、诊疗、医疗服务”，因此关联到该节点。</x:v>
      </x:c>
      <x:c r="P127" s="26" t="str">
        <x:v>自动通过</x:v>
      </x:c>
    </x:row>
    <x:row r="128" ht="44" customHeight="1">
      <x:c r="A128" s="27" t="str">
        <x:v>REL000125</x:v>
      </x:c>
      <x:c r="B128" s="25" t="n">
        <x:v>11078</x:v>
      </x:c>
      <x:c r="C128" s="27" t="str">
        <x:v>IC-L3-335</x:v>
      </x:c>
      <x:c r="D128" s="25" t="str">
        <x:v>针灸/推拿</x:v>
      </x:c>
      <x:c r="E128" s="27" t="str">
        <x:v>2-05-01-19</x:v>
      </x:c>
      <x:c r="F128" s="25" t="str">
        <x:v>全科医师</x:v>
      </x:c>
      <x:c r="G128" s="27" t="str">
        <x:v>IC04</x:v>
      </x:c>
      <x:c r="H128" s="25" t="str">
        <x:v>医药生物与医疗健康产业链</x:v>
      </x:c>
      <x:c r="I128" s="25" t="str">
        <x:v>下游</x:v>
      </x:c>
      <x:c r="J128" s="27" t="str">
        <x:v>ICN012</x:v>
      </x:c>
      <x:c r="K128" s="25" t="str">
        <x:v>医疗服务、临床应用与健康管理</x:v>
      </x:c>
      <x:c r="L128" s="28" t="n">
        <x:v>66</x:v>
      </x:c>
      <x:c r="M128" s="25" t="str">
        <x:v>低</x:v>
      </x:c>
      <x:c r="N128" s="26" t="str">
        <x:v>医师、医药、医疗、临床、诊疗、医疗服务</x:v>
      </x:c>
      <x:c r="O128" s="26" t="str">
        <x:v>岗位名称/描述出现“医师、医药、医疗、临床”，工作环节更贴近“医师、临床、诊疗、医疗服务”，因此关联到该节点。</x:v>
      </x:c>
      <x:c r="P128" s="26" t="str">
        <x:v>建议复核</x:v>
      </x:c>
    </x:row>
    <x:row r="129" ht="44" customHeight="1">
      <x:c r="A129" s="27" t="str">
        <x:v>REL000126</x:v>
      </x:c>
      <x:c r="B129" s="25" t="n">
        <x:v>11079</x:v>
      </x:c>
      <x:c r="C129" s="27" t="str">
        <x:v>IC-L3-336</x:v>
      </x:c>
      <x:c r="D129" s="25" t="str">
        <x:v>防疫员</x:v>
      </x:c>
      <x:c r="E129" s="27" t="str">
        <x:v>2-05-01-19</x:v>
      </x:c>
      <x:c r="F129" s="25" t="str">
        <x:v>全科医师</x:v>
      </x:c>
      <x:c r="G129" s="27" t="str">
        <x:v>IC04</x:v>
      </x:c>
      <x:c r="H129" s="25" t="str">
        <x:v>医药生物与医疗健康产业链</x:v>
      </x:c>
      <x:c r="I129" s="25" t="str">
        <x:v>下游</x:v>
      </x:c>
      <x:c r="J129" s="27" t="str">
        <x:v>ICN012</x:v>
      </x:c>
      <x:c r="K129" s="25" t="str">
        <x:v>医疗服务、临床应用与健康管理</x:v>
      </x:c>
      <x:c r="L129" s="28" t="n">
        <x:v>63</x:v>
      </x:c>
      <x:c r="M129" s="25" t="str">
        <x:v>低</x:v>
      </x:c>
      <x:c r="N129" s="26" t="str">
        <x:v>医师、医药、医疗、疫苗、健康管理</x:v>
      </x:c>
      <x:c r="O129" s="26" t="str">
        <x:v>岗位名称/描述出现“医师、医药、医疗、疫苗、健康管理”，工作环节更贴近“医师、健康管理”，因此关联到该节点。</x:v>
      </x:c>
      <x:c r="P129" s="26" t="str">
        <x:v>建议复核</x:v>
      </x:c>
    </x:row>
    <x:row r="130" ht="44" customHeight="1">
      <x:c r="A130" s="27" t="str">
        <x:v>REL000127</x:v>
      </x:c>
      <x:c r="B130" s="25" t="n">
        <x:v>11080</x:v>
      </x:c>
      <x:c r="C130" s="27" t="str">
        <x:v>IC-L3-337</x:v>
      </x:c>
      <x:c r="D130" s="25" t="str">
        <x:v>验光师</x:v>
      </x:c>
      <x:c r="E130" s="27" t="str">
        <x:v>2-05-01-19</x:v>
      </x:c>
      <x:c r="F130" s="25" t="str">
        <x:v>全科医师</x:v>
      </x:c>
      <x:c r="G130" s="27" t="str">
        <x:v>IC04</x:v>
      </x:c>
      <x:c r="H130" s="25" t="str">
        <x:v>医药生物与医疗健康产业链</x:v>
      </x:c>
      <x:c r="I130" s="25" t="str">
        <x:v>下游</x:v>
      </x:c>
      <x:c r="J130" s="27" t="str">
        <x:v>ICN012</x:v>
      </x:c>
      <x:c r="K130" s="25" t="str">
        <x:v>医疗服务、临床应用与健康管理</x:v>
      </x:c>
      <x:c r="L130" s="28" t="n">
        <x:v>62</x:v>
      </x:c>
      <x:c r="M130" s="25" t="str">
        <x:v>低</x:v>
      </x:c>
      <x:c r="N130" s="26" t="str">
        <x:v>医师、医疗、临床、医生</x:v>
      </x:c>
      <x:c r="O130" s="26" t="str">
        <x:v>岗位名称/描述出现“医师、医疗、临床、医生”，工作环节更贴近“医师、临床、医生”，因此关联到该节点。</x:v>
      </x:c>
      <x:c r="P130" s="26" t="str">
        <x:v>建议复核</x:v>
      </x:c>
    </x:row>
    <x:row r="131" ht="44" customHeight="1">
      <x:c r="A131" s="27" t="str">
        <x:v>REL000128</x:v>
      </x:c>
      <x:c r="B131" s="25" t="n">
        <x:v>11081</x:v>
      </x:c>
      <x:c r="C131" s="27" t="str">
        <x:v>IC-L3-338</x:v>
      </x:c>
      <x:c r="D131" s="25" t="str">
        <x:v>麻醉医生</x:v>
      </x:c>
      <x:c r="E131" s="27" t="str">
        <x:v>2-05-01-19</x:v>
      </x:c>
      <x:c r="F131" s="25" t="str">
        <x:v>全科医师</x:v>
      </x:c>
      <x:c r="G131" s="27" t="str">
        <x:v>IC04</x:v>
      </x:c>
      <x:c r="H131" s="25" t="str">
        <x:v>医药生物与医疗健康产业链</x:v>
      </x:c>
      <x:c r="I131" s="25" t="str">
        <x:v>下游</x:v>
      </x:c>
      <x:c r="J131" s="27" t="str">
        <x:v>ICN012</x:v>
      </x:c>
      <x:c r="K131" s="25" t="str">
        <x:v>医疗服务、临床应用与健康管理</x:v>
      </x:c>
      <x:c r="L131" s="28" t="n">
        <x:v>94</x:v>
      </x:c>
      <x:c r="M131" s="25" t="str">
        <x:v>高</x:v>
      </x:c>
      <x:c r="N131" s="26" t="str">
        <x:v>医生、医师、医药、医疗、临床、护士、护理</x:v>
      </x:c>
      <x:c r="O131" s="26" t="str">
        <x:v>岗位名称/描述出现“医生、医师、医药、医疗、临床”，工作环节更贴近“医生、医师、临床、护士、护理”，因此关联到该节点。</x:v>
      </x:c>
      <x:c r="P131" s="26" t="str">
        <x:v>自动通过</x:v>
      </x:c>
    </x:row>
    <x:row r="132" ht="44" customHeight="1">
      <x:c r="A132" s="27" t="str">
        <x:v>REL000129</x:v>
      </x:c>
      <x:c r="B132" s="25" t="n">
        <x:v>11083</x:v>
      </x:c>
      <x:c r="C132" s="27" t="str">
        <x:v>IC-L3-340</x:v>
      </x:c>
      <x:c r="D132" s="25" t="str">
        <x:v>核医学科医师</x:v>
      </x:c>
      <x:c r="E132" s="27" t="str">
        <x:v>2-05-01-19</x:v>
      </x:c>
      <x:c r="F132" s="25" t="str">
        <x:v>全科医师</x:v>
      </x:c>
      <x:c r="G132" s="27" t="str">
        <x:v>IC04</x:v>
      </x:c>
      <x:c r="H132" s="25" t="str">
        <x:v>医药生物与医疗健康产业链</x:v>
      </x:c>
      <x:c r="I132" s="25" t="str">
        <x:v>下游</x:v>
      </x:c>
      <x:c r="J132" s="27" t="str">
        <x:v>ICN012</x:v>
      </x:c>
      <x:c r="K132" s="25" t="str">
        <x:v>医疗服务、临床应用与健康管理</x:v>
      </x:c>
      <x:c r="L132" s="28" t="n">
        <x:v>81</x:v>
      </x:c>
      <x:c r="M132" s="25" t="str">
        <x:v>中</x:v>
      </x:c>
      <x:c r="N132" s="26" t="str">
        <x:v>医师、药物、诊断</x:v>
      </x:c>
      <x:c r="O132" s="26" t="str">
        <x:v>岗位名称/描述出现“医师、药物、诊断”，工作环节更贴近“医师”，因此关联到该节点。</x:v>
      </x:c>
      <x:c r="P132" s="26" t="str">
        <x:v>自动通过</x:v>
      </x:c>
    </x:row>
    <x:row r="133" ht="44" customHeight="1">
      <x:c r="A133" s="27" t="str">
        <x:v>REL000130</x:v>
      </x:c>
      <x:c r="B133" s="25" t="n">
        <x:v>11084</x:v>
      </x:c>
      <x:c r="C133" s="27" t="str">
        <x:v>IC-L3-341</x:v>
      </x:c>
      <x:c r="D133" s="25" t="str">
        <x:v>临床协调员</x:v>
      </x:c>
      <x:c r="E133" s="27" t="str">
        <x:v>2-05-01-19</x:v>
      </x:c>
      <x:c r="F133" s="25" t="str">
        <x:v>全科医师</x:v>
      </x:c>
      <x:c r="G133" s="27" t="str">
        <x:v>IC04</x:v>
      </x:c>
      <x:c r="H133" s="25" t="str">
        <x:v>医药生物与医疗健康产业链</x:v>
      </x:c>
      <x:c r="I133" s="25" t="str">
        <x:v>下游</x:v>
      </x:c>
      <x:c r="J133" s="27" t="str">
        <x:v>ICN012</x:v>
      </x:c>
      <x:c r="K133" s="25" t="str">
        <x:v>医疗服务、临床应用与健康管理</x:v>
      </x:c>
      <x:c r="L133" s="28" t="n">
        <x:v>80</x:v>
      </x:c>
      <x:c r="M133" s="25" t="str">
        <x:v>中</x:v>
      </x:c>
      <x:c r="N133" s="26" t="str">
        <x:v>临床、医师、医生</x:v>
      </x:c>
      <x:c r="O133" s="26" t="str">
        <x:v>岗位名称/描述出现“临床、医师、医生”，工作环节更贴近“临床、医师、医生”，因此关联到该节点。</x:v>
      </x:c>
      <x:c r="P133" s="26" t="str">
        <x:v>自动通过</x:v>
      </x:c>
    </x:row>
    <x:row r="134" ht="44" customHeight="1">
      <x:c r="A134" s="27" t="str">
        <x:v>REL000131</x:v>
      </x:c>
      <x:c r="B134" s="25" t="n">
        <x:v>11087</x:v>
      </x:c>
      <x:c r="C134" s="27" t="str">
        <x:v>IC-L3-344</x:v>
      </x:c>
      <x:c r="D134" s="25" t="str">
        <x:v>医疗器械市场推广</x:v>
      </x:c>
      <x:c r="E134" s="27" t="str">
        <x:v>2-05-07-01</x:v>
      </x:c>
      <x:c r="F134" s="25" t="str">
        <x:v>影像技师</x:v>
      </x:c>
      <x:c r="G134" s="27" t="str">
        <x:v>IC04</x:v>
      </x:c>
      <x:c r="H134" s="25" t="str">
        <x:v>医药生物与医疗健康产业链</x:v>
      </x:c>
      <x:c r="I134" s="25" t="str">
        <x:v>中游</x:v>
      </x:c>
      <x:c r="J134" s="27" t="str">
        <x:v>ICN011</x:v>
      </x:c>
      <x:c r="K134" s="25" t="str">
        <x:v>药械生产、医疗装备与数字平台</x:v>
      </x:c>
      <x:c r="L134" s="28" t="n">
        <x:v>92</x:v>
      </x:c>
      <x:c r="M134" s="25" t="str">
        <x:v>高</x:v>
      </x:c>
      <x:c r="N134" s="26" t="str">
        <x:v>医疗、医疗器械、影像技师、医药、质量</x:v>
      </x:c>
      <x:c r="O134" s="26" t="str">
        <x:v>岗位名称/描述出现“医疗、医疗器械、影像技师、医药”，工作环节更贴近“医疗器械、质量”，因此关联到该节点。</x:v>
      </x:c>
      <x:c r="P134" s="26" t="str">
        <x:v>自动通过</x:v>
      </x:c>
    </x:row>
    <x:row r="135" ht="44" customHeight="1">
      <x:c r="A135" s="27" t="str">
        <x:v>REL000132</x:v>
      </x:c>
      <x:c r="B135" s="25" t="n">
        <x:v>11088</x:v>
      </x:c>
      <x:c r="C135" s="27" t="str">
        <x:v>IC-L3-345</x:v>
      </x:c>
      <x:c r="D135" s="25" t="str">
        <x:v>医疗器械注册</x:v>
      </x:c>
      <x:c r="E135" s="27" t="str">
        <x:v>2-05-07-01</x:v>
      </x:c>
      <x:c r="F135" s="25" t="str">
        <x:v>影像技师</x:v>
      </x:c>
      <x:c r="G135" s="27" t="str">
        <x:v>IC04</x:v>
      </x:c>
      <x:c r="H135" s="25" t="str">
        <x:v>医药生物与医疗健康产业链</x:v>
      </x:c>
      <x:c r="I135" s="25" t="str">
        <x:v>中游</x:v>
      </x:c>
      <x:c r="J135" s="27" t="str">
        <x:v>ICN011</x:v>
      </x:c>
      <x:c r="K135" s="25" t="str">
        <x:v>药械生产、医疗装备与数字平台</x:v>
      </x:c>
      <x:c r="L135" s="28" t="n">
        <x:v>98</x:v>
      </x:c>
      <x:c r="M135" s="25" t="str">
        <x:v>高</x:v>
      </x:c>
      <x:c r="N135" s="26" t="str">
        <x:v>医疗、医疗器械、影像技师、医药、注册、生产、质量</x:v>
      </x:c>
      <x:c r="O135" s="26" t="str">
        <x:v>岗位名称/描述出现“医疗、医疗器械、影像技师、医药”，工作环节更贴近“医疗器械、注册、生产、质量”，因此关联到该节点。</x:v>
      </x:c>
      <x:c r="P135" s="26" t="str">
        <x:v>自动通过</x:v>
      </x:c>
    </x:row>
    <x:row r="136" ht="44" customHeight="1">
      <x:c r="A136" s="27" t="str">
        <x:v>REL000133</x:v>
      </x:c>
      <x:c r="B136" s="25" t="n">
        <x:v>11089</x:v>
      </x:c>
      <x:c r="C136" s="27" t="str">
        <x:v>IC-L3-346</x:v>
      </x:c>
      <x:c r="D136" s="25" t="str">
        <x:v>医疗器械生产/质量管理</x:v>
      </x:c>
      <x:c r="E136" s="27" t="str">
        <x:v>2-02-29-03</x:v>
      </x:c>
      <x:c r="F136" s="25" t="str">
        <x:v>质量管理工程技术人员</x:v>
      </x:c>
      <x:c r="G136" s="27" t="str">
        <x:v>IC04</x:v>
      </x:c>
      <x:c r="H136" s="25" t="str">
        <x:v>医药生物与医疗健康产业链</x:v>
      </x:c>
      <x:c r="I136" s="25" t="str">
        <x:v>中游</x:v>
      </x:c>
      <x:c r="J136" s="27" t="str">
        <x:v>ICN011</x:v>
      </x:c>
      <x:c r="K136" s="25" t="str">
        <x:v>药械生产、医疗装备与数字平台</x:v>
      </x:c>
      <x:c r="L136" s="28" t="n">
        <x:v>96</x:v>
      </x:c>
      <x:c r="M136" s="25" t="str">
        <x:v>高</x:v>
      </x:c>
      <x:c r="N136" s="26" t="str">
        <x:v>医疗、医疗器械、医药、生产、质量、注册</x:v>
      </x:c>
      <x:c r="O136" s="26" t="str">
        <x:v>岗位名称/描述出现“医疗、医疗器械、医药”，工作环节更贴近“医疗器械、生产、质量、注册”，因此关联到该节点。</x:v>
      </x:c>
      <x:c r="P136" s="26" t="str">
        <x:v>自动通过</x:v>
      </x:c>
    </x:row>
    <x:row r="137" ht="44" customHeight="1">
      <x:c r="A137" s="27" t="str">
        <x:v>REL000134</x:v>
      </x:c>
      <x:c r="B137" s="25" t="n">
        <x:v>11090</x:v>
      </x:c>
      <x:c r="C137" s="27" t="str">
        <x:v>IC-L3-347</x:v>
      </x:c>
      <x:c r="D137" s="25" t="str">
        <x:v>医疗器械研发</x:v>
      </x:c>
      <x:c r="E137" s="27" t="str">
        <x:v>2-05-07-01</x:v>
      </x:c>
      <x:c r="F137" s="25" t="str">
        <x:v>影像技师</x:v>
      </x:c>
      <x:c r="G137" s="27" t="str">
        <x:v>IC04</x:v>
      </x:c>
      <x:c r="H137" s="25" t="str">
        <x:v>医药生物与医疗健康产业链</x:v>
      </x:c>
      <x:c r="I137" s="25" t="str">
        <x:v>中游</x:v>
      </x:c>
      <x:c r="J137" s="27" t="str">
        <x:v>ICN011</x:v>
      </x:c>
      <x:c r="K137" s="25" t="str">
        <x:v>药械生产、医疗装备与数字平台</x:v>
      </x:c>
      <x:c r="L137" s="28" t="n">
        <x:v>94</x:v>
      </x:c>
      <x:c r="M137" s="25" t="str">
        <x:v>高</x:v>
      </x:c>
      <x:c r="N137" s="26" t="str">
        <x:v>医疗、医疗器械、影像技师、医药、诊断、生产、质量、注册</x:v>
      </x:c>
      <x:c r="O137" s="26" t="str">
        <x:v>岗位名称/描述出现“医疗、医疗器械、影像技师、医药、诊断”，工作环节更贴近“医疗器械、生产、质量、注册”，因此关联到该节点。</x:v>
      </x:c>
      <x:c r="P137" s="26" t="str">
        <x:v>自动通过</x:v>
      </x:c>
    </x:row>
    <x:row r="138" ht="44" customHeight="1">
      <x:c r="A138" s="27" t="str">
        <x:v>REL000135</x:v>
      </x:c>
      <x:c r="B138" s="25" t="n">
        <x:v>11091</x:v>
      </x:c>
      <x:c r="C138" s="27" t="str">
        <x:v>IC-L3-348</x:v>
      </x:c>
      <x:c r="D138" s="25" t="str">
        <x:v>医疗器械维修人员</x:v>
      </x:c>
      <x:c r="E138" s="27" t="str">
        <x:v>2-05-07-01</x:v>
      </x:c>
      <x:c r="F138" s="25" t="str">
        <x:v>影像技师</x:v>
      </x:c>
      <x:c r="G138" s="27" t="str">
        <x:v>IC04</x:v>
      </x:c>
      <x:c r="H138" s="25" t="str">
        <x:v>医药生物与医疗健康产业链</x:v>
      </x:c>
      <x:c r="I138" s="25" t="str">
        <x:v>中游</x:v>
      </x:c>
      <x:c r="J138" s="27" t="str">
        <x:v>ICN011</x:v>
      </x:c>
      <x:c r="K138" s="25" t="str">
        <x:v>药械生产、医疗装备与数字平台</x:v>
      </x:c>
      <x:c r="L138" s="28" t="n">
        <x:v>92</x:v>
      </x:c>
      <x:c r="M138" s="25" t="str">
        <x:v>高</x:v>
      </x:c>
      <x:c r="N138" s="26" t="str">
        <x:v>医疗、医疗器械、影像技师、医药、诊断、质量</x:v>
      </x:c>
      <x:c r="O138" s="26" t="str">
        <x:v>岗位名称/描述出现“医疗、医疗器械、影像技师、医药、诊断”，工作环节更贴近“医疗器械、质量”，因此关联到该节点。</x:v>
      </x:c>
      <x:c r="P138" s="26" t="str">
        <x:v>自动通过</x:v>
      </x:c>
    </x:row>
    <x:row r="139" ht="44" customHeight="1">
      <x:c r="A139" s="27" t="str">
        <x:v>REL000136</x:v>
      </x:c>
      <x:c r="B139" s="25" t="n">
        <x:v>11092</x:v>
      </x:c>
      <x:c r="C139" s="27" t="str">
        <x:v>IC-L3-349</x:v>
      </x:c>
      <x:c r="D139" s="25" t="str">
        <x:v>医疗器械销售代表</x:v>
      </x:c>
      <x:c r="E139" s="27" t="str">
        <x:v>4-01-02-01</x:v>
      </x:c>
      <x:c r="F139" s="25" t="str">
        <x:v>营销员</x:v>
      </x:c>
      <x:c r="G139" s="27" t="str">
        <x:v>IC04</x:v>
      </x:c>
      <x:c r="H139" s="25" t="str">
        <x:v>医药生物与医疗健康产业链</x:v>
      </x:c>
      <x:c r="I139" s="25" t="str">
        <x:v>中游</x:v>
      </x:c>
      <x:c r="J139" s="27" t="str">
        <x:v>ICN011</x:v>
      </x:c>
      <x:c r="K139" s="25" t="str">
        <x:v>药械生产、医疗装备与数字平台</x:v>
      </x:c>
      <x:c r="L139" s="28" t="n">
        <x:v>92</x:v>
      </x:c>
      <x:c r="M139" s="25" t="str">
        <x:v>高</x:v>
      </x:c>
      <x:c r="N139" s="26" t="str">
        <x:v>医疗、医疗器械、医药、医疗设备、生产、质量</x:v>
      </x:c>
      <x:c r="O139" s="26" t="str">
        <x:v>岗位名称/描述出现“医疗、医疗器械、医药”，工作环节更贴近“医疗器械、医疗设备、生产、质量”，因此关联到该节点。</x:v>
      </x:c>
      <x:c r="P139" s="26" t="str">
        <x:v>自动通过</x:v>
      </x:c>
    </x:row>
    <x:row r="140" ht="44" customHeight="1">
      <x:c r="A140" s="27" t="str">
        <x:v>REL000137</x:v>
      </x:c>
      <x:c r="B140" s="25" t="n">
        <x:v>11093</x:v>
      </x:c>
      <x:c r="C140" s="27" t="str">
        <x:v>IC-L3-350</x:v>
      </x:c>
      <x:c r="D140" s="25" t="str">
        <x:v>医疗器械销售经理/主管</x:v>
      </x:c>
      <x:c r="E140" s="27" t="str">
        <x:v>4-01-02-01</x:v>
      </x:c>
      <x:c r="F140" s="25" t="str">
        <x:v>营销员</x:v>
      </x:c>
      <x:c r="G140" s="27" t="str">
        <x:v>IC04</x:v>
      </x:c>
      <x:c r="H140" s="25" t="str">
        <x:v>医药生物与医疗健康产业链</x:v>
      </x:c>
      <x:c r="I140" s="25" t="str">
        <x:v>中游</x:v>
      </x:c>
      <x:c r="J140" s="27" t="str">
        <x:v>ICN011</x:v>
      </x:c>
      <x:c r="K140" s="25" t="str">
        <x:v>药械生产、医疗装备与数字平台</x:v>
      </x:c>
      <x:c r="L140" s="28" t="n">
        <x:v>89</x:v>
      </x:c>
      <x:c r="M140" s="25" t="str">
        <x:v>高</x:v>
      </x:c>
      <x:c r="N140" s="26" t="str">
        <x:v>医疗、医疗器械、医药</x:v>
      </x:c>
      <x:c r="O140" s="26" t="str">
        <x:v>岗位名称/描述出现“医疗、医疗器械、医药”，工作环节更贴近“医疗器械”，因此关联到该节点。</x:v>
      </x:c>
      <x:c r="P140" s="26" t="str">
        <x:v>自动通过</x:v>
      </x:c>
    </x:row>
    <x:row r="141" ht="44" customHeight="1">
      <x:c r="A141" s="27" t="str">
        <x:v>REL000138</x:v>
      </x:c>
      <x:c r="B141" s="25" t="n">
        <x:v>11094</x:v>
      </x:c>
      <x:c r="C141" s="27" t="str">
        <x:v>IC-L3-351</x:v>
      </x:c>
      <x:c r="D141" s="25" t="str">
        <x:v>医学顾问</x:v>
      </x:c>
      <x:c r="E141" s="27" t="str">
        <x:v>2-05-07-01</x:v>
      </x:c>
      <x:c r="F141" s="25" t="str">
        <x:v>影像技师</x:v>
      </x:c>
      <x:c r="G141" s="27" t="str">
        <x:v>IC04</x:v>
      </x:c>
      <x:c r="H141" s="25" t="str">
        <x:v>医药生物与医疗健康产业链</x:v>
      </x:c>
      <x:c r="I141" s="25" t="str">
        <x:v>下游</x:v>
      </x:c>
      <x:c r="J141" s="27" t="str">
        <x:v>ICN012</x:v>
      </x:c>
      <x:c r="K141" s="25" t="str">
        <x:v>医疗服务、临床应用与健康管理</x:v>
      </x:c>
      <x:c r="L141" s="28" t="n">
        <x:v>64</x:v>
      </x:c>
      <x:c r="M141" s="25" t="str">
        <x:v>低</x:v>
      </x:c>
      <x:c r="N141" s="26" t="str">
        <x:v>影像技师、医疗、临床、医生、医疗器械</x:v>
      </x:c>
      <x:c r="O141" s="26" t="str">
        <x:v>岗位名称/描述出现“影像技师、医疗、临床、医生、医疗器械”，工作环节更贴近“影像技师、临床、医生”，因此关联到该节点。</x:v>
      </x:c>
      <x:c r="P141" s="26" t="str">
        <x:v>建议复核</x:v>
      </x:c>
    </x:row>
    <x:row r="142" ht="44" customHeight="1">
      <x:c r="A142" s="27" t="str">
        <x:v>REL000139</x:v>
      </x:c>
      <x:c r="B142" s="25" t="n">
        <x:v>11095</x:v>
      </x:c>
      <x:c r="C142" s="27" t="str">
        <x:v>IC-L3-352</x:v>
      </x:c>
      <x:c r="D142" s="25" t="str">
        <x:v>医疗器械市场推广</x:v>
      </x:c>
      <x:c r="E142" s="27" t="str">
        <x:v>4-01-02-01</x:v>
      </x:c>
      <x:c r="F142" s="25" t="str">
        <x:v>营销员</x:v>
      </x:c>
      <x:c r="G142" s="27" t="str">
        <x:v>IC04</x:v>
      </x:c>
      <x:c r="H142" s="25" t="str">
        <x:v>医药生物与医疗健康产业链</x:v>
      </x:c>
      <x:c r="I142" s="25" t="str">
        <x:v>中游</x:v>
      </x:c>
      <x:c r="J142" s="27" t="str">
        <x:v>ICN011</x:v>
      </x:c>
      <x:c r="K142" s="25" t="str">
        <x:v>药械生产、医疗装备与数字平台</x:v>
      </x:c>
      <x:c r="L142" s="28" t="n">
        <x:v>89</x:v>
      </x:c>
      <x:c r="M142" s="25" t="str">
        <x:v>高</x:v>
      </x:c>
      <x:c r="N142" s="26" t="str">
        <x:v>医疗、医疗器械、医疗设备、质量</x:v>
      </x:c>
      <x:c r="O142" s="26" t="str">
        <x:v>岗位名称/描述出现“医疗、医疗器械”，工作环节更贴近“医疗器械、医疗设备、质量”，因此关联到该节点。</x:v>
      </x:c>
      <x:c r="P142" s="26" t="str">
        <x:v>自动通过</x:v>
      </x:c>
    </x:row>
    <x:row r="143" ht="44" customHeight="1">
      <x:c r="A143" s="27" t="str">
        <x:v>REL000140</x:v>
      </x:c>
      <x:c r="B143" s="25" t="n">
        <x:v>11096</x:v>
      </x:c>
      <x:c r="C143" s="27" t="str">
        <x:v>IC-L3-353</x:v>
      </x:c>
      <x:c r="D143" s="25" t="str">
        <x:v>医疗器械销售代表</x:v>
      </x:c>
      <x:c r="E143" s="27" t="str">
        <x:v>4-01-02-01</x:v>
      </x:c>
      <x:c r="F143" s="25" t="str">
        <x:v>营销员</x:v>
      </x:c>
      <x:c r="G143" s="27" t="str">
        <x:v>IC04</x:v>
      </x:c>
      <x:c r="H143" s="25" t="str">
        <x:v>医药生物与医疗健康产业链</x:v>
      </x:c>
      <x:c r="I143" s="25" t="str">
        <x:v>中游</x:v>
      </x:c>
      <x:c r="J143" s="27" t="str">
        <x:v>ICN011</x:v>
      </x:c>
      <x:c r="K143" s="25" t="str">
        <x:v>药械生产、医疗装备与数字平台</x:v>
      </x:c>
      <x:c r="L143" s="28" t="n">
        <x:v>91</x:v>
      </x:c>
      <x:c r="M143" s="25" t="str">
        <x:v>高</x:v>
      </x:c>
      <x:c r="N143" s="26" t="str">
        <x:v>医疗、医疗器械、医药、生产、质量</x:v>
      </x:c>
      <x:c r="O143" s="26" t="str">
        <x:v>岗位名称/描述出现“医疗、医疗器械、医药”，工作环节更贴近“医疗器械、生产、质量”，因此关联到该节点。</x:v>
      </x:c>
      <x:c r="P143" s="26" t="str">
        <x:v>自动通过</x:v>
      </x:c>
    </x:row>
    <x:row r="144" ht="44" customHeight="1">
      <x:c r="A144" s="27" t="str">
        <x:v>REL000141</x:v>
      </x:c>
      <x:c r="B144" s="25" t="n">
        <x:v>11097</x:v>
      </x:c>
      <x:c r="C144" s="27" t="str">
        <x:v>IC-L3-354</x:v>
      </x:c>
      <x:c r="D144" s="25" t="str">
        <x:v>医疗器械销售经理/主管</x:v>
      </x:c>
      <x:c r="E144" s="27" t="str">
        <x:v>4-01-02-01</x:v>
      </x:c>
      <x:c r="F144" s="25" t="str">
        <x:v>营销员</x:v>
      </x:c>
      <x:c r="G144" s="27" t="str">
        <x:v>IC04</x:v>
      </x:c>
      <x:c r="H144" s="25" t="str">
        <x:v>医药生物与医疗健康产业链</x:v>
      </x:c>
      <x:c r="I144" s="25" t="str">
        <x:v>中游</x:v>
      </x:c>
      <x:c r="J144" s="27" t="str">
        <x:v>ICN011</x:v>
      </x:c>
      <x:c r="K144" s="25" t="str">
        <x:v>药械生产、医疗装备与数字平台</x:v>
      </x:c>
      <x:c r="L144" s="28" t="n">
        <x:v>91</x:v>
      </x:c>
      <x:c r="M144" s="25" t="str">
        <x:v>高</x:v>
      </x:c>
      <x:c r="N144" s="26" t="str">
        <x:v>医疗、医疗器械、医药、生产、质量</x:v>
      </x:c>
      <x:c r="O144" s="26" t="str">
        <x:v>岗位名称/描述出现“医疗、医疗器械、医药”，工作环节更贴近“医疗器械、生产、质量”，因此关联到该节点。</x:v>
      </x:c>
      <x:c r="P144" s="26" t="str">
        <x:v>自动通过</x:v>
      </x:c>
    </x:row>
    <x:row r="145" ht="44" customHeight="1">
      <x:c r="A145" s="27" t="str">
        <x:v>REL000142</x:v>
      </x:c>
      <x:c r="B145" s="25" t="n">
        <x:v>11098</x:v>
      </x:c>
      <x:c r="C145" s="27" t="str">
        <x:v>IC-L3-355</x:v>
      </x:c>
      <x:c r="D145" s="25" t="str">
        <x:v>医药代表</x:v>
      </x:c>
      <x:c r="E145" s="27" t="str">
        <x:v>2-06-07-07</x:v>
      </x:c>
      <x:c r="F145" s="25" t="str">
        <x:v>医药代表</x:v>
      </x:c>
      <x:c r="G145" s="27" t="str">
        <x:v>IC04</x:v>
      </x:c>
      <x:c r="H145" s="25" t="str">
        <x:v>医药生物与医疗健康产业链</x:v>
      </x:c>
      <x:c r="I145" s="25" t="str">
        <x:v>下游</x:v>
      </x:c>
      <x:c r="J145" s="27" t="str">
        <x:v>ICN012</x:v>
      </x:c>
      <x:c r="K145" s="25" t="str">
        <x:v>医疗服务、临床应用与健康管理</x:v>
      </x:c>
      <x:c r="L145" s="28" t="n">
        <x:v>92</x:v>
      </x:c>
      <x:c r="M145" s="25" t="str">
        <x:v>高</x:v>
      </x:c>
      <x:c r="N145" s="26" t="str">
        <x:v>医药、医疗、药品、临床、医生、医药代表、护士</x:v>
      </x:c>
      <x:c r="O145" s="26" t="str">
        <x:v>岗位名称/描述出现“医药、医疗、药品、临床、医生”，工作环节更贴近“医药代表、临床、医生、护士”，因此关联到该节点。</x:v>
      </x:c>
      <x:c r="P145" s="26" t="str">
        <x:v>自动通过</x:v>
      </x:c>
    </x:row>
    <x:row r="146" ht="44" customHeight="1">
      <x:c r="A146" s="27" t="str">
        <x:v>REL000143</x:v>
      </x:c>
      <x:c r="B146" s="25" t="n">
        <x:v>11099</x:v>
      </x:c>
      <x:c r="C146" s="27" t="str">
        <x:v>IC-L3-356</x:v>
      </x:c>
      <x:c r="D146" s="25" t="str">
        <x:v>医药学术推广</x:v>
      </x:c>
      <x:c r="E146" s="27" t="str">
        <x:v>2-06-07-07</x:v>
      </x:c>
      <x:c r="F146" s="25" t="str">
        <x:v>医药代表</x:v>
      </x:c>
      <x:c r="G146" s="27" t="str">
        <x:v>IC04</x:v>
      </x:c>
      <x:c r="H146" s="25" t="str">
        <x:v>医药生物与医疗健康产业链</x:v>
      </x:c>
      <x:c r="I146" s="25" t="str">
        <x:v>下游</x:v>
      </x:c>
      <x:c r="J146" s="27" t="str">
        <x:v>ICN012</x:v>
      </x:c>
      <x:c r="K146" s="25" t="str">
        <x:v>医疗服务、临床应用与健康管理</x:v>
      </x:c>
      <x:c r="L146" s="28" t="n">
        <x:v>80</x:v>
      </x:c>
      <x:c r="M146" s="25" t="str">
        <x:v>中</x:v>
      </x:c>
      <x:c r="N146" s="26" t="str">
        <x:v>医药、医疗、制药、临床、医生、医药代表</x:v>
      </x:c>
      <x:c r="O146" s="26" t="str">
        <x:v>岗位名称/描述出现“医药、医疗、制药、临床、医生”，工作环节更贴近“医药代表、临床、医生”，因此关联到该节点。</x:v>
      </x:c>
      <x:c r="P146" s="26" t="str">
        <x:v>自动通过</x:v>
      </x:c>
    </x:row>
    <x:row r="147" ht="44" customHeight="1">
      <x:c r="A147" s="27" t="str">
        <x:v>REL000144</x:v>
      </x:c>
      <x:c r="B147" s="25" t="n">
        <x:v>11100</x:v>
      </x:c>
      <x:c r="C147" s="27" t="str">
        <x:v>IC-L3-357</x:v>
      </x:c>
      <x:c r="D147" s="25" t="str">
        <x:v>医药销售经理/主管</x:v>
      </x:c>
      <x:c r="E147" s="27" t="str">
        <x:v>2-06-07-07</x:v>
      </x:c>
      <x:c r="F147" s="25" t="str">
        <x:v>医药代表</x:v>
      </x:c>
      <x:c r="G147" s="27" t="str">
        <x:v>IC04</x:v>
      </x:c>
      <x:c r="H147" s="25" t="str">
        <x:v>医药生物与医疗健康产业链</x:v>
      </x:c>
      <x:c r="I147" s="25" t="str">
        <x:v>下游</x:v>
      </x:c>
      <x:c r="J147" s="27" t="str">
        <x:v>ICN012</x:v>
      </x:c>
      <x:c r="K147" s="25" t="str">
        <x:v>医疗服务、临床应用与健康管理</x:v>
      </x:c>
      <x:c r="L147" s="28" t="n">
        <x:v>72</x:v>
      </x:c>
      <x:c r="M147" s="25" t="str">
        <x:v>中</x:v>
      </x:c>
      <x:c r="N147" s="26" t="str">
        <x:v>医药、医疗、医药代表</x:v>
      </x:c>
      <x:c r="O147" s="26" t="str">
        <x:v>岗位名称/描述出现“医药、医疗”，工作环节更贴近“医药代表”，因此关联到该节点。</x:v>
      </x:c>
      <x:c r="P147" s="26" t="str">
        <x:v>自动通过</x:v>
      </x:c>
    </x:row>
    <x:row r="148" ht="44" customHeight="1">
      <x:c r="A148" s="27" t="str">
        <x:v>REL000145</x:v>
      </x:c>
      <x:c r="B148" s="25" t="n">
        <x:v>11101</x:v>
      </x:c>
      <x:c r="C148" s="27" t="str">
        <x:v>IC-L3-358</x:v>
      </x:c>
      <x:c r="D148" s="25" t="str">
        <x:v>药品市场推广专员</x:v>
      </x:c>
      <x:c r="E148" s="27" t="str">
        <x:v>4-01-02-01</x:v>
      </x:c>
      <x:c r="F148" s="25" t="str">
        <x:v>营销员</x:v>
      </x:c>
      <x:c r="G148" s="27" t="str">
        <x:v>IC04</x:v>
      </x:c>
      <x:c r="H148" s="25" t="str">
        <x:v>医药生物与医疗健康产业链</x:v>
      </x:c>
      <x:c r="I148" s="25" t="str">
        <x:v>下游</x:v>
      </x:c>
      <x:c r="J148" s="27" t="str">
        <x:v>ICN012</x:v>
      </x:c>
      <x:c r="K148" s="25" t="str">
        <x:v>医疗服务、临床应用与健康管理</x:v>
      </x:c>
      <x:c r="L148" s="28" t="n">
        <x:v>73</x:v>
      </x:c>
      <x:c r="M148" s="25" t="str">
        <x:v>中</x:v>
      </x:c>
      <x:c r="N148" s="26" t="str">
        <x:v>药品、医药、医疗、医生</x:v>
      </x:c>
      <x:c r="O148" s="26" t="str">
        <x:v>岗位名称/描述出现“药品、医药、医疗、医生”，工作环节更贴近“医生”，因此关联到该节点。</x:v>
      </x:c>
      <x:c r="P148" s="26" t="str">
        <x:v>自动通过</x:v>
      </x:c>
    </x:row>
    <x:row r="149" ht="44" customHeight="1">
      <x:c r="A149" s="27" t="str">
        <x:v>REL000146</x:v>
      </x:c>
      <x:c r="B149" s="25" t="n">
        <x:v>11102</x:v>
      </x:c>
      <x:c r="C149" s="27" t="str">
        <x:v>IC-L3-359</x:v>
      </x:c>
      <x:c r="D149" s="25" t="str">
        <x:v>药品市场推广主管</x:v>
      </x:c>
      <x:c r="E149" s="27" t="str">
        <x:v>4-01-02-01</x:v>
      </x:c>
      <x:c r="F149" s="25" t="str">
        <x:v>营销员</x:v>
      </x:c>
      <x:c r="G149" s="27" t="str">
        <x:v>IC04</x:v>
      </x:c>
      <x:c r="H149" s="25" t="str">
        <x:v>医药生物与医疗健康产业链</x:v>
      </x:c>
      <x:c r="I149" s="25" t="str">
        <x:v>下游</x:v>
      </x:c>
      <x:c r="J149" s="27" t="str">
        <x:v>ICN012</x:v>
      </x:c>
      <x:c r="K149" s="25" t="str">
        <x:v>医疗服务、临床应用与健康管理</x:v>
      </x:c>
      <x:c r="L149" s="28" t="n">
        <x:v>68</x:v>
      </x:c>
      <x:c r="M149" s="25" t="str">
        <x:v>中</x:v>
      </x:c>
      <x:c r="N149" s="26" t="str">
        <x:v>药品、医药</x:v>
      </x:c>
      <x:c r="O149" s="26" t="str">
        <x:v>岗位名称/描述出现“药品、医药”，工作环节更贴近“下游”，因此关联到该节点。</x:v>
      </x:c>
      <x:c r="P149" s="26" t="str">
        <x:v>自动通过</x:v>
      </x:c>
    </x:row>
    <x:row r="150" ht="44" customHeight="1">
      <x:c r="A150" s="27" t="str">
        <x:v>REL000147</x:v>
      </x:c>
      <x:c r="B150" s="25" t="n">
        <x:v>11103</x:v>
      </x:c>
      <x:c r="C150" s="27" t="str">
        <x:v>IC-L3-360</x:v>
      </x:c>
      <x:c r="D150" s="25" t="str">
        <x:v>药品市场推广经理</x:v>
      </x:c>
      <x:c r="E150" s="27" t="str">
        <x:v>4-01-02-01</x:v>
      </x:c>
      <x:c r="F150" s="25" t="str">
        <x:v>营销员</x:v>
      </x:c>
      <x:c r="G150" s="27" t="str">
        <x:v>IC04</x:v>
      </x:c>
      <x:c r="H150" s="25" t="str">
        <x:v>医药生物与医疗健康产业链</x:v>
      </x:c>
      <x:c r="I150" s="25" t="str">
        <x:v>下游</x:v>
      </x:c>
      <x:c r="J150" s="27" t="str">
        <x:v>ICN012</x:v>
      </x:c>
      <x:c r="K150" s="25" t="str">
        <x:v>医疗服务、临床应用与健康管理</x:v>
      </x:c>
      <x:c r="L150" s="28" t="n">
        <x:v>70</x:v>
      </x:c>
      <x:c r="M150" s="25" t="str">
        <x:v>中</x:v>
      </x:c>
      <x:c r="N150" s="26" t="str">
        <x:v>药品、医药、医疗</x:v>
      </x:c>
      <x:c r="O150" s="26" t="str">
        <x:v>岗位名称/描述出现“药品、医药、医疗”，工作环节更贴近“下游”，因此关联到该节点。</x:v>
      </x:c>
      <x:c r="P150" s="26" t="str">
        <x:v>自动通过</x:v>
      </x:c>
    </x:row>
    <x:row r="151" ht="44" customHeight="1">
      <x:c r="A151" s="27" t="str">
        <x:v>REL000148</x:v>
      </x:c>
      <x:c r="B151" s="25" t="n">
        <x:v>11104</x:v>
      </x:c>
      <x:c r="C151" s="27" t="str">
        <x:v>IC-L3-361</x:v>
      </x:c>
      <x:c r="D151" s="25" t="str">
        <x:v>护士/护理人员</x:v>
      </x:c>
      <x:c r="E151" s="27" t="str">
        <x:v>2-05-08-01</x:v>
      </x:c>
      <x:c r="F151" s="25" t="str">
        <x:v>内科护士</x:v>
      </x:c>
      <x:c r="G151" s="27" t="str">
        <x:v>IC04</x:v>
      </x:c>
      <x:c r="H151" s="25" t="str">
        <x:v>医药生物与医疗健康产业链</x:v>
      </x:c>
      <x:c r="I151" s="25" t="str">
        <x:v>下游</x:v>
      </x:c>
      <x:c r="J151" s="27" t="str">
        <x:v>ICN012</x:v>
      </x:c>
      <x:c r="K151" s="25" t="str">
        <x:v>医疗服务、临床应用与健康管理</x:v>
      </x:c>
      <x:c r="L151" s="28" t="n">
        <x:v>98</x:v>
      </x:c>
      <x:c r="M151" s="25" t="str">
        <x:v>高</x:v>
      </x:c>
      <x:c r="N151" s="26" t="str">
        <x:v>护士、护理、医疗、医生、康复、诊疗</x:v>
      </x:c>
      <x:c r="O151" s="26" t="str">
        <x:v>岗位名称/描述出现“护士、护理、医疗、医生、康复”，工作环节更贴近“护士、护理、医生、诊疗、康复”，因此关联到该节点。</x:v>
      </x:c>
      <x:c r="P151" s="26" t="str">
        <x:v>自动通过</x:v>
      </x:c>
    </x:row>
    <x:row r="152" ht="44" customHeight="1">
      <x:c r="A152" s="27" t="str">
        <x:v>REL000149</x:v>
      </x:c>
      <x:c r="B152" s="25" t="n">
        <x:v>11105</x:v>
      </x:c>
      <x:c r="C152" s="27" t="str">
        <x:v>IC-L3-362</x:v>
      </x:c>
      <x:c r="D152" s="25" t="str">
        <x:v>护理主任/护士长</x:v>
      </x:c>
      <x:c r="E152" s="27" t="str">
        <x:v>2-05-08-01</x:v>
      </x:c>
      <x:c r="F152" s="25" t="str">
        <x:v>内科护士</x:v>
      </x:c>
      <x:c r="G152" s="27" t="str">
        <x:v>IC04</x:v>
      </x:c>
      <x:c r="H152" s="25" t="str">
        <x:v>医药生物与医疗健康产业链</x:v>
      </x:c>
      <x:c r="I152" s="25" t="str">
        <x:v>下游</x:v>
      </x:c>
      <x:c r="J152" s="27" t="str">
        <x:v>ICN012</x:v>
      </x:c>
      <x:c r="K152" s="25" t="str">
        <x:v>医疗服务、临床应用与健康管理</x:v>
      </x:c>
      <x:c r="L152" s="28" t="n">
        <x:v>98</x:v>
      </x:c>
      <x:c r="M152" s="25" t="str">
        <x:v>高</x:v>
      </x:c>
      <x:c r="N152" s="26" t="str">
        <x:v>护士、护理、医疗、临床、医生、医疗服务</x:v>
      </x:c>
      <x:c r="O152" s="26" t="str">
        <x:v>岗位名称/描述出现“护士、护理、医疗、临床、医生”，工作环节更贴近“护士、护理、临床、医生、医疗服务”，因此关联到该节点。</x:v>
      </x:c>
      <x:c r="P152" s="26" t="str">
        <x:v>自动通过</x:v>
      </x:c>
    </x:row>
    <x:row r="153" ht="44" customHeight="1">
      <x:c r="A153" s="27" t="str">
        <x:v>REL000150</x:v>
      </x:c>
      <x:c r="B153" s="25" t="n">
        <x:v>11106</x:v>
      </x:c>
      <x:c r="C153" s="27" t="str">
        <x:v>IC-L3-363</x:v>
      </x:c>
      <x:c r="D153" s="25" t="str">
        <x:v>儿科护士</x:v>
      </x:c>
      <x:c r="E153" s="27" t="str">
        <x:v>2-05-08-01</x:v>
      </x:c>
      <x:c r="F153" s="25" t="str">
        <x:v>内科护士</x:v>
      </x:c>
      <x:c r="G153" s="27" t="str">
        <x:v>IC04</x:v>
      </x:c>
      <x:c r="H153" s="25" t="str">
        <x:v>医药生物与医疗健康产业链</x:v>
      </x:c>
      <x:c r="I153" s="25" t="str">
        <x:v>下游</x:v>
      </x:c>
      <x:c r="J153" s="27" t="str">
        <x:v>ICN012</x:v>
      </x:c>
      <x:c r="K153" s="25" t="str">
        <x:v>医疗服务、临床应用与健康管理</x:v>
      </x:c>
      <x:c r="L153" s="28" t="n">
        <x:v>86</x:v>
      </x:c>
      <x:c r="M153" s="25" t="str">
        <x:v>高</x:v>
      </x:c>
      <x:c r="N153" s="26" t="str">
        <x:v>护士、护理、康复、健康管理</x:v>
      </x:c>
      <x:c r="O153" s="26" t="str">
        <x:v>岗位名称/描述出现“护士、护理、康复、健康管理”，工作环节更贴近“护士、护理、康复、健康管理”，因此关联到该节点。</x:v>
      </x:c>
      <x:c r="P153" s="26" t="str">
        <x:v>自动通过</x:v>
      </x:c>
    </x:row>
    <x:row r="154" ht="44" customHeight="1">
      <x:c r="A154" s="27" t="str">
        <x:v>REL000151</x:v>
      </x:c>
      <x:c r="B154" s="25" t="n">
        <x:v>11107</x:v>
      </x:c>
      <x:c r="C154" s="27" t="str">
        <x:v>IC-L3-364</x:v>
      </x:c>
      <x:c r="D154" s="25" t="str">
        <x:v>护工</x:v>
      </x:c>
      <x:c r="E154" s="27" t="str">
        <x:v>2-05-08-01</x:v>
      </x:c>
      <x:c r="F154" s="25" t="str">
        <x:v>内科护士</x:v>
      </x:c>
      <x:c r="G154" s="27" t="str">
        <x:v>IC04</x:v>
      </x:c>
      <x:c r="H154" s="25" t="str">
        <x:v>医药生物与医疗健康产业链</x:v>
      </x:c>
      <x:c r="I154" s="25" t="str">
        <x:v>下游</x:v>
      </x:c>
      <x:c r="J154" s="27" t="str">
        <x:v>ICN012</x:v>
      </x:c>
      <x:c r="K154" s="25" t="str">
        <x:v>医疗服务、临床应用与健康管理</x:v>
      </x:c>
      <x:c r="L154" s="28" t="n">
        <x:v>62</x:v>
      </x:c>
      <x:c r="M154" s="25" t="str">
        <x:v>低</x:v>
      </x:c>
      <x:c r="N154" s="26" t="str">
        <x:v>护士、医疗、护理、康复</x:v>
      </x:c>
      <x:c r="O154" s="26" t="str">
        <x:v>岗位名称/描述出现“护士、医疗、护理、康复”，工作环节更贴近“护士、护理、康复”，因此关联到该节点。</x:v>
      </x:c>
      <x:c r="P154" s="26" t="str">
        <x:v>建议复核</x:v>
      </x:c>
    </x:row>
    <x:row r="155" ht="44" customHeight="1">
      <x:c r="A155" s="27" t="str">
        <x:v>REL000152</x:v>
      </x:c>
      <x:c r="B155" s="25" t="n">
        <x:v>11108</x:v>
      </x:c>
      <x:c r="C155" s="27" t="str">
        <x:v>IC-L3-365</x:v>
      </x:c>
      <x:c r="D155" s="25" t="str">
        <x:v>针灸/推拿</x:v>
      </x:c>
      <x:c r="E155" s="27" t="str">
        <x:v>2-05-08-01</x:v>
      </x:c>
      <x:c r="F155" s="25" t="str">
        <x:v>内科护士</x:v>
      </x:c>
      <x:c r="G155" s="27" t="str">
        <x:v>IC04</x:v>
      </x:c>
      <x:c r="H155" s="25" t="str">
        <x:v>医药生物与医疗健康产业链</x:v>
      </x:c>
      <x:c r="I155" s="25" t="str">
        <x:v>下游</x:v>
      </x:c>
      <x:c r="J155" s="27" t="str">
        <x:v>ICN012</x:v>
      </x:c>
      <x:c r="K155" s="25" t="str">
        <x:v>医疗服务、临床应用与健康管理</x:v>
      </x:c>
      <x:c r="L155" s="28" t="n">
        <x:v>62</x:v>
      </x:c>
      <x:c r="M155" s="25" t="str">
        <x:v>低</x:v>
      </x:c>
      <x:c r="N155" s="26" t="str">
        <x:v>护士、医疗、护理、康复</x:v>
      </x:c>
      <x:c r="O155" s="26" t="str">
        <x:v>岗位名称/描述出现“护士、医疗、护理、康复”，工作环节更贴近“护士、护理、康复”，因此关联到该节点。</x:v>
      </x:c>
      <x:c r="P155" s="26" t="str">
        <x:v>建议复核</x:v>
      </x:c>
    </x:row>
    <x:row r="156" ht="44" customHeight="1">
      <x:c r="A156" s="27" t="str">
        <x:v>REL000153</x:v>
      </x:c>
      <x:c r="B156" s="25" t="n">
        <x:v>11109</x:v>
      </x:c>
      <x:c r="C156" s="27" t="str">
        <x:v>IC-L3-366</x:v>
      </x:c>
      <x:c r="D156" s="25" t="str">
        <x:v>儿科医生</x:v>
      </x:c>
      <x:c r="E156" s="27" t="str">
        <x:v>2-05-01-19</x:v>
      </x:c>
      <x:c r="F156" s="25" t="str">
        <x:v>全科医师</x:v>
      </x:c>
      <x:c r="G156" s="27" t="str">
        <x:v>IC04</x:v>
      </x:c>
      <x:c r="H156" s="25" t="str">
        <x:v>医药生物与医疗健康产业链</x:v>
      </x:c>
      <x:c r="I156" s="25" t="str">
        <x:v>下游</x:v>
      </x:c>
      <x:c r="J156" s="27" t="str">
        <x:v>ICN012</x:v>
      </x:c>
      <x:c r="K156" s="25" t="str">
        <x:v>医疗服务、临床应用与健康管理</x:v>
      </x:c>
      <x:c r="L156" s="28" t="n">
        <x:v>84</x:v>
      </x:c>
      <x:c r="M156" s="25" t="str">
        <x:v>高</x:v>
      </x:c>
      <x:c r="N156" s="26" t="str">
        <x:v>医生、医师、医疗、疫苗、诊断、医疗服务</x:v>
      </x:c>
      <x:c r="O156" s="26" t="str">
        <x:v>岗位名称/描述出现“医生、医师、医疗、疫苗、诊断”，工作环节更贴近“医生、医师、医疗服务”，因此关联到该节点。</x:v>
      </x:c>
      <x:c r="P156" s="26" t="str">
        <x:v>自动通过</x:v>
      </x:c>
    </x:row>
    <x:row r="157" ht="44" customHeight="1">
      <x:c r="A157" s="27" t="str">
        <x:v>REL000154</x:v>
      </x:c>
      <x:c r="B157" s="25" t="n">
        <x:v>11110</x:v>
      </x:c>
      <x:c r="C157" s="27" t="str">
        <x:v>IC-L3-367</x:v>
      </x:c>
      <x:c r="D157" s="25" t="str">
        <x:v>妇产科医生</x:v>
      </x:c>
      <x:c r="E157" s="27" t="str">
        <x:v>2-05-01-19</x:v>
      </x:c>
      <x:c r="F157" s="25" t="str">
        <x:v>全科医师</x:v>
      </x:c>
      <x:c r="G157" s="27" t="str">
        <x:v>IC04</x:v>
      </x:c>
      <x:c r="H157" s="25" t="str">
        <x:v>医药生物与医疗健康产业链</x:v>
      </x:c>
      <x:c r="I157" s="25" t="str">
        <x:v>下游</x:v>
      </x:c>
      <x:c r="J157" s="27" t="str">
        <x:v>ICN012</x:v>
      </x:c>
      <x:c r="K157" s="25" t="str">
        <x:v>医疗服务、临床应用与健康管理</x:v>
      </x:c>
      <x:c r="L157" s="28" t="n">
        <x:v>85</x:v>
      </x:c>
      <x:c r="M157" s="25" t="str">
        <x:v>高</x:v>
      </x:c>
      <x:c r="N157" s="26" t="str">
        <x:v>医生、医师、医疗、诊断、护理、诊疗</x:v>
      </x:c>
      <x:c r="O157" s="26" t="str">
        <x:v>岗位名称/描述出现“医生、医师、医疗、诊断、护理”，工作环节更贴近“医生、医师、护理、诊疗”，因此关联到该节点。</x:v>
      </x:c>
      <x:c r="P157" s="26" t="str">
        <x:v>自动通过</x:v>
      </x:c>
    </x:row>
    <x:row r="158" ht="44" customHeight="1">
      <x:c r="A158" s="27" t="str">
        <x:v>REL000155</x:v>
      </x:c>
      <x:c r="B158" s="25" t="n">
        <x:v>11111</x:v>
      </x:c>
      <x:c r="C158" s="27" t="str">
        <x:v>IC-L3-368</x:v>
      </x:c>
      <x:c r="D158" s="25" t="str">
        <x:v>外科医生</x:v>
      </x:c>
      <x:c r="E158" s="27" t="str">
        <x:v>2-05-01-19</x:v>
      </x:c>
      <x:c r="F158" s="25" t="str">
        <x:v>全科医师</x:v>
      </x:c>
      <x:c r="G158" s="27" t="str">
        <x:v>IC04</x:v>
      </x:c>
      <x:c r="H158" s="25" t="str">
        <x:v>医药生物与医疗健康产业链</x:v>
      </x:c>
      <x:c r="I158" s="25" t="str">
        <x:v>下游</x:v>
      </x:c>
      <x:c r="J158" s="27" t="str">
        <x:v>ICN012</x:v>
      </x:c>
      <x:c r="K158" s="25" t="str">
        <x:v>医疗服务、临床应用与健康管理</x:v>
      </x:c>
      <x:c r="L158" s="28" t="n">
        <x:v>87</x:v>
      </x:c>
      <x:c r="M158" s="25" t="str">
        <x:v>高</x:v>
      </x:c>
      <x:c r="N158" s="26" t="str">
        <x:v>医生、医师、医疗、诊断、护理、康复</x:v>
      </x:c>
      <x:c r="O158" s="26" t="str">
        <x:v>岗位名称/描述出现“医生、医师、医疗、诊断、护理”，工作环节更贴近“医生、医师、护理、康复”，因此关联到该节点。</x:v>
      </x:c>
      <x:c r="P158" s="26" t="str">
        <x:v>自动通过</x:v>
      </x:c>
    </x:row>
    <x:row r="159" ht="44" customHeight="1">
      <x:c r="A159" s="27" t="str">
        <x:v>REL000156</x:v>
      </x:c>
      <x:c r="B159" s="25" t="n">
        <x:v>11112</x:v>
      </x:c>
      <x:c r="C159" s="27" t="str">
        <x:v>IC-L3-369</x:v>
      </x:c>
      <x:c r="D159" s="25" t="str">
        <x:v>内科医生</x:v>
      </x:c>
      <x:c r="E159" s="27" t="str">
        <x:v>2-05-01-19</x:v>
      </x:c>
      <x:c r="F159" s="25" t="str">
        <x:v>全科医师</x:v>
      </x:c>
      <x:c r="G159" s="27" t="str">
        <x:v>IC04</x:v>
      </x:c>
      <x:c r="H159" s="25" t="str">
        <x:v>医药生物与医疗健康产业链</x:v>
      </x:c>
      <x:c r="I159" s="25" t="str">
        <x:v>下游</x:v>
      </x:c>
      <x:c r="J159" s="27" t="str">
        <x:v>ICN012</x:v>
      </x:c>
      <x:c r="K159" s="25" t="str">
        <x:v>医疗服务、临床应用与健康管理</x:v>
      </x:c>
      <x:c r="L159" s="28" t="n">
        <x:v>94</x:v>
      </x:c>
      <x:c r="M159" s="25" t="str">
        <x:v>高</x:v>
      </x:c>
      <x:c r="N159" s="26" t="str">
        <x:v>医生、医师、诊断、临床、护士、护理</x:v>
      </x:c>
      <x:c r="O159" s="26" t="str">
        <x:v>岗位名称/描述出现“医生、医师、诊断、临床、护士”，工作环节更贴近“医生、医师、临床、护士、护理”，因此关联到该节点。</x:v>
      </x:c>
      <x:c r="P159" s="26" t="str">
        <x:v>自动通过</x:v>
      </x:c>
    </x:row>
    <x:row r="160" ht="44" customHeight="1">
      <x:c r="A160" s="27" t="str">
        <x:v>REL000157</x:v>
      </x:c>
      <x:c r="B160" s="25" t="n">
        <x:v>11113</x:v>
      </x:c>
      <x:c r="C160" s="27" t="str">
        <x:v>IC-L3-370</x:v>
      </x:c>
      <x:c r="D160" s="25" t="str">
        <x:v>医院管理人员</x:v>
      </x:c>
      <x:c r="E160" s="27" t="str">
        <x:v>2-05-08-01</x:v>
      </x:c>
      <x:c r="F160" s="25" t="str">
        <x:v>内科护士</x:v>
      </x:c>
      <x:c r="G160" s="27" t="str">
        <x:v>IC04</x:v>
      </x:c>
      <x:c r="H160" s="25" t="str">
        <x:v>医药生物与医疗健康产业链</x:v>
      </x:c>
      <x:c r="I160" s="25" t="str">
        <x:v>下游</x:v>
      </x:c>
      <x:c r="J160" s="27" t="str">
        <x:v>ICN012</x:v>
      </x:c>
      <x:c r="K160" s="25" t="str">
        <x:v>医疗服务、临床应用与健康管理</x:v>
      </x:c>
      <x:c r="L160" s="28" t="n">
        <x:v>60</x:v>
      </x:c>
      <x:c r="M160" s="25" t="str">
        <x:v>低</x:v>
      </x:c>
      <x:c r="N160" s="26" t="str">
        <x:v>护士、医疗、护理、医疗服务</x:v>
      </x:c>
      <x:c r="O160" s="26" t="str">
        <x:v>岗位名称/描述出现“护士、医疗、护理”，工作环节更贴近“护士、护理、医疗服务”，因此关联到该节点。</x:v>
      </x:c>
      <x:c r="P160" s="26" t="str">
        <x:v>建议复核</x:v>
      </x:c>
    </x:row>
    <x:row r="161" ht="44" customHeight="1">
      <x:c r="A161" s="27" t="str">
        <x:v>REL000158</x:v>
      </x:c>
      <x:c r="B161" s="25" t="n">
        <x:v>11114</x:v>
      </x:c>
      <x:c r="C161" s="27" t="str">
        <x:v>IC-L3-371</x:v>
      </x:c>
      <x:c r="D161" s="25" t="str">
        <x:v>麻醉医生</x:v>
      </x:c>
      <x:c r="E161" s="27" t="str">
        <x:v>2-05-01-19</x:v>
      </x:c>
      <x:c r="F161" s="25" t="str">
        <x:v>全科医师</x:v>
      </x:c>
      <x:c r="G161" s="27" t="str">
        <x:v>IC04</x:v>
      </x:c>
      <x:c r="H161" s="25" t="str">
        <x:v>医药生物与医疗健康产业链</x:v>
      </x:c>
      <x:c r="I161" s="25" t="str">
        <x:v>下游</x:v>
      </x:c>
      <x:c r="J161" s="27" t="str">
        <x:v>ICN012</x:v>
      </x:c>
      <x:c r="K161" s="25" t="str">
        <x:v>医疗服务、临床应用与健康管理</x:v>
      </x:c>
      <x:c r="L161" s="28" t="n">
        <x:v>80</x:v>
      </x:c>
      <x:c r="M161" s="25" t="str">
        <x:v>中</x:v>
      </x:c>
      <x:c r="N161" s="26" t="str">
        <x:v>医生、医师、护理</x:v>
      </x:c>
      <x:c r="O161" s="26" t="str">
        <x:v>岗位名称/描述出现“医生、医师、护理”，工作环节更贴近“医生、医师、护理”，因此关联到该节点。</x:v>
      </x:c>
      <x:c r="P161" s="26" t="str">
        <x:v>自动通过</x:v>
      </x:c>
    </x:row>
    <x:row r="162" ht="44" customHeight="1">
      <x:c r="A162" s="27" t="str">
        <x:v>REL000159</x:v>
      </x:c>
      <x:c r="B162" s="25" t="n">
        <x:v>11115</x:v>
      </x:c>
      <x:c r="C162" s="27" t="str">
        <x:v>IC-L3-372</x:v>
      </x:c>
      <x:c r="D162" s="25" t="str">
        <x:v>心理医生</x:v>
      </x:c>
      <x:c r="E162" s="27" t="str">
        <x:v>2-05-01-19</x:v>
      </x:c>
      <x:c r="F162" s="25" t="str">
        <x:v>全科医师</x:v>
      </x:c>
      <x:c r="G162" s="27" t="str">
        <x:v>IC04</x:v>
      </x:c>
      <x:c r="H162" s="25" t="str">
        <x:v>医药生物与医疗健康产业链</x:v>
      </x:c>
      <x:c r="I162" s="25" t="str">
        <x:v>下游</x:v>
      </x:c>
      <x:c r="J162" s="27" t="str">
        <x:v>ICN012</x:v>
      </x:c>
      <x:c r="K162" s="25" t="str">
        <x:v>医疗服务、临床应用与健康管理</x:v>
      </x:c>
      <x:c r="L162" s="28" t="n">
        <x:v>83</x:v>
      </x:c>
      <x:c r="M162" s="25" t="str">
        <x:v>高</x:v>
      </x:c>
      <x:c r="N162" s="26" t="str">
        <x:v>医生、医师、康复、心理咨询</x:v>
      </x:c>
      <x:c r="O162" s="26" t="str">
        <x:v>岗位名称/描述出现“医生、医师、康复、心理咨询”，工作环节更贴近“医生、医师、康复、心理咨询”，因此关联到该节点。</x:v>
      </x:c>
      <x:c r="P162" s="26" t="str">
        <x:v>自动通过</x:v>
      </x:c>
    </x:row>
    <x:row r="163" ht="44" customHeight="1">
      <x:c r="A163" s="27" t="str">
        <x:v>REL000160</x:v>
      </x:c>
      <x:c r="B163" s="25" t="n">
        <x:v>11116</x:v>
      </x:c>
      <x:c r="C163" s="27" t="str">
        <x:v>IC-L3-373</x:v>
      </x:c>
      <x:c r="D163" s="25" t="str">
        <x:v>营养师</x:v>
      </x:c>
      <x:c r="E163" s="27" t="str">
        <x:v>2-05-08-01</x:v>
      </x:c>
      <x:c r="F163" s="25" t="str">
        <x:v>内科护士</x:v>
      </x:c>
      <x:c r="G163" s="27" t="str">
        <x:v>IC04</x:v>
      </x:c>
      <x:c r="H163" s="25" t="str">
        <x:v>医药生物与医疗健康产业链</x:v>
      </x:c>
      <x:c r="I163" s="25" t="str">
        <x:v>下游</x:v>
      </x:c>
      <x:c r="J163" s="27" t="str">
        <x:v>ICN012</x:v>
      </x:c>
      <x:c r="K163" s="25" t="str">
        <x:v>医疗服务、临床应用与健康管理</x:v>
      </x:c>
      <x:c r="L163" s="28" t="n">
        <x:v>86</x:v>
      </x:c>
      <x:c r="M163" s="25" t="str">
        <x:v>高</x:v>
      </x:c>
      <x:c r="N163" s="26" t="str">
        <x:v>营养师、护士、临床、护理、康复、营养</x:v>
      </x:c>
      <x:c r="O163" s="26" t="str">
        <x:v>岗位名称/描述出现“营养师、护士、临床、护理、康复”，工作环节更贴近“营养、护士、临床、护理、康复”，因此关联到该节点。</x:v>
      </x:c>
      <x:c r="P163" s="26" t="str">
        <x:v>自动通过</x:v>
      </x:c>
    </x:row>
    <x:row r="164" ht="44" customHeight="1">
      <x:c r="A164" s="27" t="str">
        <x:v>REL000161</x:v>
      </x:c>
      <x:c r="B164" s="25" t="n">
        <x:v>11116</x:v>
      </x:c>
      <x:c r="C164" s="27" t="str">
        <x:v>IC-L3-373</x:v>
      </x:c>
      <x:c r="D164" s="25" t="str">
        <x:v>营养师</x:v>
      </x:c>
      <x:c r="E164" s="27" t="str">
        <x:v>2-05-08-01</x:v>
      </x:c>
      <x:c r="F164" s="25" t="str">
        <x:v>内科护士</x:v>
      </x:c>
      <x:c r="G164" s="27" t="str">
        <x:v>IC09</x:v>
      </x:c>
      <x:c r="H164" s="25" t="str">
        <x:v>食品饮料产业链</x:v>
      </x:c>
      <x:c r="I164" s="25" t="str">
        <x:v>下游</x:v>
      </x:c>
      <x:c r="J164" s="27" t="str">
        <x:v>ICN027</x:v>
      </x:c>
      <x:c r="K164" s="25" t="str">
        <x:v>品牌渠道、餐饮零售与消费服务</x:v>
      </x:c>
      <x:c r="L164" s="28" t="n">
        <x:v>73</x:v>
      </x:c>
      <x:c r="M164" s="25" t="str">
        <x:v>中</x:v>
      </x:c>
      <x:c r="N164" s="26" t="str">
        <x:v>营养师、营养</x:v>
      </x:c>
      <x:c r="O164" s="26" t="str">
        <x:v>岗位名称/描述出现“营养师”，工作环节更贴近“营养”，因此关联到该节点。</x:v>
      </x:c>
      <x:c r="P164" s="26" t="str">
        <x:v>自动通过</x:v>
      </x:c>
    </x:row>
    <x:row r="165" ht="44" customHeight="1">
      <x:c r="A165" s="27" t="str">
        <x:v>REL000162</x:v>
      </x:c>
      <x:c r="B165" s="25" t="n">
        <x:v>11117</x:v>
      </x:c>
      <x:c r="C165" s="27" t="str">
        <x:v>IC-L3-374</x:v>
      </x:c>
      <x:c r="D165" s="25" t="str">
        <x:v>药库主任/药剂师</x:v>
      </x:c>
      <x:c r="E165" s="27" t="str">
        <x:v>2-05-08-01</x:v>
      </x:c>
      <x:c r="F165" s="25" t="str">
        <x:v>内科护士</x:v>
      </x:c>
      <x:c r="G165" s="27" t="str">
        <x:v>IC04</x:v>
      </x:c>
      <x:c r="H165" s="25" t="str">
        <x:v>医药生物与医疗健康产业链</x:v>
      </x:c>
      <x:c r="I165" s="25" t="str">
        <x:v>下游</x:v>
      </x:c>
      <x:c r="J165" s="27" t="str">
        <x:v>ICN012</x:v>
      </x:c>
      <x:c r="K165" s="25" t="str">
        <x:v>医疗服务、临床应用与健康管理</x:v>
      </x:c>
      <x:c r="L165" s="28" t="n">
        <x:v>62</x:v>
      </x:c>
      <x:c r="M165" s="25" t="str">
        <x:v>低</x:v>
      </x:c>
      <x:c r="N165" s="26" t="str">
        <x:v>护士、药品、临床、护理</x:v>
      </x:c>
      <x:c r="O165" s="26" t="str">
        <x:v>岗位名称/描述出现“护士、药品、临床、护理”，工作环节更贴近“护士、临床、护理”，因此关联到该节点。</x:v>
      </x:c>
      <x:c r="P165" s="26" t="str">
        <x:v>建议复核</x:v>
      </x:c>
    </x:row>
    <x:row r="166" ht="44" customHeight="1">
      <x:c r="A166" s="27" t="str">
        <x:v>REL000163</x:v>
      </x:c>
      <x:c r="B166" s="25" t="n">
        <x:v>11119</x:v>
      </x:c>
      <x:c r="C166" s="27" t="str">
        <x:v>IC-L3-376</x:v>
      </x:c>
      <x:c r="D166" s="25" t="str">
        <x:v>验光师</x:v>
      </x:c>
      <x:c r="E166" s="27" t="str">
        <x:v>2-05-08-01</x:v>
      </x:c>
      <x:c r="F166" s="25" t="str">
        <x:v>内科护士</x:v>
      </x:c>
      <x:c r="G166" s="27" t="str">
        <x:v>IC04</x:v>
      </x:c>
      <x:c r="H166" s="25" t="str">
        <x:v>医药生物与医疗健康产业链</x:v>
      </x:c>
      <x:c r="I166" s="25" t="str">
        <x:v>下游</x:v>
      </x:c>
      <x:c r="J166" s="27" t="str">
        <x:v>ICN012</x:v>
      </x:c>
      <x:c r="K166" s="25" t="str">
        <x:v>医疗服务、临床应用与健康管理</x:v>
      </x:c>
      <x:c r="L166" s="28" t="n">
        <x:v>59</x:v>
      </x:c>
      <x:c r="M166" s="25" t="str">
        <x:v>低</x:v>
      </x:c>
      <x:c r="N166" s="26" t="str">
        <x:v>护士、诊断、护理</x:v>
      </x:c>
      <x:c r="O166" s="26" t="str">
        <x:v>岗位名称/描述出现“护士、诊断、护理”，工作环节更贴近“护士、护理”，因此关联到该节点。</x:v>
      </x:c>
      <x:c r="P166" s="26" t="str">
        <x:v>建议复核</x:v>
      </x:c>
    </x:row>
    <x:row r="167" ht="44" customHeight="1">
      <x:c r="A167" s="27" t="str">
        <x:v>REL000164</x:v>
      </x:c>
      <x:c r="B167" s="25" t="n">
        <x:v>11121</x:v>
      </x:c>
      <x:c r="C167" s="27" t="str">
        <x:v>IC-L3-378</x:v>
      </x:c>
      <x:c r="D167" s="25" t="str">
        <x:v>养老护理员</x:v>
      </x:c>
      <x:c r="E167" s="27" t="str">
        <x:v>2-05-08-01</x:v>
      </x:c>
      <x:c r="F167" s="25" t="str">
        <x:v>内科护士</x:v>
      </x:c>
      <x:c r="G167" s="27" t="str">
        <x:v>IC04</x:v>
      </x:c>
      <x:c r="H167" s="25" t="str">
        <x:v>医药生物与医疗健康产业链</x:v>
      </x:c>
      <x:c r="I167" s="25" t="str">
        <x:v>下游</x:v>
      </x:c>
      <x:c r="J167" s="27" t="str">
        <x:v>ICN012</x:v>
      </x:c>
      <x:c r="K167" s="25" t="str">
        <x:v>医疗服务、临床应用与健康管理</x:v>
      </x:c>
      <x:c r="L167" s="28" t="n">
        <x:v>82</x:v>
      </x:c>
      <x:c r="M167" s="25" t="str">
        <x:v>高</x:v>
      </x:c>
      <x:c r="N167" s="26" t="str">
        <x:v>护理、护士、医疗、康复</x:v>
      </x:c>
      <x:c r="O167" s="26" t="str">
        <x:v>岗位名称/描述出现“护理、护士、医疗、康复”，工作环节更贴近“护理、护士、康复”，因此关联到该节点。</x:v>
      </x:c>
      <x:c r="P167" s="26" t="str">
        <x:v>自动通过</x:v>
      </x:c>
    </x:row>
    <x:row r="168" ht="44" customHeight="1">
      <x:c r="A168" s="27" t="str">
        <x:v>REL000165</x:v>
      </x:c>
      <x:c r="B168" s="25" t="n">
        <x:v>11122</x:v>
      </x:c>
      <x:c r="C168" s="27" t="str">
        <x:v>IC-L3-379</x:v>
      </x:c>
      <x:c r="D168" s="25" t="str">
        <x:v>制剂研究员</x:v>
      </x:c>
      <x:c r="E168" s="27" t="str">
        <x:v>2-01-06-03</x:v>
      </x:c>
      <x:c r="F168" s="25" t="str">
        <x:v>化学研究人员</x:v>
      </x:c>
      <x:c r="G168" s="27" t="str">
        <x:v>IC04</x:v>
      </x:c>
      <x:c r="H168" s="25" t="str">
        <x:v>医药生物与医疗健康产业链</x:v>
      </x:c>
      <x:c r="I168" s="25" t="str">
        <x:v>中游</x:v>
      </x:c>
      <x:c r="J168" s="27" t="str">
        <x:v>ICN011</x:v>
      </x:c>
      <x:c r="K168" s="25" t="str">
        <x:v>药械生产、医疗装备与数字平台</x:v>
      </x:c>
      <x:c r="L168" s="28" t="n">
        <x:v>57</x:v>
      </x:c>
      <x:c r="M168" s="25" t="str">
        <x:v>低</x:v>
      </x:c>
      <x:c r="N168" s="26" t="str">
        <x:v>药物、制药、临床、生产、质量</x:v>
      </x:c>
      <x:c r="O168" s="26" t="str">
        <x:v>岗位名称/描述出现“药物、制药、临床”，工作环节更贴近“制药、生产、质量”，因此关联到该节点。</x:v>
      </x:c>
      <x:c r="P168" s="26" t="str">
        <x:v>建议复核</x:v>
      </x:c>
    </x:row>
    <x:row r="169" ht="44" customHeight="1">
      <x:c r="A169" s="27" t="str">
        <x:v>REL000166</x:v>
      </x:c>
      <x:c r="B169" s="25" t="n">
        <x:v>11123</x:v>
      </x:c>
      <x:c r="C169" s="27" t="str">
        <x:v>IC-L3-380</x:v>
      </x:c>
      <x:c r="D169" s="25" t="str">
        <x:v>动物实验技术员</x:v>
      </x:c>
      <x:c r="E169" s="27" t="str">
        <x:v>2-05-07-01</x:v>
      </x:c>
      <x:c r="F169" s="25" t="str">
        <x:v>影像技师</x:v>
      </x:c>
      <x:c r="G169" s="27" t="str">
        <x:v>IC04</x:v>
      </x:c>
      <x:c r="H169" s="25" t="str">
        <x:v>医药生物与医疗健康产业链</x:v>
      </x:c>
      <x:c r="I169" s="25" t="str">
        <x:v>上游</x:v>
      </x:c>
      <x:c r="J169" s="27" t="str">
        <x:v>ICN010</x:v>
      </x:c>
      <x:c r="K169" s="25" t="str">
        <x:v>药物研发、诊断试剂与核心材料</x:v>
      </x:c>
      <x:c r="L169" s="28" t="n">
        <x:v>66</x:v>
      </x:c>
      <x:c r="M169" s="25" t="str">
        <x:v>低</x:v>
      </x:c>
      <x:c r="N169" s="26" t="str">
        <x:v>影像技师、药物、制药、临床、实验、新药</x:v>
      </x:c>
      <x:c r="O169" s="26" t="str">
        <x:v>岗位名称/描述出现“影像技师、药物、制药、临床”，工作环节更贴近“实验、新药”，因此关联到该节点。</x:v>
      </x:c>
      <x:c r="P169" s="26" t="str">
        <x:v>建议复核</x:v>
      </x:c>
    </x:row>
    <x:row r="170" ht="44" customHeight="1">
      <x:c r="A170" s="27" t="str">
        <x:v>REL000167</x:v>
      </x:c>
      <x:c r="B170" s="25" t="n">
        <x:v>11124</x:v>
      </x:c>
      <x:c r="C170" s="27" t="str">
        <x:v>IC-L3-381</x:v>
      </x:c>
      <x:c r="D170" s="25" t="str">
        <x:v>化学分析测试员</x:v>
      </x:c>
      <x:c r="E170" s="27" t="str">
        <x:v>2-05-07-01</x:v>
      </x:c>
      <x:c r="F170" s="25" t="str">
        <x:v>影像技师</x:v>
      </x:c>
      <x:c r="G170" s="27" t="str">
        <x:v>IC04</x:v>
      </x:c>
      <x:c r="H170" s="25" t="str">
        <x:v>医药生物与医疗健康产业链</x:v>
      </x:c>
      <x:c r="I170" s="25" t="str">
        <x:v>中游</x:v>
      </x:c>
      <x:c r="J170" s="27" t="str">
        <x:v>ICN011</x:v>
      </x:c>
      <x:c r="K170" s="25" t="str">
        <x:v>药械生产、医疗装备与数字平台</x:v>
      </x:c>
      <x:c r="L170" s="28" t="n">
        <x:v>63</x:v>
      </x:c>
      <x:c r="M170" s="25" t="str">
        <x:v>低</x:v>
      </x:c>
      <x:c r="N170" s="26" t="str">
        <x:v>影像技师、药物、药品、制药、临床、生产、质量</x:v>
      </x:c>
      <x:c r="O170" s="26" t="str">
        <x:v>岗位名称/描述出现“影像技师、药物、药品、制药、临床”，工作环节更贴近“制药、生产、质量”，因此关联到该节点。</x:v>
      </x:c>
      <x:c r="P170" s="26" t="str">
        <x:v>建议复核</x:v>
      </x:c>
    </x:row>
    <x:row r="171" ht="44" customHeight="1">
      <x:c r="A171" s="27" t="str">
        <x:v>REL000168</x:v>
      </x:c>
      <x:c r="B171" s="25" t="n">
        <x:v>11125</x:v>
      </x:c>
      <x:c r="C171" s="27" t="str">
        <x:v>IC-L3-382</x:v>
      </x:c>
      <x:c r="D171" s="25" t="str">
        <x:v>医药代表</x:v>
      </x:c>
      <x:c r="E171" s="27" t="str">
        <x:v>2-06-07-07</x:v>
      </x:c>
      <x:c r="F171" s="25" t="str">
        <x:v>医药代表</x:v>
      </x:c>
      <x:c r="G171" s="27" t="str">
        <x:v>IC04</x:v>
      </x:c>
      <x:c r="H171" s="25" t="str">
        <x:v>医药生物与医疗健康产业链</x:v>
      </x:c>
      <x:c r="I171" s="25" t="str">
        <x:v>下游</x:v>
      </x:c>
      <x:c r="J171" s="27" t="str">
        <x:v>ICN012</x:v>
      </x:c>
      <x:c r="K171" s="25" t="str">
        <x:v>医疗服务、临床应用与健康管理</x:v>
      </x:c>
      <x:c r="L171" s="28" t="n">
        <x:v>91</x:v>
      </x:c>
      <x:c r="M171" s="25" t="str">
        <x:v>高</x:v>
      </x:c>
      <x:c r="N171" s="26" t="str">
        <x:v>医药、医疗、药物、药品、制药、医药代表、临床、医生</x:v>
      </x:c>
      <x:c r="O171" s="26" t="str">
        <x:v>岗位名称/描述出现“医药、医疗、药物、药品、制药”，工作环节更贴近“医药代表、临床、医生”，因此关联到该节点。</x:v>
      </x:c>
      <x:c r="P171" s="26" t="str">
        <x:v>自动通过</x:v>
      </x:c>
    </x:row>
    <x:row r="172" ht="44" customHeight="1">
      <x:c r="A172" s="27" t="str">
        <x:v>REL000169</x:v>
      </x:c>
      <x:c r="B172" s="25" t="n">
        <x:v>11126</x:v>
      </x:c>
      <x:c r="C172" s="27" t="str">
        <x:v>IC-L3-383</x:v>
      </x:c>
      <x:c r="D172" s="25" t="str">
        <x:v>医药学术推广</x:v>
      </x:c>
      <x:c r="E172" s="27" t="str">
        <x:v>2-06-07-07</x:v>
      </x:c>
      <x:c r="F172" s="25" t="str">
        <x:v>医药代表</x:v>
      </x:c>
      <x:c r="G172" s="27" t="str">
        <x:v>IC04</x:v>
      </x:c>
      <x:c r="H172" s="25" t="str">
        <x:v>医药生物与医疗健康产业链</x:v>
      </x:c>
      <x:c r="I172" s="25" t="str">
        <x:v>下游</x:v>
      </x:c>
      <x:c r="J172" s="27" t="str">
        <x:v>ICN012</x:v>
      </x:c>
      <x:c r="K172" s="25" t="str">
        <x:v>医疗服务、临床应用与健康管理</x:v>
      </x:c>
      <x:c r="L172" s="28" t="n">
        <x:v>82</x:v>
      </x:c>
      <x:c r="M172" s="25" t="str">
        <x:v>高</x:v>
      </x:c>
      <x:c r="N172" s="26" t="str">
        <x:v>医药、医疗、药品、制药、临床、医药代表、医生</x:v>
      </x:c>
      <x:c r="O172" s="26" t="str">
        <x:v>岗位名称/描述出现“医药、医疗、药品、制药、临床”，工作环节更贴近“医药代表、临床、医生”，因此关联到该节点。</x:v>
      </x:c>
      <x:c r="P172" s="26" t="str">
        <x:v>自动通过</x:v>
      </x:c>
    </x:row>
    <x:row r="173" ht="44" customHeight="1">
      <x:c r="A173" s="27" t="str">
        <x:v>REL000170</x:v>
      </x:c>
      <x:c r="B173" s="25" t="n">
        <x:v>11127</x:v>
      </x:c>
      <x:c r="C173" s="27" t="str">
        <x:v>IC-L3-384</x:v>
      </x:c>
      <x:c r="D173" s="25" t="str">
        <x:v>医药技术研发人员</x:v>
      </x:c>
      <x:c r="E173" s="27" t="str">
        <x:v>2-05-07-01</x:v>
      </x:c>
      <x:c r="F173" s="25" t="str">
        <x:v>影像技师</x:v>
      </x:c>
      <x:c r="G173" s="27" t="str">
        <x:v>IC04</x:v>
      </x:c>
      <x:c r="H173" s="25" t="str">
        <x:v>医药生物与医疗健康产业链</x:v>
      </x:c>
      <x:c r="I173" s="25" t="str">
        <x:v>下游</x:v>
      </x:c>
      <x:c r="J173" s="27" t="str">
        <x:v>ICN012</x:v>
      </x:c>
      <x:c r="K173" s="25" t="str">
        <x:v>医疗服务、临床应用与健康管理</x:v>
      </x:c>
      <x:c r="L173" s="28" t="n">
        <x:v>86</x:v>
      </x:c>
      <x:c r="M173" s="25" t="str">
        <x:v>高</x:v>
      </x:c>
      <x:c r="N173" s="26" t="str">
        <x:v>医药、影像技师、医疗、药物、药品、临床、医生</x:v>
      </x:c>
      <x:c r="O173" s="26" t="str">
        <x:v>岗位名称/描述出现“医药、影像技师、医疗、药物、药品”，工作环节更贴近“影像技师、临床、医生”，因此关联到该节点。</x:v>
      </x:c>
      <x:c r="P173" s="26" t="str">
        <x:v>自动通过</x:v>
      </x:c>
    </x:row>
    <x:row r="174" ht="44" customHeight="1">
      <x:c r="A174" s="27" t="str">
        <x:v>REL000171</x:v>
      </x:c>
      <x:c r="B174" s="25" t="n">
        <x:v>11128</x:v>
      </x:c>
      <x:c r="C174" s="27" t="str">
        <x:v>IC-L3-385</x:v>
      </x:c>
      <x:c r="D174" s="25" t="str">
        <x:v>医药技术研发管理人员</x:v>
      </x:c>
      <x:c r="E174" s="27" t="str">
        <x:v>2-05-07-01</x:v>
      </x:c>
      <x:c r="F174" s="25" t="str">
        <x:v>影像技师</x:v>
      </x:c>
      <x:c r="G174" s="27" t="str">
        <x:v>IC04</x:v>
      </x:c>
      <x:c r="H174" s="25" t="str">
        <x:v>医药生物与医疗健康产业链</x:v>
      </x:c>
      <x:c r="I174" s="25" t="str">
        <x:v>中游</x:v>
      </x:c>
      <x:c r="J174" s="27" t="str">
        <x:v>ICN011</x:v>
      </x:c>
      <x:c r="K174" s="25" t="str">
        <x:v>药械生产、医疗装备与数字平台</x:v>
      </x:c>
      <x:c r="L174" s="28" t="n">
        <x:v>77</x:v>
      </x:c>
      <x:c r="M174" s="25" t="str">
        <x:v>中</x:v>
      </x:c>
      <x:c r="N174" s="26" t="str">
        <x:v>医药、影像技师、药物、制药、临床、生产、质量</x:v>
      </x:c>
      <x:c r="O174" s="26" t="str">
        <x:v>岗位名称/描述出现“医药、影像技师、药物、制药、临床”，工作环节更贴近“制药、生产、质量”，因此关联到该节点。</x:v>
      </x:c>
      <x:c r="P174" s="26" t="str">
        <x:v>自动通过</x:v>
      </x:c>
    </x:row>
    <x:row r="175" ht="44" customHeight="1">
      <x:c r="A175" s="27" t="str">
        <x:v>REL000172</x:v>
      </x:c>
      <x:c r="B175" s="25" t="n">
        <x:v>11129</x:v>
      </x:c>
      <x:c r="C175" s="27" t="str">
        <x:v>IC-L3-386</x:v>
      </x:c>
      <x:c r="D175" s="25" t="str">
        <x:v>医药销售经理/主管</x:v>
      </x:c>
      <x:c r="E175" s="27" t="str">
        <x:v>2-06-07-07</x:v>
      </x:c>
      <x:c r="F175" s="25" t="str">
        <x:v>医药代表</x:v>
      </x:c>
      <x:c r="G175" s="27" t="str">
        <x:v>IC04</x:v>
      </x:c>
      <x:c r="H175" s="25" t="str">
        <x:v>医药生物与医疗健康产业链</x:v>
      </x:c>
      <x:c r="I175" s="25" t="str">
        <x:v>中游</x:v>
      </x:c>
      <x:c r="J175" s="27" t="str">
        <x:v>ICN011</x:v>
      </x:c>
      <x:c r="K175" s="25" t="str">
        <x:v>药械生产、医疗装备与数字平台</x:v>
      </x:c>
      <x:c r="L175" s="28" t="n">
        <x:v>74</x:v>
      </x:c>
      <x:c r="M175" s="25" t="str">
        <x:v>中</x:v>
      </x:c>
      <x:c r="N175" s="26" t="str">
        <x:v>医药、医疗、制药、生产</x:v>
      </x:c>
      <x:c r="O175" s="26" t="str">
        <x:v>岗位名称/描述出现“医药、医疗、制药”，工作环节更贴近“制药、生产”，因此关联到该节点。</x:v>
      </x:c>
      <x:c r="P175" s="26" t="str">
        <x:v>自动通过</x:v>
      </x:c>
    </x:row>
    <x:row r="176" ht="44" customHeight="1">
      <x:c r="A176" s="27" t="str">
        <x:v>REL000173</x:v>
      </x:c>
      <x:c r="B176" s="25" t="n">
        <x:v>11130</x:v>
      </x:c>
      <x:c r="C176" s="27" t="str">
        <x:v>IC-L3-387</x:v>
      </x:c>
      <x:c r="D176" s="25" t="str">
        <x:v>生物工程/生物制药</x:v>
      </x:c>
      <x:c r="E176" s="27" t="str">
        <x:v>2-05-07-01</x:v>
      </x:c>
      <x:c r="F176" s="25" t="str">
        <x:v>影像技师</x:v>
      </x:c>
      <x:c r="G176" s="27" t="str">
        <x:v>IC04</x:v>
      </x:c>
      <x:c r="H176" s="25" t="str">
        <x:v>医药生物与医疗健康产业链</x:v>
      </x:c>
      <x:c r="I176" s="25" t="str">
        <x:v>中游</x:v>
      </x:c>
      <x:c r="J176" s="27" t="str">
        <x:v>ICN011</x:v>
      </x:c>
      <x:c r="K176" s="25" t="str">
        <x:v>药械生产、医疗装备与数字平台</x:v>
      </x:c>
      <x:c r="L176" s="28" t="n">
        <x:v>89</x:v>
      </x:c>
      <x:c r="M176" s="25" t="str">
        <x:v>高</x:v>
      </x:c>
      <x:c r="N176" s="26" t="str">
        <x:v>制药、影像技师、医药、医疗、药物、生产、质量</x:v>
      </x:c>
      <x:c r="O176" s="26" t="str">
        <x:v>岗位名称/描述出现“制药、影像技师、医药、医疗、药物”，工作环节更贴近“制药、生产、质量”，因此关联到该节点。</x:v>
      </x:c>
      <x:c r="P176" s="26" t="str">
        <x:v>自动通过</x:v>
      </x:c>
    </x:row>
    <x:row r="177" ht="44" customHeight="1">
      <x:c r="A177" s="27" t="str">
        <x:v>REL000174</x:v>
      </x:c>
      <x:c r="B177" s="25" t="n">
        <x:v>11131</x:v>
      </x:c>
      <x:c r="C177" s="27" t="str">
        <x:v>IC-L3-388</x:v>
      </x:c>
      <x:c r="D177" s="25" t="str">
        <x:v>病理研究员</x:v>
      </x:c>
      <x:c r="E177" s="27" t="str">
        <x:v>2-01-06-03</x:v>
      </x:c>
      <x:c r="F177" s="25" t="str">
        <x:v>化学研究人员</x:v>
      </x:c>
      <x:c r="G177" s="27" t="str">
        <x:v>IC04</x:v>
      </x:c>
      <x:c r="H177" s="25" t="str">
        <x:v>医药生物与医疗健康产业链</x:v>
      </x:c>
      <x:c r="I177" s="25" t="str">
        <x:v>上游</x:v>
      </x:c>
      <x:c r="J177" s="27" t="str">
        <x:v>ICN010</x:v>
      </x:c>
      <x:c r="K177" s="25" t="str">
        <x:v>药物研发、诊断试剂与核心材料</x:v>
      </x:c>
      <x:c r="L177" s="28" t="n">
        <x:v>61</x:v>
      </x:c>
      <x:c r="M177" s="25" t="str">
        <x:v>低</x:v>
      </x:c>
      <x:c r="N177" s="26" t="str">
        <x:v>医药、医疗、药物、制药、临床、药物研发、新药、实验</x:v>
      </x:c>
      <x:c r="O177" s="26" t="str">
        <x:v>岗位名称/描述出现“医药、医疗、药物、制药、临床”，工作环节更贴近“药物研发、新药、实验”，因此关联到该节点。</x:v>
      </x:c>
      <x:c r="P177" s="26" t="str">
        <x:v>建议复核</x:v>
      </x:c>
    </x:row>
    <x:row r="178" ht="44" customHeight="1">
      <x:c r="A178" s="27" t="str">
        <x:v>REL000175</x:v>
      </x:c>
      <x:c r="B178" s="25" t="n">
        <x:v>11132</x:v>
      </x:c>
      <x:c r="C178" s="27" t="str">
        <x:v>IC-L3-389</x:v>
      </x:c>
      <x:c r="D178" s="25" t="str">
        <x:v>细胞培养技术员</x:v>
      </x:c>
      <x:c r="E178" s="27" t="str">
        <x:v>2-05-07-01</x:v>
      </x:c>
      <x:c r="F178" s="25" t="str">
        <x:v>影像技师</x:v>
      </x:c>
      <x:c r="G178" s="27" t="str">
        <x:v>IC04</x:v>
      </x:c>
      <x:c r="H178" s="25" t="str">
        <x:v>医药生物与医疗健康产业链</x:v>
      </x:c>
      <x:c r="I178" s="25" t="str">
        <x:v>中游</x:v>
      </x:c>
      <x:c r="J178" s="27" t="str">
        <x:v>ICN011</x:v>
      </x:c>
      <x:c r="K178" s="25" t="str">
        <x:v>药械生产、医疗装备与数字平台</x:v>
      </x:c>
      <x:c r="L178" s="28" t="n">
        <x:v>59</x:v>
      </x:c>
      <x:c r="M178" s="25" t="str">
        <x:v>低</x:v>
      </x:c>
      <x:c r="N178" s="26" t="str">
        <x:v>影像技师、药物、制药、生产、质量</x:v>
      </x:c>
      <x:c r="O178" s="26" t="str">
        <x:v>岗位名称/描述出现“影像技师、药物、制药”，工作环节更贴近“制药、生产、质量”，因此关联到该节点。</x:v>
      </x:c>
      <x:c r="P178" s="26" t="str">
        <x:v>建议复核</x:v>
      </x:c>
    </x:row>
    <x:row r="179" ht="44" customHeight="1">
      <x:c r="A179" s="27" t="str">
        <x:v>REL000176</x:v>
      </x:c>
      <x:c r="B179" s="25" t="n">
        <x:v>11133</x:v>
      </x:c>
      <x:c r="C179" s="27" t="str">
        <x:v>IC-L3-390</x:v>
      </x:c>
      <x:c r="D179" s="25" t="str">
        <x:v>药品市场推广专员</x:v>
      </x:c>
      <x:c r="E179" s="27" t="str">
        <x:v>2-05-07-01</x:v>
      </x:c>
      <x:c r="F179" s="25" t="str">
        <x:v>影像技师</x:v>
      </x:c>
      <x:c r="G179" s="27" t="str">
        <x:v>IC04</x:v>
      </x:c>
      <x:c r="H179" s="25" t="str">
        <x:v>医药生物与医疗健康产业链</x:v>
      </x:c>
      <x:c r="I179" s="25" t="str">
        <x:v>下游</x:v>
      </x:c>
      <x:c r="J179" s="27" t="str">
        <x:v>ICN012</x:v>
      </x:c>
      <x:c r="K179" s="25" t="str">
        <x:v>医疗服务、临床应用与健康管理</x:v>
      </x:c>
      <x:c r="L179" s="28" t="n">
        <x:v>74</x:v>
      </x:c>
      <x:c r="M179" s="25" t="str">
        <x:v>中</x:v>
      </x:c>
      <x:c r="N179" s="26" t="str">
        <x:v>药品、影像技师、药物、制药</x:v>
      </x:c>
      <x:c r="O179" s="26" t="str">
        <x:v>岗位名称/描述出现“药品、影像技师、药物、制药”，工作环节更贴近“影像技师”，因此关联到该节点。</x:v>
      </x:c>
      <x:c r="P179" s="26" t="str">
        <x:v>自动通过</x:v>
      </x:c>
    </x:row>
    <x:row r="180" ht="44" customHeight="1">
      <x:c r="A180" s="27" t="str">
        <x:v>REL000177</x:v>
      </x:c>
      <x:c r="B180" s="25" t="n">
        <x:v>11134</x:v>
      </x:c>
      <x:c r="C180" s="27" t="str">
        <x:v>IC-L3-391</x:v>
      </x:c>
      <x:c r="D180" s="25" t="str">
        <x:v>药品市场推广主管</x:v>
      </x:c>
      <x:c r="E180" s="27" t="str">
        <x:v>2-05-07-01</x:v>
      </x:c>
      <x:c r="F180" s="25" t="str">
        <x:v>影像技师</x:v>
      </x:c>
      <x:c r="G180" s="27" t="str">
        <x:v>IC04</x:v>
      </x:c>
      <x:c r="H180" s="25" t="str">
        <x:v>医药生物与医疗健康产业链</x:v>
      </x:c>
      <x:c r="I180" s="25" t="str">
        <x:v>下游</x:v>
      </x:c>
      <x:c r="J180" s="27" t="str">
        <x:v>ICN012</x:v>
      </x:c>
      <x:c r="K180" s="25" t="str">
        <x:v>医疗服务、临床应用与健康管理</x:v>
      </x:c>
      <x:c r="L180" s="28" t="n">
        <x:v>74</x:v>
      </x:c>
      <x:c r="M180" s="25" t="str">
        <x:v>中</x:v>
      </x:c>
      <x:c r="N180" s="26" t="str">
        <x:v>药品、影像技师、医药、制药</x:v>
      </x:c>
      <x:c r="O180" s="26" t="str">
        <x:v>岗位名称/描述出现“药品、影像技师、医药、制药”，工作环节更贴近“影像技师”，因此关联到该节点。</x:v>
      </x:c>
      <x:c r="P180" s="26" t="str">
        <x:v>自动通过</x:v>
      </x:c>
    </x:row>
    <x:row r="181" ht="44" customHeight="1">
      <x:c r="A181" s="27" t="str">
        <x:v>REL000178</x:v>
      </x:c>
      <x:c r="B181" s="25" t="n">
        <x:v>11135</x:v>
      </x:c>
      <x:c r="C181" s="27" t="str">
        <x:v>IC-L3-392</x:v>
      </x:c>
      <x:c r="D181" s="25" t="str">
        <x:v>药品市场推广经理</x:v>
      </x:c>
      <x:c r="E181" s="27" t="str">
        <x:v>2-05-07-01</x:v>
      </x:c>
      <x:c r="F181" s="25" t="str">
        <x:v>影像技师</x:v>
      </x:c>
      <x:c r="G181" s="27" t="str">
        <x:v>IC04</x:v>
      </x:c>
      <x:c r="H181" s="25" t="str">
        <x:v>医药生物与医疗健康产业链</x:v>
      </x:c>
      <x:c r="I181" s="25" t="str">
        <x:v>下游</x:v>
      </x:c>
      <x:c r="J181" s="27" t="str">
        <x:v>ICN012</x:v>
      </x:c>
      <x:c r="K181" s="25" t="str">
        <x:v>医疗服务、临床应用与健康管理</x:v>
      </x:c>
      <x:c r="L181" s="28" t="n">
        <x:v>74</x:v>
      </x:c>
      <x:c r="M181" s="25" t="str">
        <x:v>中</x:v>
      </x:c>
      <x:c r="N181" s="26" t="str">
        <x:v>药品、影像技师、药物、制药</x:v>
      </x:c>
      <x:c r="O181" s="26" t="str">
        <x:v>岗位名称/描述出现“药品、影像技师、药物、制药”，工作环节更贴近“影像技师”，因此关联到该节点。</x:v>
      </x:c>
      <x:c r="P181" s="26" t="str">
        <x:v>自动通过</x:v>
      </x:c>
    </x:row>
    <x:row r="182" ht="44" customHeight="1">
      <x:c r="A182" s="27" t="str">
        <x:v>REL000179</x:v>
      </x:c>
      <x:c r="B182" s="25" t="n">
        <x:v>11136</x:v>
      </x:c>
      <x:c r="C182" s="27" t="str">
        <x:v>IC-L3-393</x:v>
      </x:c>
      <x:c r="D182" s="25" t="str">
        <x:v>药品注册</x:v>
      </x:c>
      <x:c r="E182" s="27" t="str">
        <x:v>2-05-07-01</x:v>
      </x:c>
      <x:c r="F182" s="25" t="str">
        <x:v>影像技师</x:v>
      </x:c>
      <x:c r="G182" s="27" t="str">
        <x:v>IC04</x:v>
      </x:c>
      <x:c r="H182" s="25" t="str">
        <x:v>医药生物与医疗健康产业链</x:v>
      </x:c>
      <x:c r="I182" s="25" t="str">
        <x:v>中游</x:v>
      </x:c>
      <x:c r="J182" s="27" t="str">
        <x:v>ICN011</x:v>
      </x:c>
      <x:c r="K182" s="25" t="str">
        <x:v>药械生产、医疗装备与数字平台</x:v>
      </x:c>
      <x:c r="L182" s="28" t="n">
        <x:v>84</x:v>
      </x:c>
      <x:c r="M182" s="25" t="str">
        <x:v>高</x:v>
      </x:c>
      <x:c r="N182" s="26" t="str">
        <x:v>药品、影像技师、医药、制药、临床、注册、生产、质量</x:v>
      </x:c>
      <x:c r="O182" s="26" t="str">
        <x:v>岗位名称/描述出现“药品、影像技师、医药、制药、临床”，工作环节更贴近“注册、制药、生产、质量”，因此关联到该节点。</x:v>
      </x:c>
      <x:c r="P182" s="26" t="str">
        <x:v>自动通过</x:v>
      </x:c>
    </x:row>
    <x:row r="183" ht="44" customHeight="1">
      <x:c r="A183" s="27" t="str">
        <x:v>REL000180</x:v>
      </x:c>
      <x:c r="B183" s="25" t="n">
        <x:v>11137</x:v>
      </x:c>
      <x:c r="C183" s="27" t="str">
        <x:v>IC-L3-394</x:v>
      </x:c>
      <x:c r="D183" s="25" t="str">
        <x:v>药品生产/质量管理</x:v>
      </x:c>
      <x:c r="E183" s="27" t="str">
        <x:v>2-02-29-03</x:v>
      </x:c>
      <x:c r="F183" s="25" t="str">
        <x:v>质量管理工程技术人员</x:v>
      </x:c>
      <x:c r="G183" s="27" t="str">
        <x:v>IC04</x:v>
      </x:c>
      <x:c r="H183" s="25" t="str">
        <x:v>医药生物与医疗健康产业链</x:v>
      </x:c>
      <x:c r="I183" s="25" t="str">
        <x:v>中游</x:v>
      </x:c>
      <x:c r="J183" s="27" t="str">
        <x:v>ICN011</x:v>
      </x:c>
      <x:c r="K183" s="25" t="str">
        <x:v>药械生产、医疗装备与数字平台</x:v>
      </x:c>
      <x:c r="L183" s="28" t="n">
        <x:v>82</x:v>
      </x:c>
      <x:c r="M183" s="25" t="str">
        <x:v>高</x:v>
      </x:c>
      <x:c r="N183" s="26" t="str">
        <x:v>药品、医药、制药、药品生产、生产、质量</x:v>
      </x:c>
      <x:c r="O183" s="26" t="str">
        <x:v>岗位名称/描述出现“药品、医药、制药”，工作环节更贴近“药品生产、生产、质量、制药”，因此关联到该节点。</x:v>
      </x:c>
      <x:c r="P183" s="26" t="str">
        <x:v>自动通过</x:v>
      </x:c>
    </x:row>
    <x:row r="184" ht="44" customHeight="1">
      <x:c r="A184" s="27" t="str">
        <x:v>REL000181</x:v>
      </x:c>
      <x:c r="B184" s="25" t="n">
        <x:v>11138</x:v>
      </x:c>
      <x:c r="C184" s="27" t="str">
        <x:v>IC-L3-395</x:v>
      </x:c>
      <x:c r="D184" s="25" t="str">
        <x:v>药物分析研究员</x:v>
      </x:c>
      <x:c r="E184" s="27" t="str">
        <x:v>2-01-06-03</x:v>
      </x:c>
      <x:c r="F184" s="25" t="str">
        <x:v>化学研究人员</x:v>
      </x:c>
      <x:c r="G184" s="27" t="str">
        <x:v>IC04</x:v>
      </x:c>
      <x:c r="H184" s="25" t="str">
        <x:v>医药生物与医疗健康产业链</x:v>
      </x:c>
      <x:c r="I184" s="25" t="str">
        <x:v>上游</x:v>
      </x:c>
      <x:c r="J184" s="27" t="str">
        <x:v>ICN010</x:v>
      </x:c>
      <x:c r="K184" s="25" t="str">
        <x:v>药物研发、诊断试剂与核心材料</x:v>
      </x:c>
      <x:c r="L184" s="28" t="n">
        <x:v>73</x:v>
      </x:c>
      <x:c r="M184" s="25" t="str">
        <x:v>中</x:v>
      </x:c>
      <x:c r="N184" s="26" t="str">
        <x:v>药物、药品、制药、临床、药物研发、新药、实验</x:v>
      </x:c>
      <x:c r="O184" s="26" t="str">
        <x:v>岗位名称/描述出现“药物、药品、制药、临床”，工作环节更贴近“药物研发、新药、实验”，因此关联到该节点。</x:v>
      </x:c>
      <x:c r="P184" s="26" t="str">
        <x:v>自动通过</x:v>
      </x:c>
    </x:row>
    <x:row r="185" ht="44" customHeight="1">
      <x:c r="A185" s="27" t="str">
        <x:v>REL000182</x:v>
      </x:c>
      <x:c r="B185" s="25" t="n">
        <x:v>11139</x:v>
      </x:c>
      <x:c r="C185" s="27" t="str">
        <x:v>IC-L3-396</x:v>
      </x:c>
      <x:c r="D185" s="25" t="str">
        <x:v>药物合成/有机合成研究员</x:v>
      </x:c>
      <x:c r="E185" s="27" t="str">
        <x:v>2-01-06-03</x:v>
      </x:c>
      <x:c r="F185" s="25" t="str">
        <x:v>化学研究人员</x:v>
      </x:c>
      <x:c r="G185" s="27" t="str">
        <x:v>IC04</x:v>
      </x:c>
      <x:c r="H185" s="25" t="str">
        <x:v>医药生物与医疗健康产业链</x:v>
      </x:c>
      <x:c r="I185" s="25" t="str">
        <x:v>上游</x:v>
      </x:c>
      <x:c r="J185" s="27" t="str">
        <x:v>ICN010</x:v>
      </x:c>
      <x:c r="K185" s="25" t="str">
        <x:v>药物研发、诊断试剂与核心材料</x:v>
      </x:c>
      <x:c r="L185" s="28" t="n">
        <x:v>73</x:v>
      </x:c>
      <x:c r="M185" s="25" t="str">
        <x:v>中</x:v>
      </x:c>
      <x:c r="N185" s="26" t="str">
        <x:v>药物、医药、药品、制药、新药、药理、实验</x:v>
      </x:c>
      <x:c r="O185" s="26" t="str">
        <x:v>岗位名称/描述出现“药物、医药、药品、制药”，工作环节更贴近“新药、药理、实验”，因此关联到该节点。</x:v>
      </x:c>
      <x:c r="P185" s="26" t="str">
        <x:v>自动通过</x:v>
      </x:c>
    </x:row>
    <x:row r="186" ht="44" customHeight="1">
      <x:c r="A186" s="27" t="str">
        <x:v>REL000183</x:v>
      </x:c>
      <x:c r="B186" s="25" t="n">
        <x:v>11140</x:v>
      </x:c>
      <x:c r="C186" s="27" t="str">
        <x:v>IC-L3-397</x:v>
      </x:c>
      <x:c r="D186" s="25" t="str">
        <x:v>药物警戒</x:v>
      </x:c>
      <x:c r="E186" s="27" t="str">
        <x:v>2-05-07-01</x:v>
      </x:c>
      <x:c r="F186" s="25" t="str">
        <x:v>影像技师</x:v>
      </x:c>
      <x:c r="G186" s="27" t="str">
        <x:v>IC04</x:v>
      </x:c>
      <x:c r="H186" s="25" t="str">
        <x:v>医药生物与医疗健康产业链</x:v>
      </x:c>
      <x:c r="I186" s="25" t="str">
        <x:v>下游</x:v>
      </x:c>
      <x:c r="J186" s="27" t="str">
        <x:v>ICN012</x:v>
      </x:c>
      <x:c r="K186" s="25" t="str">
        <x:v>医疗服务、临床应用与健康管理</x:v>
      </x:c>
      <x:c r="L186" s="28" t="n">
        <x:v>79</x:v>
      </x:c>
      <x:c r="M186" s="25" t="str">
        <x:v>中</x:v>
      </x:c>
      <x:c r="N186" s="26" t="str">
        <x:v>药物、影像技师、医药、药品、制药、临床</x:v>
      </x:c>
      <x:c r="O186" s="26" t="str">
        <x:v>岗位名称/描述出现“药物、影像技师、医药、药品、制药”，工作环节更贴近“影像技师、临床”，因此关联到该节点。</x:v>
      </x:c>
      <x:c r="P186" s="26" t="str">
        <x:v>自动通过</x:v>
      </x:c>
    </x:row>
    <x:row r="187" ht="44" customHeight="1">
      <x:c r="A187" s="27" t="str">
        <x:v>REL000184</x:v>
      </x:c>
      <x:c r="B187" s="25" t="n">
        <x:v>11141</x:v>
      </x:c>
      <x:c r="C187" s="27" t="str">
        <x:v>IC-L3-398</x:v>
      </x:c>
      <x:c r="D187" s="25" t="str">
        <x:v>药理研究员</x:v>
      </x:c>
      <x:c r="E187" s="27" t="str">
        <x:v>2-01-06-03</x:v>
      </x:c>
      <x:c r="F187" s="25" t="str">
        <x:v>化学研究人员</x:v>
      </x:c>
      <x:c r="G187" s="27" t="str">
        <x:v>IC04</x:v>
      </x:c>
      <x:c r="H187" s="25" t="str">
        <x:v>医药生物与医疗健康产业链</x:v>
      </x:c>
      <x:c r="I187" s="25" t="str">
        <x:v>上游</x:v>
      </x:c>
      <x:c r="J187" s="27" t="str">
        <x:v>ICN010</x:v>
      </x:c>
      <x:c r="K187" s="25" t="str">
        <x:v>药物研发、诊断试剂与核心材料</x:v>
      </x:c>
      <x:c r="L187" s="28" t="n">
        <x:v>68</x:v>
      </x:c>
      <x:c r="M187" s="25" t="str">
        <x:v>中</x:v>
      </x:c>
      <x:c r="N187" s="26" t="str">
        <x:v>医药、药物、制药、临床、医生、药理、药物研发、新药</x:v>
      </x:c>
      <x:c r="O187" s="26" t="str">
        <x:v>岗位名称/描述出现“医药、药物、制药、临床、医生”，工作环节更贴近“药理、药物研发、新药、实验”，因此关联到该节点。</x:v>
      </x:c>
      <x:c r="P187" s="26" t="str">
        <x:v>自动通过</x:v>
      </x:c>
    </x:row>
    <x:row r="188" ht="44" customHeight="1">
      <x:c r="A188" s="27" t="str">
        <x:v>REL000185</x:v>
      </x:c>
      <x:c r="B188" s="25" t="n">
        <x:v>11142</x:v>
      </x:c>
      <x:c r="C188" s="27" t="str">
        <x:v>IC-L3-399</x:v>
      </x:c>
      <x:c r="D188" s="25" t="str">
        <x:v>试剂研发</x:v>
      </x:c>
      <x:c r="E188" s="27" t="str">
        <x:v>2-05-07-01</x:v>
      </x:c>
      <x:c r="F188" s="25" t="str">
        <x:v>影像技师</x:v>
      </x:c>
      <x:c r="G188" s="27" t="str">
        <x:v>IC04</x:v>
      </x:c>
      <x:c r="H188" s="25" t="str">
        <x:v>医药生物与医疗健康产业链</x:v>
      </x:c>
      <x:c r="I188" s="25" t="str">
        <x:v>中游</x:v>
      </x:c>
      <x:c r="J188" s="27" t="str">
        <x:v>ICN011</x:v>
      </x:c>
      <x:c r="K188" s="25" t="str">
        <x:v>药械生产、医疗装备与数字平台</x:v>
      </x:c>
      <x:c r="L188" s="28" t="n">
        <x:v>61</x:v>
      </x:c>
      <x:c r="M188" s="25" t="str">
        <x:v>低</x:v>
      </x:c>
      <x:c r="N188" s="26" t="str">
        <x:v>影像技师、制药、诊断、临床、生产、质量</x:v>
      </x:c>
      <x:c r="O188" s="26" t="str">
        <x:v>岗位名称/描述出现“影像技师、制药、诊断、临床”，工作环节更贴近“制药、生产、质量”，因此关联到该节点。</x:v>
      </x:c>
      <x:c r="P188" s="26" t="str">
        <x:v>建议复核</x:v>
      </x:c>
    </x:row>
    <x:row r="189" ht="44" customHeight="1">
      <x:c r="A189" s="27" t="str">
        <x:v>REL000186</x:v>
      </x:c>
      <x:c r="B189" s="25" t="n">
        <x:v>11143</x:v>
      </x:c>
      <x:c r="C189" s="27" t="str">
        <x:v>IC-L3-400</x:v>
      </x:c>
      <x:c r="D189" s="25" t="str">
        <x:v>临床研究员</x:v>
      </x:c>
      <x:c r="E189" s="27" t="str">
        <x:v>2-01-06-03</x:v>
      </x:c>
      <x:c r="F189" s="25" t="str">
        <x:v>化学研究人员</x:v>
      </x:c>
      <x:c r="G189" s="27" t="str">
        <x:v>IC04</x:v>
      </x:c>
      <x:c r="H189" s="25" t="str">
        <x:v>医药生物与医疗健康产业链</x:v>
      </x:c>
      <x:c r="I189" s="25" t="str">
        <x:v>下游</x:v>
      </x:c>
      <x:c r="J189" s="27" t="str">
        <x:v>ICN012</x:v>
      </x:c>
      <x:c r="K189" s="25" t="str">
        <x:v>医疗服务、临床应用与健康管理</x:v>
      </x:c>
      <x:c r="L189" s="28" t="n">
        <x:v>75</x:v>
      </x:c>
      <x:c r="M189" s="25" t="str">
        <x:v>中</x:v>
      </x:c>
      <x:c r="N189" s="26" t="str">
        <x:v>临床、药物</x:v>
      </x:c>
      <x:c r="O189" s="26" t="str">
        <x:v>岗位名称/描述出现“临床、药物”，工作环节更贴近“临床”，因此关联到该节点。</x:v>
      </x:c>
      <x:c r="P189" s="26" t="str">
        <x:v>自动通过</x:v>
      </x:c>
    </x:row>
    <x:row r="190" ht="44" customHeight="1">
      <x:c r="A190" s="27" t="str">
        <x:v>REL000187</x:v>
      </x:c>
      <x:c r="B190" s="25" t="n">
        <x:v>11144</x:v>
      </x:c>
      <x:c r="C190" s="27" t="str">
        <x:v>IC-L3-401</x:v>
      </x:c>
      <x:c r="D190" s="25" t="str">
        <x:v>临床协调员</x:v>
      </x:c>
      <x:c r="E190" s="27" t="str">
        <x:v>2-05-07-01</x:v>
      </x:c>
      <x:c r="F190" s="25" t="str">
        <x:v>影像技师</x:v>
      </x:c>
      <x:c r="G190" s="27" t="str">
        <x:v>IC04</x:v>
      </x:c>
      <x:c r="H190" s="25" t="str">
        <x:v>医药生物与医疗健康产业链</x:v>
      </x:c>
      <x:c r="I190" s="25" t="str">
        <x:v>下游</x:v>
      </x:c>
      <x:c r="J190" s="27" t="str">
        <x:v>ICN012</x:v>
      </x:c>
      <x:c r="K190" s="25" t="str">
        <x:v>医疗服务、临床应用与健康管理</x:v>
      </x:c>
      <x:c r="L190" s="28" t="n">
        <x:v>77</x:v>
      </x:c>
      <x:c r="M190" s="25" t="str">
        <x:v>中</x:v>
      </x:c>
      <x:c r="N190" s="26" t="str">
        <x:v>临床、影像技师</x:v>
      </x:c>
      <x:c r="O190" s="26" t="str">
        <x:v>岗位名称/描述出现“临床、影像技师”，工作环节更贴近“临床、影像技师”，因此关联到该节点。</x:v>
      </x:c>
      <x:c r="P190" s="26" t="str">
        <x:v>自动通过</x:v>
      </x:c>
    </x:row>
    <x:row r="191" ht="44" customHeight="1">
      <x:c r="A191" s="27" t="str">
        <x:v>REL000188</x:v>
      </x:c>
      <x:c r="B191" s="25" t="n">
        <x:v>11145</x:v>
      </x:c>
      <x:c r="C191" s="27" t="str">
        <x:v>IC-L3-402</x:v>
      </x:c>
      <x:c r="D191" s="25" t="str">
        <x:v>医疗器械注册</x:v>
      </x:c>
      <x:c r="E191" s="27" t="str">
        <x:v>2-05-07-01</x:v>
      </x:c>
      <x:c r="F191" s="25" t="str">
        <x:v>影像技师</x:v>
      </x:c>
      <x:c r="G191" s="27" t="str">
        <x:v>IC04</x:v>
      </x:c>
      <x:c r="H191" s="25" t="str">
        <x:v>医药生物与医疗健康产业链</x:v>
      </x:c>
      <x:c r="I191" s="25" t="str">
        <x:v>中游</x:v>
      </x:c>
      <x:c r="J191" s="27" t="str">
        <x:v>ICN011</x:v>
      </x:c>
      <x:c r="K191" s="25" t="str">
        <x:v>药械生产、医疗装备与数字平台</x:v>
      </x:c>
      <x:c r="L191" s="28" t="n">
        <x:v>98</x:v>
      </x:c>
      <x:c r="M191" s="25" t="str">
        <x:v>高</x:v>
      </x:c>
      <x:c r="N191" s="26" t="str">
        <x:v>医疗、医疗器械、影像技师、注册</x:v>
      </x:c>
      <x:c r="O191" s="26" t="str">
        <x:v>岗位名称/描述出现“医疗、医疗器械、影像技师”，工作环节更贴近“医疗器械、注册”，因此关联到该节点。</x:v>
      </x:c>
      <x:c r="P191" s="26" t="str">
        <x:v>自动通过</x:v>
      </x:c>
    </x:row>
    <x:row r="192" ht="44" customHeight="1">
      <x:c r="A192" s="27" t="str">
        <x:v>REL000189</x:v>
      </x:c>
      <x:c r="B192" s="25" t="n">
        <x:v>11147</x:v>
      </x:c>
      <x:c r="C192" s="27" t="str">
        <x:v>IC-L3-404</x:v>
      </x:c>
      <x:c r="D192" s="25" t="str">
        <x:v>医学顾问</x:v>
      </x:c>
      <x:c r="E192" s="27" t="str">
        <x:v>2-05-07-01</x:v>
      </x:c>
      <x:c r="F192" s="25" t="str">
        <x:v>影像技师</x:v>
      </x:c>
      <x:c r="G192" s="27" t="str">
        <x:v>IC04</x:v>
      </x:c>
      <x:c r="H192" s="25" t="str">
        <x:v>医药生物与医疗健康产业链</x:v>
      </x:c>
      <x:c r="I192" s="25" t="str">
        <x:v>下游</x:v>
      </x:c>
      <x:c r="J192" s="27" t="str">
        <x:v>ICN012</x:v>
      </x:c>
      <x:c r="K192" s="25" t="str">
        <x:v>医疗服务、临床应用与健康管理</x:v>
      </x:c>
      <x:c r="L192" s="28" t="n">
        <x:v>59</x:v>
      </x:c>
      <x:c r="M192" s="25" t="str">
        <x:v>低</x:v>
      </x:c>
      <x:c r="N192" s="26" t="str">
        <x:v>影像技师、药品、临床</x:v>
      </x:c>
      <x:c r="O192" s="26" t="str">
        <x:v>岗位名称/描述出现“影像技师、药品、临床”，工作环节更贴近“影像技师、临床”，因此关联到该节点。</x:v>
      </x:c>
      <x:c r="P192" s="26" t="str">
        <x:v>建议复核</x:v>
      </x:c>
    </x:row>
    <x:row r="193" ht="44" customHeight="1">
      <x:c r="A193" s="27" t="str">
        <x:v>REL000190</x:v>
      </x:c>
      <x:c r="B193" s="25" t="n">
        <x:v>11155</x:v>
      </x:c>
      <x:c r="C193" s="27" t="str">
        <x:v>IC-L3-412</x:v>
      </x:c>
      <x:c r="D193" s="25" t="str">
        <x:v>房地产客服</x:v>
      </x:c>
      <x:c r="E193" s="27" t="str">
        <x:v>4-04-05-01</x:v>
      </x:c>
      <x:c r="F193" s="25" t="str">
        <x:v>计算机程序设计员</x:v>
      </x:c>
      <x:c r="G193" s="27" t="str">
        <x:v>IC03</x:v>
      </x:c>
      <x:c r="H193" s="25" t="str">
        <x:v>基础设施与城市建设产业链</x:v>
      </x:c>
      <x:c r="I193" s="25" t="str">
        <x:v>下游</x:v>
      </x:c>
      <x:c r="J193" s="27" t="str">
        <x:v>ICN009</x:v>
      </x:c>
      <x:c r="K193" s="25" t="str">
        <x:v>城市运营、公用事业与物业服务</x:v>
      </x:c>
      <x:c r="L193" s="28" t="n">
        <x:v>72</x:v>
      </x:c>
      <x:c r="M193" s="25" t="str">
        <x:v>中</x:v>
      </x:c>
      <x:c r="N193" s="26" t="str">
        <x:v>房地产、客服、销售</x:v>
      </x:c>
      <x:c r="O193" s="26" t="str">
        <x:v>岗位名称/描述出现“房地产”，工作环节更贴近“客服、销售”，因此关联到该节点。</x:v>
      </x:c>
      <x:c r="P193" s="26" t="str">
        <x:v>自动通过</x:v>
      </x:c>
    </x:row>
    <x:row r="194" ht="44" customHeight="1">
      <x:c r="A194" s="27" t="str">
        <x:v>REL000191</x:v>
      </x:c>
      <x:c r="B194" s="25" t="n">
        <x:v>11158</x:v>
      </x:c>
      <x:c r="C194" s="27" t="str">
        <x:v>IC-L3-415</x:v>
      </x:c>
      <x:c r="D194" s="25" t="str">
        <x:v>房地产中介/置业顾问</x:v>
      </x:c>
      <x:c r="E194" s="27" t="str">
        <x:v>4-01-02-01</x:v>
      </x:c>
      <x:c r="F194" s="25" t="str">
        <x:v>营销员</x:v>
      </x:c>
      <x:c r="G194" s="27" t="str">
        <x:v>IC03</x:v>
      </x:c>
      <x:c r="H194" s="25" t="str">
        <x:v>基础设施与城市建设产业链</x:v>
      </x:c>
      <x:c r="I194" s="25" t="str">
        <x:v>下游</x:v>
      </x:c>
      <x:c r="J194" s="27" t="str">
        <x:v>ICN009</x:v>
      </x:c>
      <x:c r="K194" s="25" t="str">
        <x:v>城市运营、公用事业与物业服务</x:v>
      </x:c>
      <x:c r="L194" s="28" t="n">
        <x:v>78</x:v>
      </x:c>
      <x:c r="M194" s="25" t="str">
        <x:v>中</x:v>
      </x:c>
      <x:c r="N194" s="26" t="str">
        <x:v>房地产、中介、置业、销售</x:v>
      </x:c>
      <x:c r="O194" s="26" t="str">
        <x:v>岗位名称/描述出现“房地产”，工作环节更贴近“中介、置业、销售”，因此关联到该节点。</x:v>
      </x:c>
      <x:c r="P194" s="26" t="str">
        <x:v>自动通过</x:v>
      </x:c>
    </x:row>
    <x:row r="195" ht="44" customHeight="1">
      <x:c r="A195" s="27" t="str">
        <x:v>REL000192</x:v>
      </x:c>
      <x:c r="B195" s="25" t="n">
        <x:v>11159</x:v>
      </x:c>
      <x:c r="C195" s="27" t="str">
        <x:v>IC-L3-416</x:v>
      </x:c>
      <x:c r="D195" s="25" t="str">
        <x:v>房地产店长/经理</x:v>
      </x:c>
      <x:c r="E195" s="27" t="str">
        <x:v>4-01-02-03</x:v>
      </x:c>
      <x:c r="F195" s="25" t="str">
        <x:v>商品营业员</x:v>
      </x:c>
      <x:c r="G195" s="27" t="str">
        <x:v>IC03</x:v>
      </x:c>
      <x:c r="H195" s="25" t="str">
        <x:v>基础设施与城市建设产业链</x:v>
      </x:c>
      <x:c r="I195" s="25" t="str">
        <x:v>中游</x:v>
      </x:c>
      <x:c r="J195" s="27" t="str">
        <x:v>ICN008</x:v>
      </x:c>
      <x:c r="K195" s="25" t="str">
        <x:v>基础设施建设与房地产开发</x:v>
      </x:c>
      <x:c r="L195" s="28" t="n">
        <x:v>66</x:v>
      </x:c>
      <x:c r="M195" s="25" t="str">
        <x:v>低</x:v>
      </x:c>
      <x:c r="N195" s="26" t="str">
        <x:v>房地产</x:v>
      </x:c>
      <x:c r="O195" s="26" t="str">
        <x:v>岗位名称/描述出现“房地产”，工作环节更贴近“中游”，因此关联到该节点。</x:v>
      </x:c>
      <x:c r="P195" s="26" t="str">
        <x:v>建议复核</x:v>
      </x:c>
    </x:row>
    <x:row r="196" ht="44" customHeight="1">
      <x:c r="A196" s="27" t="str">
        <x:v>REL000193</x:v>
      </x:c>
      <x:c r="B196" s="25" t="n">
        <x:v>11160</x:v>
      </x:c>
      <x:c r="C196" s="27" t="str">
        <x:v>IC-L3-417</x:v>
      </x:c>
      <x:c r="D196" s="25" t="str">
        <x:v>房地产销售专员</x:v>
      </x:c>
      <x:c r="E196" s="27" t="str">
        <x:v>4-01-02-01</x:v>
      </x:c>
      <x:c r="F196" s="25" t="str">
        <x:v>营销员</x:v>
      </x:c>
      <x:c r="G196" s="27" t="str">
        <x:v>IC03</x:v>
      </x:c>
      <x:c r="H196" s="25" t="str">
        <x:v>基础设施与城市建设产业链</x:v>
      </x:c>
      <x:c r="I196" s="25" t="str">
        <x:v>下游</x:v>
      </x:c>
      <x:c r="J196" s="27" t="str">
        <x:v>ICN009</x:v>
      </x:c>
      <x:c r="K196" s="25" t="str">
        <x:v>城市运营、公用事业与物业服务</x:v>
      </x:c>
      <x:c r="L196" s="28" t="n">
        <x:v>71</x:v>
      </x:c>
      <x:c r="M196" s="25" t="str">
        <x:v>中</x:v>
      </x:c>
      <x:c r="N196" s="26" t="str">
        <x:v>房地产、销售</x:v>
      </x:c>
      <x:c r="O196" s="26" t="str">
        <x:v>岗位名称/描述出现“房地产”，工作环节更贴近“销售”，因此关联到该节点。</x:v>
      </x:c>
      <x:c r="P196" s="26" t="str">
        <x:v>自动通过</x:v>
      </x:c>
    </x:row>
    <x:row r="197" ht="44" customHeight="1">
      <x:c r="A197" s="27" t="str">
        <x:v>REL000194</x:v>
      </x:c>
      <x:c r="B197" s="25" t="n">
        <x:v>11161</x:v>
      </x:c>
      <x:c r="C197" s="27" t="str">
        <x:v>IC-L3-418</x:v>
      </x:c>
      <x:c r="D197" s="25" t="str">
        <x:v>房地产销售经理/主管</x:v>
      </x:c>
      <x:c r="E197" s="27" t="str">
        <x:v>4-01-02-01</x:v>
      </x:c>
      <x:c r="F197" s="25" t="str">
        <x:v>营销员</x:v>
      </x:c>
      <x:c r="G197" s="27" t="str">
        <x:v>IC03</x:v>
      </x:c>
      <x:c r="H197" s="25" t="str">
        <x:v>基础设施与城市建设产业链</x:v>
      </x:c>
      <x:c r="I197" s="25" t="str">
        <x:v>下游</x:v>
      </x:c>
      <x:c r="J197" s="27" t="str">
        <x:v>ICN009</x:v>
      </x:c>
      <x:c r="K197" s="25" t="str">
        <x:v>城市运营、公用事业与物业服务</x:v>
      </x:c>
      <x:c r="L197" s="28" t="n">
        <x:v>71</x:v>
      </x:c>
      <x:c r="M197" s="25" t="str">
        <x:v>中</x:v>
      </x:c>
      <x:c r="N197" s="26" t="str">
        <x:v>房地产、销售</x:v>
      </x:c>
      <x:c r="O197" s="26" t="str">
        <x:v>岗位名称/描述出现“房地产”，工作环节更贴近“销售”，因此关联到该节点。</x:v>
      </x:c>
      <x:c r="P197" s="26" t="str">
        <x:v>自动通过</x:v>
      </x:c>
    </x:row>
    <x:row r="198" ht="44" customHeight="1">
      <x:c r="A198" s="27" t="str">
        <x:v>REL000195</x:v>
      </x:c>
      <x:c r="B198" s="25" t="n">
        <x:v>11175</x:v>
      </x:c>
      <x:c r="C198" s="27" t="str">
        <x:v>IC-L3-432</x:v>
      </x:c>
      <x:c r="D198" s="25" t="str">
        <x:v>汽车服务顾问</x:v>
      </x:c>
      <x:c r="E198" s="27" t="str">
        <x:v>2-02-07-11</x:v>
      </x:c>
      <x:c r="F198" s="25" t="str">
        <x:v>汽车工程技术人员</x:v>
      </x:c>
      <x:c r="G198" s="27" t="str">
        <x:v>IC08</x:v>
      </x:c>
      <x:c r="H198" s="25" t="str">
        <x:v>汽车与智能网联汽车产业链</x:v>
      </x:c>
      <x:c r="I198" s="25" t="str">
        <x:v>中游</x:v>
      </x:c>
      <x:c r="J198" s="27" t="str">
        <x:v>ICN023</x:v>
      </x:c>
      <x:c r="K198" s="25" t="str">
        <x:v>整车制造与智能网联系统集成</x:v>
      </x:c>
      <x:c r="L198" s="28" t="n">
        <x:v>72</x:v>
      </x:c>
      <x:c r="M198" s="25" t="str">
        <x:v>中</x:v>
      </x:c>
      <x:c r="N198" s="26" t="str">
        <x:v>汽车、汽车销售</x:v>
      </x:c>
      <x:c r="O198" s="26" t="str">
        <x:v>岗位名称/描述出现“汽车、汽车销售”，工作环节更贴近“中游”，因此关联到该节点。</x:v>
      </x:c>
      <x:c r="P198" s="26" t="str">
        <x:v>自动通过</x:v>
      </x:c>
    </x:row>
    <x:row r="199" ht="44" customHeight="1">
      <x:c r="A199" s="27" t="str">
        <x:v>REL000196</x:v>
      </x:c>
      <x:c r="B199" s="25" t="n">
        <x:v>11176</x:v>
      </x:c>
      <x:c r="C199" s="27" t="str">
        <x:v>IC-L3-433</x:v>
      </x:c>
      <x:c r="D199" s="25" t="str">
        <x:v>汽车销售/经纪人</x:v>
      </x:c>
      <x:c r="E199" s="27" t="str">
        <x:v>2-02-07-11</x:v>
      </x:c>
      <x:c r="F199" s="25" t="str">
        <x:v>汽车工程技术人员</x:v>
      </x:c>
      <x:c r="G199" s="27" t="str">
        <x:v>IC08</x:v>
      </x:c>
      <x:c r="H199" s="25" t="str">
        <x:v>汽车与智能网联汽车产业链</x:v>
      </x:c>
      <x:c r="I199" s="25" t="str">
        <x:v>下游</x:v>
      </x:c>
      <x:c r="J199" s="27" t="str">
        <x:v>ICN024</x:v>
      </x:c>
      <x:c r="K199" s="25" t="str">
        <x:v>出行服务、后市场与自动驾驶应用</x:v>
      </x:c>
      <x:c r="L199" s="28" t="n">
        <x:v>92</x:v>
      </x:c>
      <x:c r="M199" s="25" t="str">
        <x:v>高</x:v>
      </x:c>
      <x:c r="N199" s="26" t="str">
        <x:v>汽车、汽车销售、售后</x:v>
      </x:c>
      <x:c r="O199" s="26" t="str">
        <x:v>岗位名称/描述出现“汽车、汽车销售”，工作环节更贴近“汽车销售、售后”，因此关联到该节点。</x:v>
      </x:c>
      <x:c r="P199" s="26" t="str">
        <x:v>自动通过</x:v>
      </x:c>
    </x:row>
    <x:row r="200" ht="44" customHeight="1">
      <x:c r="A200" s="27" t="str">
        <x:v>REL000197</x:v>
      </x:c>
      <x:c r="B200" s="25" t="n">
        <x:v>11184</x:v>
      </x:c>
      <x:c r="C200" s="27" t="str">
        <x:v>IC-L3-441</x:v>
      </x:c>
      <x:c r="D200" s="25" t="str">
        <x:v>直播销售</x:v>
      </x:c>
      <x:c r="E200" s="27" t="str">
        <x:v>4-01-02-01</x:v>
      </x:c>
      <x:c r="F200" s="25" t="str">
        <x:v>营销员</x:v>
      </x:c>
      <x:c r="G200" s="27" t="str">
        <x:v>IC01</x:v>
      </x:c>
      <x:c r="H200" s="25" t="str">
        <x:v>数据要素与数字经济产业链</x:v>
      </x:c>
      <x:c r="I200" s="25" t="str">
        <x:v>下游</x:v>
      </x:c>
      <x:c r="J200" s="27" t="str">
        <x:v>ICN003</x:v>
      </x:c>
      <x:c r="K200" s="25" t="str">
        <x:v>数字经济场景应用与内容创意</x:v>
      </x:c>
      <x:c r="L200" s="28" t="n">
        <x:v>73</x:v>
      </x:c>
      <x:c r="M200" s="25" t="str">
        <x:v>中</x:v>
      </x:c>
      <x:c r="N200" s="26" t="str">
        <x:v>直播、增长、品牌</x:v>
      </x:c>
      <x:c r="O200" s="26" t="str">
        <x:v>岗位名称/描述出现“直播”，工作环节更贴近“直播、增长、品牌”，因此关联到该节点。</x:v>
      </x:c>
      <x:c r="P200" s="26" t="str">
        <x:v>自动通过</x:v>
      </x:c>
    </x:row>
    <x:row r="201" ht="44" customHeight="1">
      <x:c r="A201" s="27" t="str">
        <x:v>REL000198</x:v>
      </x:c>
      <x:c r="B201" s="25" t="n">
        <x:v>11186</x:v>
      </x:c>
      <x:c r="C201" s="27" t="str">
        <x:v>IC-L3-443</x:v>
      </x:c>
      <x:c r="D201" s="25" t="str">
        <x:v>网络销售/在线销售</x:v>
      </x:c>
      <x:c r="E201" s="27" t="str">
        <x:v>4-01-02-01</x:v>
      </x:c>
      <x:c r="F201" s="25" t="str">
        <x:v>营销员</x:v>
      </x:c>
      <x:c r="G201" s="27" t="str">
        <x:v>IC01</x:v>
      </x:c>
      <x:c r="H201" s="25" t="str">
        <x:v>数据要素与数字经济产业链</x:v>
      </x:c>
      <x:c r="I201" s="25" t="str">
        <x:v>下游</x:v>
      </x:c>
      <x:c r="J201" s="27" t="str">
        <x:v>ICN003</x:v>
      </x:c>
      <x:c r="K201" s="25" t="str">
        <x:v>数字经济场景应用与内容创意</x:v>
      </x:c>
      <x:c r="L201" s="28" t="n">
        <x:v>94</x:v>
      </x:c>
      <x:c r="M201" s="25" t="str">
        <x:v>高</x:v>
      </x:c>
      <x:c r="N201" s="26" t="str">
        <x:v>网络销售、在线销售、增长、品牌</x:v>
      </x:c>
      <x:c r="O201" s="26" t="str">
        <x:v>岗位名称/描述出现“网络销售、在线销售”，工作环节更贴近“网络销售、在线销售、增长、品牌”，因此关联到该节点。</x:v>
      </x:c>
      <x:c r="P201" s="26" t="str">
        <x:v>自动通过</x:v>
      </x:c>
    </x:row>
    <x:row r="202" ht="44" customHeight="1">
      <x:c r="A202" s="27" t="str">
        <x:v>REL000199</x:v>
      </x:c>
      <x:c r="B202" s="25" t="n">
        <x:v>11194</x:v>
      </x:c>
      <x:c r="C202" s="27" t="str">
        <x:v>IC-L3-451</x:v>
      </x:c>
      <x:c r="D202" s="25" t="str">
        <x:v>通信销售工程师</x:v>
      </x:c>
      <x:c r="E202" s="27" t="str">
        <x:v>4-04-05-01</x:v>
      </x:c>
      <x:c r="F202" s="25" t="str">
        <x:v>计算机程序设计员</x:v>
      </x:c>
      <x:c r="G202" s="27" t="str">
        <x:v>IC10</x:v>
      </x:c>
      <x:c r="H202" s="25" t="str">
        <x:v>新一代信息基础设施产业链</x:v>
      </x:c>
      <x:c r="I202" s="25" t="str">
        <x:v>下游</x:v>
      </x:c>
      <x:c r="J202" s="27" t="str">
        <x:v>ICN030</x:v>
      </x:c>
      <x:c r="K202" s="25" t="str">
        <x:v>云网算服务与行业数字化支撑</x:v>
      </x:c>
      <x:c r="L202" s="28" t="n">
        <x:v>71</x:v>
      </x:c>
      <x:c r="M202" s="25" t="str">
        <x:v>中</x:v>
      </x:c>
      <x:c r="N202" s="26" t="str">
        <x:v>通信、销售</x:v>
      </x:c>
      <x:c r="O202" s="26" t="str">
        <x:v>岗位名称/描述出现“通信”，工作环节更贴近“销售”，因此关联到该节点。</x:v>
      </x:c>
      <x:c r="P202" s="26" t="str">
        <x:v>自动通过</x:v>
      </x:c>
    </x:row>
    <x:row r="203" ht="44" customHeight="1">
      <x:c r="A203" s="27" t="str">
        <x:v>REL000200</x:v>
      </x:c>
      <x:c r="B203" s="25" t="n">
        <x:v>11205</x:v>
      </x:c>
      <x:c r="C203" s="27" t="str">
        <x:v>IC-L3-462</x:v>
      </x:c>
      <x:c r="D203" s="25" t="str">
        <x:v>房地产项目招投标</x:v>
      </x:c>
      <x:c r="E203" s="27" t="str">
        <x:v>3-01-02-02</x:v>
      </x:c>
      <x:c r="F203" s="25" t="str">
        <x:v>秘书</x:v>
      </x:c>
      <x:c r="G203" s="27" t="str">
        <x:v>IC03</x:v>
      </x:c>
      <x:c r="H203" s="25" t="str">
        <x:v>基础设施与城市建设产业链</x:v>
      </x:c>
      <x:c r="I203" s="25" t="str">
        <x:v>中游</x:v>
      </x:c>
      <x:c r="J203" s="27" t="str">
        <x:v>ICN008</x:v>
      </x:c>
      <x:c r="K203" s="25" t="str">
        <x:v>基础设施建设与房地产开发</x:v>
      </x:c>
      <x:c r="L203" s="28" t="n">
        <x:v>67</x:v>
      </x:c>
      <x:c r="M203" s="25" t="str">
        <x:v>低</x:v>
      </x:c>
      <x:c r="N203" s="26" t="str">
        <x:v>房地产、项目管理</x:v>
      </x:c>
      <x:c r="O203" s="26" t="str">
        <x:v>岗位名称/描述出现“房地产”，工作环节更贴近“项目管理”，因此关联到该节点。</x:v>
      </x:c>
      <x:c r="P203" s="26" t="str">
        <x:v>建议复核</x:v>
      </x:c>
    </x:row>
    <x:row r="204" ht="44" customHeight="1">
      <x:c r="A204" s="27" t="str">
        <x:v>REL000201</x:v>
      </x:c>
      <x:c r="B204" s="25" t="n">
        <x:v>11218</x:v>
      </x:c>
      <x:c r="C204" s="27" t="str">
        <x:v>IC-L3-475</x:v>
      </x:c>
      <x:c r="D204" s="25" t="str">
        <x:v>医疗器械销售经理/主管</x:v>
      </x:c>
      <x:c r="E204" s="27" t="str">
        <x:v>4-01-02-01</x:v>
      </x:c>
      <x:c r="F204" s="25" t="str">
        <x:v>营销员</x:v>
      </x:c>
      <x:c r="G204" s="27" t="str">
        <x:v>IC04</x:v>
      </x:c>
      <x:c r="H204" s="25" t="str">
        <x:v>医药生物与医疗健康产业链</x:v>
      </x:c>
      <x:c r="I204" s="25" t="str">
        <x:v>中游</x:v>
      </x:c>
      <x:c r="J204" s="27" t="str">
        <x:v>ICN011</x:v>
      </x:c>
      <x:c r="K204" s="25" t="str">
        <x:v>药械生产、医疗装备与数字平台</x:v>
      </x:c>
      <x:c r="L204" s="28" t="n">
        <x:v>88</x:v>
      </x:c>
      <x:c r="M204" s="25" t="str">
        <x:v>高</x:v>
      </x:c>
      <x:c r="N204" s="26" t="str">
        <x:v>医疗、医疗器械、生产</x:v>
      </x:c>
      <x:c r="O204" s="26" t="str">
        <x:v>岗位名称/描述出现“医疗、医疗器械”，工作环节更贴近“医疗器械、生产”，因此关联到该节点。</x:v>
      </x:c>
      <x:c r="P204" s="26" t="str">
        <x:v>自动通过</x:v>
      </x:c>
    </x:row>
    <x:row r="205" ht="44" customHeight="1">
      <x:c r="A205" s="27" t="str">
        <x:v>REL000202</x:v>
      </x:c>
      <x:c r="B205" s="25" t="n">
        <x:v>11219</x:v>
      </x:c>
      <x:c r="C205" s="27" t="str">
        <x:v>IC-L3-476</x:v>
      </x:c>
      <x:c r="D205" s="25" t="str">
        <x:v>医药销售经理/主管</x:v>
      </x:c>
      <x:c r="E205" s="27" t="str">
        <x:v>2-06-07-07</x:v>
      </x:c>
      <x:c r="F205" s="25" t="str">
        <x:v>医药代表</x:v>
      </x:c>
      <x:c r="G205" s="27" t="str">
        <x:v>IC04</x:v>
      </x:c>
      <x:c r="H205" s="25" t="str">
        <x:v>医药生物与医疗健康产业链</x:v>
      </x:c>
      <x:c r="I205" s="25" t="str">
        <x:v>下游</x:v>
      </x:c>
      <x:c r="J205" s="27" t="str">
        <x:v>ICN012</x:v>
      </x:c>
      <x:c r="K205" s="25" t="str">
        <x:v>医疗服务、临床应用与健康管理</x:v>
      </x:c>
      <x:c r="L205" s="28" t="n">
        <x:v>72</x:v>
      </x:c>
      <x:c r="M205" s="25" t="str">
        <x:v>中</x:v>
      </x:c>
      <x:c r="N205" s="26" t="str">
        <x:v>医药、医疗、医药代表</x:v>
      </x:c>
      <x:c r="O205" s="26" t="str">
        <x:v>岗位名称/描述出现“医药、医疗”，工作环节更贴近“医药代表”，因此关联到该节点。</x:v>
      </x:c>
      <x:c r="P205" s="26" t="str">
        <x:v>自动通过</x:v>
      </x:c>
    </x:row>
    <x:row r="206" ht="44" customHeight="1">
      <x:c r="A206" s="27" t="str">
        <x:v>REL000203</x:v>
      </x:c>
      <x:c r="B206" s="25" t="n">
        <x:v>11223</x:v>
      </x:c>
      <x:c r="C206" s="27" t="str">
        <x:v>IC-L3-480</x:v>
      </x:c>
      <x:c r="D206" s="25" t="str">
        <x:v>房地产销售经理/主管</x:v>
      </x:c>
      <x:c r="E206" s="27" t="str">
        <x:v>4-01-02-01</x:v>
      </x:c>
      <x:c r="F206" s="25" t="str">
        <x:v>营销员</x:v>
      </x:c>
      <x:c r="G206" s="27" t="str">
        <x:v>IC03</x:v>
      </x:c>
      <x:c r="H206" s="25" t="str">
        <x:v>基础设施与城市建设产业链</x:v>
      </x:c>
      <x:c r="I206" s="25" t="str">
        <x:v>下游</x:v>
      </x:c>
      <x:c r="J206" s="27" t="str">
        <x:v>ICN009</x:v>
      </x:c>
      <x:c r="K206" s="25" t="str">
        <x:v>城市运营、公用事业与物业服务</x:v>
      </x:c>
      <x:c r="L206" s="28" t="n">
        <x:v>72</x:v>
      </x:c>
      <x:c r="M206" s="25" t="str">
        <x:v>中</x:v>
      </x:c>
      <x:c r="N206" s="26" t="str">
        <x:v>房地产、销售、客服</x:v>
      </x:c>
      <x:c r="O206" s="26" t="str">
        <x:v>岗位名称/描述出现“房地产”，工作环节更贴近“销售、客服”，因此关联到该节点。</x:v>
      </x:c>
      <x:c r="P206" s="26" t="str">
        <x:v>自动通过</x:v>
      </x:c>
    </x:row>
    <x:row r="207" ht="44" customHeight="1">
      <x:c r="A207" s="27" t="str">
        <x:v>REL000204</x:v>
      </x:c>
      <x:c r="B207" s="25" t="n">
        <x:v>11233</x:v>
      </x:c>
      <x:c r="C207" s="27" t="str">
        <x:v>IC-L3-490</x:v>
      </x:c>
      <x:c r="D207" s="25" t="str">
        <x:v>情报信息分析人员</x:v>
      </x:c>
      <x:c r="E207" s="27" t="str">
        <x:v>2-06-07-01</x:v>
      </x:c>
      <x:c r="F207" s="25" t="str">
        <x:v>国际商务专业人员</x:v>
      </x:c>
      <x:c r="G207" s="27" t="str">
        <x:v>IC01</x:v>
      </x:c>
      <x:c r="H207" s="25" t="str">
        <x:v>数据要素与数字经济产业链</x:v>
      </x:c>
      <x:c r="I207" s="25" t="str">
        <x:v>中游</x:v>
      </x:c>
      <x:c r="J207" s="27" t="str">
        <x:v>ICN002</x:v>
      </x:c>
      <x:c r="K207" s="25" t="str">
        <x:v>数据治理、流通与服务</x:v>
      </x:c>
      <x:c r="L207" s="28" t="n">
        <x:v>57</x:v>
      </x:c>
      <x:c r="M207" s="25" t="str">
        <x:v>低</x:v>
      </x:c>
      <x:c r="N207" s="26" t="str">
        <x:v>大数据、数据科学、数据分析</x:v>
      </x:c>
      <x:c r="O207" s="26" t="str">
        <x:v>岗位名称/描述出现“大数据、数据科学、数据分析”，工作环节更贴近“数据分析”，因此关联到该节点。</x:v>
      </x:c>
      <x:c r="P207" s="26" t="str">
        <x:v>建议复核</x:v>
      </x:c>
    </x:row>
    <x:row r="208" ht="44" customHeight="1">
      <x:c r="A208" s="27" t="str">
        <x:v>REL000205</x:v>
      </x:c>
      <x:c r="B208" s="25" t="n">
        <x:v>11277</x:v>
      </x:c>
      <x:c r="C208" s="27" t="str">
        <x:v>IC-L3-534</x:v>
      </x:c>
      <x:c r="D208" s="25" t="str">
        <x:v>SEO/SEM市场/营销</x:v>
      </x:c>
      <x:c r="E208" s="27" t="str">
        <x:v>4-01-02-01</x:v>
      </x:c>
      <x:c r="F208" s="25" t="str">
        <x:v>营销员</x:v>
      </x:c>
      <x:c r="G208" s="27" t="str">
        <x:v>IC01</x:v>
      </x:c>
      <x:c r="H208" s="25" t="str">
        <x:v>数据要素与数字经济产业链</x:v>
      </x:c>
      <x:c r="I208" s="25" t="str">
        <x:v>下游</x:v>
      </x:c>
      <x:c r="J208" s="27" t="str">
        <x:v>ICN003</x:v>
      </x:c>
      <x:c r="K208" s="25" t="str">
        <x:v>数字经济场景应用与内容创意</x:v>
      </x:c>
      <x:c r="L208" s="28" t="n">
        <x:v>98</x:v>
      </x:c>
      <x:c r="M208" s="25" t="str">
        <x:v>高</x:v>
      </x:c>
      <x:c r="N208" s="26" t="str">
        <x:v>seo、sem、广告、文案、品牌</x:v>
      </x:c>
      <x:c r="O208" s="26" t="str">
        <x:v>岗位名称/描述出现“seo、sem、广告、文案”，工作环节更贴近“seo、sem、广告、品牌、文案”，因此关联到该节点。</x:v>
      </x:c>
      <x:c r="P208" s="26" t="str">
        <x:v>自动通过</x:v>
      </x:c>
    </x:row>
    <x:row r="209" ht="44" customHeight="1">
      <x:c r="A209" s="27" t="str">
        <x:v>REL000206</x:v>
      </x:c>
      <x:c r="B209" s="25" t="n">
        <x:v>11278</x:v>
      </x:c>
      <x:c r="C209" s="27" t="str">
        <x:v>IC-L3-535</x:v>
      </x:c>
      <x:c r="D209" s="25" t="str">
        <x:v>互联网营销师</x:v>
      </x:c>
      <x:c r="E209" s="27" t="str">
        <x:v>2-02-10-03</x:v>
      </x:c>
      <x:c r="F209" s="25" t="str">
        <x:v>计算机软件工程技术人员</x:v>
      </x:c>
      <x:c r="G209" s="27" t="str">
        <x:v>IC01</x:v>
      </x:c>
      <x:c r="H209" s="25" t="str">
        <x:v>数据要素与数字经济产业链</x:v>
      </x:c>
      <x:c r="I209" s="25" t="str">
        <x:v>下游</x:v>
      </x:c>
      <x:c r="J209" s="27" t="str">
        <x:v>ICN003</x:v>
      </x:c>
      <x:c r="K209" s="25" t="str">
        <x:v>数字经济场景应用与内容创意</x:v>
      </x:c>
      <x:c r="L209" s="28" t="n">
        <x:v>58</x:v>
      </x:c>
      <x:c r="M209" s="25" t="str">
        <x:v>低</x:v>
      </x:c>
      <x:c r="N209" s="26" t="str">
        <x:v>数据分析、广告、seo、增长、品牌</x:v>
      </x:c>
      <x:c r="O209" s="26" t="str">
        <x:v>岗位名称/描述出现“数据分析、广告、seo”，工作环节更贴近“增长、广告、品牌、seo”，因此关联到该节点。</x:v>
      </x:c>
      <x:c r="P209" s="26" t="str">
        <x:v>建议复核</x:v>
      </x:c>
    </x:row>
    <x:row r="210" ht="44" customHeight="1">
      <x:c r="A210" s="27" t="str">
        <x:v>REL000207</x:v>
      </x:c>
      <x:c r="B210" s="25" t="n">
        <x:v>11294</x:v>
      </x:c>
      <x:c r="C210" s="27" t="str">
        <x:v>IC-L3-551</x:v>
      </x:c>
      <x:c r="D210" s="25" t="str">
        <x:v>美术指导</x:v>
      </x:c>
      <x:c r="E210" s="27" t="str">
        <x:v>4-01-02-01</x:v>
      </x:c>
      <x:c r="F210" s="25" t="str">
        <x:v>营销员</x:v>
      </x:c>
      <x:c r="G210" s="27" t="str">
        <x:v>IC01</x:v>
      </x:c>
      <x:c r="H210" s="25" t="str">
        <x:v>数据要素与数字经济产业链</x:v>
      </x:c>
      <x:c r="I210" s="25" t="str">
        <x:v>中游</x:v>
      </x:c>
      <x:c r="J210" s="27" t="str">
        <x:v>ICN002</x:v>
      </x:c>
      <x:c r="K210" s="25" t="str">
        <x:v>数据治理、流通与服务</x:v>
      </x:c>
      <x:c r="L210" s="28" t="n">
        <x:v>68</x:v>
      </x:c>
      <x:c r="M210" s="25" t="str">
        <x:v>中</x:v>
      </x:c>
      <x:c r="N210" s="26" t="str">
        <x:v>美术、视觉设计</x:v>
      </x:c>
      <x:c r="O210" s="26" t="str">
        <x:v>岗位名称/描述出现“美术、视觉设计”，工作环节更贴近“中游”，因此关联到该节点。</x:v>
      </x:c>
      <x:c r="P210" s="26" t="str">
        <x:v>自动通过</x:v>
      </x:c>
    </x:row>
    <x:row r="211" ht="44" customHeight="1">
      <x:c r="A211" s="27" t="str">
        <x:v>REL000208</x:v>
      </x:c>
      <x:c r="B211" s="25" t="n">
        <x:v>11299</x:v>
      </x:c>
      <x:c r="C211" s="27" t="str">
        <x:v>IC-L3-556</x:v>
      </x:c>
      <x:c r="D211" s="25" t="str">
        <x:v>广告创意/设计专员</x:v>
      </x:c>
      <x:c r="E211" s="27" t="str">
        <x:v>2-09-06-01</x:v>
      </x:c>
      <x:c r="F211" s="25" t="str">
        <x:v>视觉传达设计人员</x:v>
      </x:c>
      <x:c r="G211" s="27" t="str">
        <x:v>IC01</x:v>
      </x:c>
      <x:c r="H211" s="25" t="str">
        <x:v>数据要素与数字经济产业链</x:v>
      </x:c>
      <x:c r="I211" s="25" t="str">
        <x:v>下游</x:v>
      </x:c>
      <x:c r="J211" s="27" t="str">
        <x:v>ICN003</x:v>
      </x:c>
      <x:c r="K211" s="25" t="str">
        <x:v>数字经济场景应用与内容创意</x:v>
      </x:c>
      <x:c r="L211" s="28" t="n">
        <x:v>73</x:v>
      </x:c>
      <x:c r="M211" s="25" t="str">
        <x:v>中</x:v>
      </x:c>
      <x:c r="N211" s="26" t="str">
        <x:v>广告、视觉、品牌</x:v>
      </x:c>
      <x:c r="O211" s="26" t="str">
        <x:v>岗位名称/描述出现“广告”，工作环节更贴近“广告、视觉、品牌”，因此关联到该节点。</x:v>
      </x:c>
      <x:c r="P211" s="26" t="str">
        <x:v>自动通过</x:v>
      </x:c>
    </x:row>
    <x:row r="212" ht="44" customHeight="1">
      <x:c r="A212" s="27" t="str">
        <x:v>REL000209</x:v>
      </x:c>
      <x:c r="B212" s="25" t="n">
        <x:v>11300</x:v>
      </x:c>
      <x:c r="C212" s="27" t="str">
        <x:v>IC-L3-557</x:v>
      </x:c>
      <x:c r="D212" s="25" t="str">
        <x:v>广告创意/设计主管</x:v>
      </x:c>
      <x:c r="E212" s="27" t="str">
        <x:v>2-09-06-01</x:v>
      </x:c>
      <x:c r="F212" s="25" t="str">
        <x:v>视觉传达设计人员</x:v>
      </x:c>
      <x:c r="G212" s="27" t="str">
        <x:v>IC01</x:v>
      </x:c>
      <x:c r="H212" s="25" t="str">
        <x:v>数据要素与数字经济产业链</x:v>
      </x:c>
      <x:c r="I212" s="25" t="str">
        <x:v>下游</x:v>
      </x:c>
      <x:c r="J212" s="27" t="str">
        <x:v>ICN003</x:v>
      </x:c>
      <x:c r="K212" s="25" t="str">
        <x:v>数字经济场景应用与内容创意</x:v>
      </x:c>
      <x:c r="L212" s="28" t="n">
        <x:v>76</x:v>
      </x:c>
      <x:c r="M212" s="25" t="str">
        <x:v>中</x:v>
      </x:c>
      <x:c r="N212" s="26" t="str">
        <x:v>广告、平面设计、视觉、品牌、平面、视频</x:v>
      </x:c>
      <x:c r="O212" s="26" t="str">
        <x:v>岗位名称/描述出现“广告、平面设计”，工作环节更贴近“广告、视觉、品牌、平面、视频”，因此关联到该节点。</x:v>
      </x:c>
      <x:c r="P212" s="26" t="str">
        <x:v>自动通过</x:v>
      </x:c>
    </x:row>
    <x:row r="213" ht="44" customHeight="1">
      <x:c r="A213" s="27" t="str">
        <x:v>REL000210</x:v>
      </x:c>
      <x:c r="B213" s="25" t="n">
        <x:v>11301</x:v>
      </x:c>
      <x:c r="C213" s="27" t="str">
        <x:v>IC-L3-558</x:v>
      </x:c>
      <x:c r="D213" s="25" t="str">
        <x:v>广告创意/设计经理</x:v>
      </x:c>
      <x:c r="E213" s="27" t="str">
        <x:v>2-09-06-01</x:v>
      </x:c>
      <x:c r="F213" s="25" t="str">
        <x:v>视觉传达设计人员</x:v>
      </x:c>
      <x:c r="G213" s="27" t="str">
        <x:v>IC01</x:v>
      </x:c>
      <x:c r="H213" s="25" t="str">
        <x:v>数据要素与数字经济产业链</x:v>
      </x:c>
      <x:c r="I213" s="25" t="str">
        <x:v>下游</x:v>
      </x:c>
      <x:c r="J213" s="27" t="str">
        <x:v>ICN003</x:v>
      </x:c>
      <x:c r="K213" s="25" t="str">
        <x:v>数字经济场景应用与内容创意</x:v>
      </x:c>
      <x:c r="L213" s="28" t="n">
        <x:v>75</x:v>
      </x:c>
      <x:c r="M213" s="25" t="str">
        <x:v>中</x:v>
      </x:c>
      <x:c r="N213" s="26" t="str">
        <x:v>广告、视觉、增长、品牌、平面</x:v>
      </x:c>
      <x:c r="O213" s="26" t="str">
        <x:v>岗位名称/描述出现“广告”，工作环节更贴近“广告、视觉、增长、品牌、平面”，因此关联到该节点。</x:v>
      </x:c>
      <x:c r="P213" s="26" t="str">
        <x:v>自动通过</x:v>
      </x:c>
    </x:row>
    <x:row r="214" ht="44" customHeight="1">
      <x:c r="A214" s="27" t="str">
        <x:v>REL000211</x:v>
      </x:c>
      <x:c r="B214" s="25" t="n">
        <x:v>11302</x:v>
      </x:c>
      <x:c r="C214" s="27" t="str">
        <x:v>IC-L3-559</x:v>
      </x:c>
      <x:c r="D214" s="25" t="str">
        <x:v>广告创意总监</x:v>
      </x:c>
      <x:c r="E214" s="27" t="str">
        <x:v>2-09-06-01</x:v>
      </x:c>
      <x:c r="F214" s="25" t="str">
        <x:v>视觉传达设计人员</x:v>
      </x:c>
      <x:c r="G214" s="27" t="str">
        <x:v>IC01</x:v>
      </x:c>
      <x:c r="H214" s="25" t="str">
        <x:v>数据要素与数字经济产业链</x:v>
      </x:c>
      <x:c r="I214" s="25" t="str">
        <x:v>下游</x:v>
      </x:c>
      <x:c r="J214" s="27" t="str">
        <x:v>ICN003</x:v>
      </x:c>
      <x:c r="K214" s="25" t="str">
        <x:v>数字经济场景应用与内容创意</x:v>
      </x:c>
      <x:c r="L214" s="28" t="n">
        <x:v>76</x:v>
      </x:c>
      <x:c r="M214" s="25" t="str">
        <x:v>中</x:v>
      </x:c>
      <x:c r="N214" s="26" t="str">
        <x:v>广告、文案、视觉、品牌</x:v>
      </x:c>
      <x:c r="O214" s="26" t="str">
        <x:v>岗位名称/描述出现“广告、文案”，工作环节更贴近“广告、视觉、品牌、文案”，因此关联到该节点。</x:v>
      </x:c>
      <x:c r="P214" s="26" t="str">
        <x:v>自动通过</x:v>
      </x:c>
    </x:row>
    <x:row r="215" ht="44" customHeight="1">
      <x:c r="A215" s="27" t="str">
        <x:v>REL000212</x:v>
      </x:c>
      <x:c r="B215" s="25" t="n">
        <x:v>11303</x:v>
      </x:c>
      <x:c r="C215" s="27" t="str">
        <x:v>IC-L3-560</x:v>
      </x:c>
      <x:c r="D215" s="25" t="str">
        <x:v>广告制作执行</x:v>
      </x:c>
      <x:c r="E215" s="27" t="str">
        <x:v>2-09-06-01</x:v>
      </x:c>
      <x:c r="F215" s="25" t="str">
        <x:v>视觉传达设计人员</x:v>
      </x:c>
      <x:c r="G215" s="27" t="str">
        <x:v>IC01</x:v>
      </x:c>
      <x:c r="H215" s="25" t="str">
        <x:v>数据要素与数字经济产业链</x:v>
      </x:c>
      <x:c r="I215" s="25" t="str">
        <x:v>下游</x:v>
      </x:c>
      <x:c r="J215" s="27" t="str">
        <x:v>ICN003</x:v>
      </x:c>
      <x:c r="K215" s="25" t="str">
        <x:v>数字经济场景应用与内容创意</x:v>
      </x:c>
      <x:c r="L215" s="28" t="n">
        <x:v>73</x:v>
      </x:c>
      <x:c r="M215" s="25" t="str">
        <x:v>中</x:v>
      </x:c>
      <x:c r="N215" s="26" t="str">
        <x:v>广告、视觉、增长、品牌</x:v>
      </x:c>
      <x:c r="O215" s="26" t="str">
        <x:v>岗位名称/描述出现“广告”，工作环节更贴近“广告、视觉、增长、品牌”，因此关联到该节点。</x:v>
      </x:c>
      <x:c r="P215" s="26" t="str">
        <x:v>自动通过</x:v>
      </x:c>
    </x:row>
    <x:row r="216" ht="44" customHeight="1">
      <x:c r="A216" s="27" t="str">
        <x:v>REL000213</x:v>
      </x:c>
      <x:c r="B216" s="25" t="n">
        <x:v>11304</x:v>
      </x:c>
      <x:c r="C216" s="27" t="str">
        <x:v>IC-L3-561</x:v>
      </x:c>
      <x:c r="D216" s="25" t="str">
        <x:v>广告客户专员</x:v>
      </x:c>
      <x:c r="E216" s="27" t="str">
        <x:v>2-09-06-01</x:v>
      </x:c>
      <x:c r="F216" s="25" t="str">
        <x:v>视觉传达设计人员</x:v>
      </x:c>
      <x:c r="G216" s="27" t="str">
        <x:v>IC01</x:v>
      </x:c>
      <x:c r="H216" s="25" t="str">
        <x:v>数据要素与数字经济产业链</x:v>
      </x:c>
      <x:c r="I216" s="25" t="str">
        <x:v>下游</x:v>
      </x:c>
      <x:c r="J216" s="27" t="str">
        <x:v>ICN003</x:v>
      </x:c>
      <x:c r="K216" s="25" t="str">
        <x:v>数字经济场景应用与内容创意</x:v>
      </x:c>
      <x:c r="L216" s="28" t="n">
        <x:v>78</x:v>
      </x:c>
      <x:c r="M216" s="25" t="str">
        <x:v>中</x:v>
      </x:c>
      <x:c r="N216" s="26" t="str">
        <x:v>广告、数据分析、文案、视觉、增长、品牌</x:v>
      </x:c>
      <x:c r="O216" s="26" t="str">
        <x:v>岗位名称/描述出现“广告、数据分析、文案”，工作环节更贴近“广告、视觉、增长、品牌、文案”，因此关联到该节点。</x:v>
      </x:c>
      <x:c r="P216" s="26" t="str">
        <x:v>自动通过</x:v>
      </x:c>
    </x:row>
    <x:row r="217" ht="44" customHeight="1">
      <x:c r="A217" s="27" t="str">
        <x:v>REL000214</x:v>
      </x:c>
      <x:c r="B217" s="25" t="n">
        <x:v>11305</x:v>
      </x:c>
      <x:c r="C217" s="27" t="str">
        <x:v>IC-L3-562</x:v>
      </x:c>
      <x:c r="D217" s="25" t="str">
        <x:v>广告客户主管</x:v>
      </x:c>
      <x:c r="E217" s="27" t="str">
        <x:v>2-09-06-01</x:v>
      </x:c>
      <x:c r="F217" s="25" t="str">
        <x:v>视觉传达设计人员</x:v>
      </x:c>
      <x:c r="G217" s="27" t="str">
        <x:v>IC01</x:v>
      </x:c>
      <x:c r="H217" s="25" t="str">
        <x:v>数据要素与数字经济产业链</x:v>
      </x:c>
      <x:c r="I217" s="25" t="str">
        <x:v>下游</x:v>
      </x:c>
      <x:c r="J217" s="27" t="str">
        <x:v>ICN003</x:v>
      </x:c>
      <x:c r="K217" s="25" t="str">
        <x:v>数字经济场景应用与内容创意</x:v>
      </x:c>
      <x:c r="L217" s="28" t="n">
        <x:v>75</x:v>
      </x:c>
      <x:c r="M217" s="25" t="str">
        <x:v>中</x:v>
      </x:c>
      <x:c r="N217" s="26" t="str">
        <x:v>广告、数据分析、视觉、增长、品牌</x:v>
      </x:c>
      <x:c r="O217" s="26" t="str">
        <x:v>岗位名称/描述出现“广告、数据分析”，工作环节更贴近“广告、视觉、增长、品牌”，因此关联到该节点。</x:v>
      </x:c>
      <x:c r="P217" s="26" t="str">
        <x:v>自动通过</x:v>
      </x:c>
    </x:row>
    <x:row r="218" ht="44" customHeight="1">
      <x:c r="A218" s="27" t="str">
        <x:v>REL000215</x:v>
      </x:c>
      <x:c r="B218" s="25" t="n">
        <x:v>11306</x:v>
      </x:c>
      <x:c r="C218" s="27" t="str">
        <x:v>IC-L3-563</x:v>
      </x:c>
      <x:c r="D218" s="25" t="str">
        <x:v>广告客户总监/副总监</x:v>
      </x:c>
      <x:c r="E218" s="27" t="str">
        <x:v>2-09-06-01</x:v>
      </x:c>
      <x:c r="F218" s="25" t="str">
        <x:v>视觉传达设计人员</x:v>
      </x:c>
      <x:c r="G218" s="27" t="str">
        <x:v>IC01</x:v>
      </x:c>
      <x:c r="H218" s="25" t="str">
        <x:v>数据要素与数字经济产业链</x:v>
      </x:c>
      <x:c r="I218" s="25" t="str">
        <x:v>下游</x:v>
      </x:c>
      <x:c r="J218" s="27" t="str">
        <x:v>ICN003</x:v>
      </x:c>
      <x:c r="K218" s="25" t="str">
        <x:v>数字经济场景应用与内容创意</x:v>
      </x:c>
      <x:c r="L218" s="28" t="n">
        <x:v>73</x:v>
      </x:c>
      <x:c r="M218" s="25" t="str">
        <x:v>中</x:v>
      </x:c>
      <x:c r="N218" s="26" t="str">
        <x:v>广告、视觉、增长、品牌</x:v>
      </x:c>
      <x:c r="O218" s="26" t="str">
        <x:v>岗位名称/描述出现“广告”，工作环节更贴近“广告、视觉、增长、品牌”，因此关联到该节点。</x:v>
      </x:c>
      <x:c r="P218" s="26" t="str">
        <x:v>自动通过</x:v>
      </x:c>
    </x:row>
    <x:row r="219" ht="44" customHeight="1">
      <x:c r="A219" s="27" t="str">
        <x:v>REL000216</x:v>
      </x:c>
      <x:c r="B219" s="25" t="n">
        <x:v>11307</x:v>
      </x:c>
      <x:c r="C219" s="27" t="str">
        <x:v>IC-L3-564</x:v>
      </x:c>
      <x:c r="D219" s="25" t="str">
        <x:v>广告客户经理</x:v>
      </x:c>
      <x:c r="E219" s="27" t="str">
        <x:v>2-09-06-01</x:v>
      </x:c>
      <x:c r="F219" s="25" t="str">
        <x:v>视觉传达设计人员</x:v>
      </x:c>
      <x:c r="G219" s="27" t="str">
        <x:v>IC01</x:v>
      </x:c>
      <x:c r="H219" s="25" t="str">
        <x:v>数据要素与数字经济产业链</x:v>
      </x:c>
      <x:c r="I219" s="25" t="str">
        <x:v>下游</x:v>
      </x:c>
      <x:c r="J219" s="27" t="str">
        <x:v>ICN003</x:v>
      </x:c>
      <x:c r="K219" s="25" t="str">
        <x:v>数字经济场景应用与内容创意</x:v>
      </x:c>
      <x:c r="L219" s="28" t="n">
        <x:v>73</x:v>
      </x:c>
      <x:c r="M219" s="25" t="str">
        <x:v>中</x:v>
      </x:c>
      <x:c r="N219" s="26" t="str">
        <x:v>广告、视觉、增长、品牌</x:v>
      </x:c>
      <x:c r="O219" s="26" t="str">
        <x:v>岗位名称/描述出现“广告”，工作环节更贴近“广告、视觉、增长、品牌”，因此关联到该节点。</x:v>
      </x:c>
      <x:c r="P219" s="26" t="str">
        <x:v>自动通过</x:v>
      </x:c>
    </x:row>
    <x:row r="220" ht="44" customHeight="1">
      <x:c r="A220" s="27" t="str">
        <x:v>REL000217</x:v>
      </x:c>
      <x:c r="B220" s="25" t="n">
        <x:v>11308</x:v>
      </x:c>
      <x:c r="C220" s="27" t="str">
        <x:v>IC-L3-565</x:v>
      </x:c>
      <x:c r="D220" s="25" t="str">
        <x:v>广告投放经理/主管</x:v>
      </x:c>
      <x:c r="E220" s="27" t="str">
        <x:v>2-09-06-01</x:v>
      </x:c>
      <x:c r="F220" s="25" t="str">
        <x:v>视觉传达设计人员</x:v>
      </x:c>
      <x:c r="G220" s="27" t="str">
        <x:v>IC01</x:v>
      </x:c>
      <x:c r="H220" s="25" t="str">
        <x:v>数据要素与数字经济产业链</x:v>
      </x:c>
      <x:c r="I220" s="25" t="str">
        <x:v>下游</x:v>
      </x:c>
      <x:c r="J220" s="27" t="str">
        <x:v>ICN003</x:v>
      </x:c>
      <x:c r="K220" s="25" t="str">
        <x:v>数字经济场景应用与内容创意</x:v>
      </x:c>
      <x:c r="L220" s="28" t="n">
        <x:v>75</x:v>
      </x:c>
      <x:c r="M220" s="25" t="str">
        <x:v>中</x:v>
      </x:c>
      <x:c r="N220" s="26" t="str">
        <x:v>广告、数据分析、视觉、增长、品牌</x:v>
      </x:c>
      <x:c r="O220" s="26" t="str">
        <x:v>岗位名称/描述出现“广告、数据分析”，工作环节更贴近“广告、视觉、增长、品牌”，因此关联到该节点。</x:v>
      </x:c>
      <x:c r="P220" s="26" t="str">
        <x:v>自动通过</x:v>
      </x:c>
    </x:row>
    <x:row r="221" ht="44" customHeight="1">
      <x:c r="A221" s="27" t="str">
        <x:v>REL000218</x:v>
      </x:c>
      <x:c r="B221" s="25" t="n">
        <x:v>11309</x:v>
      </x:c>
      <x:c r="C221" s="27" t="str">
        <x:v>IC-L3-566</x:v>
      </x:c>
      <x:c r="D221" s="25" t="str">
        <x:v>广告销售</x:v>
      </x:c>
      <x:c r="E221" s="27" t="str">
        <x:v>4-01-02-01</x:v>
      </x:c>
      <x:c r="F221" s="25" t="str">
        <x:v>营销员</x:v>
      </x:c>
      <x:c r="G221" s="27" t="str">
        <x:v>IC01</x:v>
      </x:c>
      <x:c r="H221" s="25" t="str">
        <x:v>数据要素与数字经济产业链</x:v>
      </x:c>
      <x:c r="I221" s="25" t="str">
        <x:v>下游</x:v>
      </x:c>
      <x:c r="J221" s="27" t="str">
        <x:v>ICN003</x:v>
      </x:c>
      <x:c r="K221" s="25" t="str">
        <x:v>数字经济场景应用与内容创意</x:v>
      </x:c>
      <x:c r="L221" s="28" t="n">
        <x:v>73</x:v>
      </x:c>
      <x:c r="M221" s="25" t="str">
        <x:v>中</x:v>
      </x:c>
      <x:c r="N221" s="26" t="str">
        <x:v>广告、增长、品牌</x:v>
      </x:c>
      <x:c r="O221" s="26" t="str">
        <x:v>岗位名称/描述出现“广告”，工作环节更贴近“广告、增长、品牌”，因此关联到该节点。</x:v>
      </x:c>
      <x:c r="P221" s="26" t="str">
        <x:v>自动通过</x:v>
      </x:c>
    </x:row>
    <x:row r="222" ht="44" customHeight="1">
      <x:c r="A222" s="27" t="str">
        <x:v>REL000219</x:v>
      </x:c>
      <x:c r="B222" s="25" t="n">
        <x:v>11310</x:v>
      </x:c>
      <x:c r="C222" s="27" t="str">
        <x:v>IC-L3-567</x:v>
      </x:c>
      <x:c r="D222" s="25" t="str">
        <x:v>文案/策划</x:v>
      </x:c>
      <x:c r="E222" s="27" t="str">
        <x:v>2-06-07-03</x:v>
      </x:c>
      <x:c r="F222" s="25" t="str">
        <x:v>商务策划专业人员</x:v>
      </x:c>
      <x:c r="G222" s="27" t="str">
        <x:v>IC01</x:v>
      </x:c>
      <x:c r="H222" s="25" t="str">
        <x:v>数据要素与数字经济产业链</x:v>
      </x:c>
      <x:c r="I222" s="25" t="str">
        <x:v>下游</x:v>
      </x:c>
      <x:c r="J222" s="27" t="str">
        <x:v>ICN003</x:v>
      </x:c>
      <x:c r="K222" s="25" t="str">
        <x:v>数字经济场景应用与内容创意</x:v>
      </x:c>
      <x:c r="L222" s="28" t="n">
        <x:v>76</x:v>
      </x:c>
      <x:c r="M222" s="25" t="str">
        <x:v>中</x:v>
      </x:c>
      <x:c r="N222" s="26" t="str">
        <x:v>文案、广告、品牌、视觉</x:v>
      </x:c>
      <x:c r="O222" s="26" t="str">
        <x:v>岗位名称/描述出现“文案、广告”，工作环节更贴近“文案、广告、品牌、视觉”，因此关联到该节点。</x:v>
      </x:c>
      <x:c r="P222" s="26" t="str">
        <x:v>自动通过</x:v>
      </x:c>
    </x:row>
    <x:row r="223" ht="44" customHeight="1">
      <x:c r="A223" s="27" t="str">
        <x:v>REL000220</x:v>
      </x:c>
      <x:c r="B223" s="25" t="n">
        <x:v>11311</x:v>
      </x:c>
      <x:c r="C223" s="27" t="str">
        <x:v>IC-L3-568</x:v>
      </x:c>
      <x:c r="D223" s="25" t="str">
        <x:v>美术指导</x:v>
      </x:c>
      <x:c r="E223" s="27" t="str">
        <x:v>2-09-06-01</x:v>
      </x:c>
      <x:c r="F223" s="25" t="str">
        <x:v>视觉传达设计人员</x:v>
      </x:c>
      <x:c r="G223" s="27" t="str">
        <x:v>IC01</x:v>
      </x:c>
      <x:c r="H223" s="25" t="str">
        <x:v>数据要素与数字经济产业链</x:v>
      </x:c>
      <x:c r="I223" s="25" t="str">
        <x:v>下游</x:v>
      </x:c>
      <x:c r="J223" s="27" t="str">
        <x:v>ICN003</x:v>
      </x:c>
      <x:c r="K223" s="25" t="str">
        <x:v>数字经济场景应用与内容创意</x:v>
      </x:c>
      <x:c r="L223" s="28" t="n">
        <x:v>76</x:v>
      </x:c>
      <x:c r="M223" s="25" t="str">
        <x:v>中</x:v>
      </x:c>
      <x:c r="N223" s="26" t="str">
        <x:v>美术、广告、文案、排版、视觉、增长、品牌、平面</x:v>
      </x:c>
      <x:c r="O223" s="26" t="str">
        <x:v>岗位名称/描述出现“美术、广告、文案、排版”，工作环节更贴近“视觉、增长、广告、品牌、平面”，因此关联到该节点。</x:v>
      </x:c>
      <x:c r="P223" s="26" t="str">
        <x:v>自动通过</x:v>
      </x:c>
    </x:row>
    <x:row r="224" ht="44" customHeight="1">
      <x:c r="A224" s="27" t="str">
        <x:v>REL000221</x:v>
      </x:c>
      <x:c r="B224" s="25" t="n">
        <x:v>11315</x:v>
      </x:c>
      <x:c r="C224" s="27" t="str">
        <x:v>IC-L3-572</x:v>
      </x:c>
      <x:c r="D224" s="25" t="str">
        <x:v>木工</x:v>
      </x:c>
      <x:c r="E224" s="27" t="str">
        <x:v>6-29-01-01</x:v>
      </x:c>
      <x:c r="F224" s="25" t="str">
        <x:v>砌筑工</x:v>
      </x:c>
      <x:c r="G224" s="27" t="str">
        <x:v>IC03</x:v>
      </x:c>
      <x:c r="H224" s="25" t="str">
        <x:v>基础设施与城市建设产业链</x:v>
      </x:c>
      <x:c r="I224" s="25" t="str">
        <x:v>中游</x:v>
      </x:c>
      <x:c r="J224" s="27" t="str">
        <x:v>ICN008</x:v>
      </x:c>
      <x:c r="K224" s="25" t="str">
        <x:v>基础设施建设与房地产开发</x:v>
      </x:c>
      <x:c r="L224" s="28" t="n">
        <x:v>60</x:v>
      </x:c>
      <x:c r="M224" s="25" t="str">
        <x:v>低</x:v>
      </x:c>
      <x:c r="N224" s="26" t="str">
        <x:v>建筑、施工、砌筑、安装</x:v>
      </x:c>
      <x:c r="O224" s="26" t="str">
        <x:v>岗位名称/描述出现“建筑、施工”，工作环节更贴近“砌筑、施工、安装”，因此关联到该节点。</x:v>
      </x:c>
      <x:c r="P224" s="26" t="str">
        <x:v>建议复核</x:v>
      </x:c>
    </x:row>
    <x:row r="225" ht="44" customHeight="1">
      <x:c r="A225" s="27" t="str">
        <x:v>REL000222</x:v>
      </x:c>
      <x:c r="B225" s="25" t="n">
        <x:v>11316</x:v>
      </x:c>
      <x:c r="C225" s="27" t="str">
        <x:v>IC-L3-573</x:v>
      </x:c>
      <x:c r="D225" s="25" t="str">
        <x:v>电梯工</x:v>
      </x:c>
      <x:c r="E225" s="27" t="str">
        <x:v>6-29-01-01</x:v>
      </x:c>
      <x:c r="F225" s="25" t="str">
        <x:v>砌筑工</x:v>
      </x:c>
      <x:c r="G225" s="27" t="str">
        <x:v>IC02</x:v>
      </x:c>
      <x:c r="H225" s="25" t="str">
        <x:v>高端装备与智能制造产业链</x:v>
      </x:c>
      <x:c r="I225" s="25" t="str">
        <x:v>中游</x:v>
      </x:c>
      <x:c r="J225" s="27" t="str">
        <x:v>ICN005</x:v>
      </x:c>
      <x:c r="K225" s="25" t="str">
        <x:v>高端装备制造与激光加工</x:v>
      </x:c>
      <x:c r="L225" s="28" t="n">
        <x:v>66</x:v>
      </x:c>
      <x:c r="M225" s="25" t="str">
        <x:v>低</x:v>
      </x:c>
      <x:c r="N225" s="26" t="str">
        <x:v>电梯工</x:v>
      </x:c>
      <x:c r="O225" s="26" t="str">
        <x:v>岗位名称/描述出现“电梯工”，工作环节更贴近“中游”，因此关联到该节点。</x:v>
      </x:c>
      <x:c r="P225" s="26" t="str">
        <x:v>建议复核</x:v>
      </x:c>
    </x:row>
    <x:row r="226" ht="44" customHeight="1">
      <x:c r="A226" s="27" t="str">
        <x:v>REL000223</x:v>
      </x:c>
      <x:c r="B226" s="25" t="n">
        <x:v>11316</x:v>
      </x:c>
      <x:c r="C226" s="27" t="str">
        <x:v>IC-L3-573</x:v>
      </x:c>
      <x:c r="D226" s="25" t="str">
        <x:v>电梯工</x:v>
      </x:c>
      <x:c r="E226" s="27" t="str">
        <x:v>6-29-01-01</x:v>
      </x:c>
      <x:c r="F226" s="25" t="str">
        <x:v>砌筑工</x:v>
      </x:c>
      <x:c r="G226" s="27" t="str">
        <x:v>IC03</x:v>
      </x:c>
      <x:c r="H226" s="25" t="str">
        <x:v>基础设施与城市建设产业链</x:v>
      </x:c>
      <x:c r="I226" s="25" t="str">
        <x:v>中游</x:v>
      </x:c>
      <x:c r="J226" s="27" t="str">
        <x:v>ICN008</x:v>
      </x:c>
      <x:c r="K226" s="25" t="str">
        <x:v>基础设施建设与房地产开发</x:v>
      </x:c>
      <x:c r="L226" s="28" t="n">
        <x:v>62</x:v>
      </x:c>
      <x:c r="M226" s="25" t="str">
        <x:v>低</x:v>
      </x:c>
      <x:c r="N226" s="26" t="str">
        <x:v>建筑、房地产、施工、砌筑、安装</x:v>
      </x:c>
      <x:c r="O226" s="26" t="str">
        <x:v>岗位名称/描述出现“建筑、房地产、施工”，工作环节更贴近“砌筑、施工、安装”，因此关联到该节点。</x:v>
      </x:c>
      <x:c r="P226" s="26" t="str">
        <x:v>建议复核</x:v>
      </x:c>
    </x:row>
    <x:row r="227" ht="44" customHeight="1">
      <x:c r="A227" s="27" t="str">
        <x:v>REL000224</x:v>
      </x:c>
      <x:c r="B227" s="25" t="n">
        <x:v>11317</x:v>
      </x:c>
      <x:c r="C227" s="27" t="str">
        <x:v>IC-L3-574</x:v>
      </x:c>
      <x:c r="D227" s="25" t="str">
        <x:v>施工员</x:v>
      </x:c>
      <x:c r="E227" s="27" t="str">
        <x:v>6-29-01-01</x:v>
      </x:c>
      <x:c r="F227" s="25" t="str">
        <x:v>砌筑工</x:v>
      </x:c>
      <x:c r="G227" s="27" t="str">
        <x:v>IC03</x:v>
      </x:c>
      <x:c r="H227" s="25" t="str">
        <x:v>基础设施与城市建设产业链</x:v>
      </x:c>
      <x:c r="I227" s="25" t="str">
        <x:v>中游</x:v>
      </x:c>
      <x:c r="J227" s="27" t="str">
        <x:v>ICN008</x:v>
      </x:c>
      <x:c r="K227" s="25" t="str">
        <x:v>基础设施建设与房地产开发</x:v>
      </x:c>
      <x:c r="L227" s="28" t="n">
        <x:v>79</x:v>
      </x:c>
      <x:c r="M227" s="25" t="str">
        <x:v>中</x:v>
      </x:c>
      <x:c r="N227" s="26" t="str">
        <x:v>施工、建筑、砌筑</x:v>
      </x:c>
      <x:c r="O227" s="26" t="str">
        <x:v>岗位名称/描述出现“施工、建筑”，工作环节更贴近“施工、砌筑”，因此关联到该节点。</x:v>
      </x:c>
      <x:c r="P227" s="26" t="str">
        <x:v>自动通过</x:v>
      </x:c>
    </x:row>
    <x:row r="228" ht="44" customHeight="1">
      <x:c r="A228" s="27" t="str">
        <x:v>REL000225</x:v>
      </x:c>
      <x:c r="B228" s="25" t="n">
        <x:v>11318</x:v>
      </x:c>
      <x:c r="C228" s="27" t="str">
        <x:v>IC-L3-575</x:v>
      </x:c>
      <x:c r="D228" s="25" t="str">
        <x:v>材料员</x:v>
      </x:c>
      <x:c r="E228" s="27" t="str">
        <x:v>6-29-01-01</x:v>
      </x:c>
      <x:c r="F228" s="25" t="str">
        <x:v>砌筑工</x:v>
      </x:c>
      <x:c r="G228" s="27" t="str">
        <x:v>IC03</x:v>
      </x:c>
      <x:c r="H228" s="25" t="str">
        <x:v>基础设施与城市建设产业链</x:v>
      </x:c>
      <x:c r="I228" s="25" t="str">
        <x:v>中游</x:v>
      </x:c>
      <x:c r="J228" s="27" t="str">
        <x:v>ICN008</x:v>
      </x:c>
      <x:c r="K228" s="25" t="str">
        <x:v>基础设施建设与房地产开发</x:v>
      </x:c>
      <x:c r="L228" s="28" t="n">
        <x:v>59</x:v>
      </x:c>
      <x:c r="M228" s="25" t="str">
        <x:v>低</x:v>
      </x:c>
      <x:c r="N228" s="26" t="str">
        <x:v>建筑、施工、砌筑</x:v>
      </x:c>
      <x:c r="O228" s="26" t="str">
        <x:v>岗位名称/描述出现“建筑、施工”，工作环节更贴近“砌筑、施工”，因此关联到该节点。</x:v>
      </x:c>
      <x:c r="P228" s="26" t="str">
        <x:v>建议复核</x:v>
      </x:c>
    </x:row>
    <x:row r="229" ht="44" customHeight="1">
      <x:c r="A229" s="27" t="str">
        <x:v>REL000226</x:v>
      </x:c>
      <x:c r="B229" s="25" t="n">
        <x:v>11319</x:v>
      </x:c>
      <x:c r="C229" s="27" t="str">
        <x:v>IC-L3-576</x:v>
      </x:c>
      <x:c r="D229" s="25" t="str">
        <x:v>电气工程师</x:v>
      </x:c>
      <x:c r="E229" s="27" t="str">
        <x:v>6-29-01-01</x:v>
      </x:c>
      <x:c r="F229" s="25" t="str">
        <x:v>砌筑工</x:v>
      </x:c>
      <x:c r="G229" s="27" t="str">
        <x:v>IC05</x:v>
      </x:c>
      <x:c r="H229" s="25" t="str">
        <x:v>新能源与电力装备产业链</x:v>
      </x:c>
      <x:c r="I229" s="25" t="str">
        <x:v>中游</x:v>
      </x:c>
      <x:c r="J229" s="27" t="str">
        <x:v>ICN014</x:v>
      </x:c>
      <x:c r="K229" s="25" t="str">
        <x:v>发电、储能与输配电装备</x:v>
      </x:c>
      <x:c r="L229" s="28" t="n">
        <x:v>71</x:v>
      </x:c>
      <x:c r="M229" s="25" t="str">
        <x:v>中</x:v>
      </x:c>
      <x:c r="N229" s="26" t="str">
        <x:v>电气工程、配电、安装、调试</x:v>
      </x:c>
      <x:c r="O229" s="26" t="str">
        <x:v>岗位名称/描述出现“电气工程、配电”，工作环节更贴近“配电、安装、调试”，因此关联到该节点。</x:v>
      </x:c>
      <x:c r="P229" s="26" t="str">
        <x:v>自动通过</x:v>
      </x:c>
    </x:row>
    <x:row r="230" ht="44" customHeight="1">
      <x:c r="A230" s="27" t="str">
        <x:v>REL000227</x:v>
      </x:c>
      <x:c r="B230" s="25" t="n">
        <x:v>11319</x:v>
      </x:c>
      <x:c r="C230" s="27" t="str">
        <x:v>IC-L3-576</x:v>
      </x:c>
      <x:c r="D230" s="25" t="str">
        <x:v>电气工程师</x:v>
      </x:c>
      <x:c r="E230" s="27" t="str">
        <x:v>6-29-01-01</x:v>
      </x:c>
      <x:c r="F230" s="25" t="str">
        <x:v>砌筑工</x:v>
      </x:c>
      <x:c r="G230" s="27" t="str">
        <x:v>IC03</x:v>
      </x:c>
      <x:c r="H230" s="25" t="str">
        <x:v>基础设施与城市建设产业链</x:v>
      </x:c>
      <x:c r="I230" s="25" t="str">
        <x:v>中游</x:v>
      </x:c>
      <x:c r="J230" s="27" t="str">
        <x:v>ICN008</x:v>
      </x:c>
      <x:c r="K230" s="25" t="str">
        <x:v>基础设施建设与房地产开发</x:v>
      </x:c>
      <x:c r="L230" s="28" t="n">
        <x:v>60</x:v>
      </x:c>
      <x:c r="M230" s="25" t="str">
        <x:v>低</x:v>
      </x:c>
      <x:c r="N230" s="26" t="str">
        <x:v>建筑、施工、砌筑、安装</x:v>
      </x:c>
      <x:c r="O230" s="26" t="str">
        <x:v>岗位名称/描述出现“建筑、施工”，工作环节更贴近“砌筑、施工、安装”，因此关联到该节点。</x:v>
      </x:c>
      <x:c r="P230" s="26" t="str">
        <x:v>建议复核</x:v>
      </x:c>
    </x:row>
    <x:row r="231" ht="44" customHeight="1">
      <x:c r="A231" s="27" t="str">
        <x:v>REL000228</x:v>
      </x:c>
      <x:c r="B231" s="25" t="n">
        <x:v>11320</x:v>
      </x:c>
      <x:c r="C231" s="27" t="str">
        <x:v>IC-L3-577</x:v>
      </x:c>
      <x:c r="D231" s="25" t="str">
        <x:v>电力工程师</x:v>
      </x:c>
      <x:c r="E231" s="27" t="str">
        <x:v>6-29-01-01</x:v>
      </x:c>
      <x:c r="F231" s="25" t="str">
        <x:v>砌筑工</x:v>
      </x:c>
      <x:c r="G231" s="27" t="str">
        <x:v>IC05</x:v>
      </x:c>
      <x:c r="H231" s="25" t="str">
        <x:v>新能源与电力装备产业链</x:v>
      </x:c>
      <x:c r="I231" s="25" t="str">
        <x:v>中游</x:v>
      </x:c>
      <x:c r="J231" s="27" t="str">
        <x:v>ICN014</x:v>
      </x:c>
      <x:c r="K231" s="25" t="str">
        <x:v>发电、储能与输配电装备</x:v>
      </x:c>
      <x:c r="L231" s="28" t="n">
        <x:v>68</x:v>
      </x:c>
      <x:c r="M231" s="25" t="str">
        <x:v>中</x:v>
      </x:c>
      <x:c r="N231" s="26" t="str">
        <x:v>电力、安装、调试</x:v>
      </x:c>
      <x:c r="O231" s="26" t="str">
        <x:v>岗位名称/描述出现“电力”，工作环节更贴近“安装、调试”，因此关联到该节点。</x:v>
      </x:c>
      <x:c r="P231" s="26" t="str">
        <x:v>自动通过</x:v>
      </x:c>
    </x:row>
    <x:row r="232" ht="44" customHeight="1">
      <x:c r="A232" s="27" t="str">
        <x:v>REL000229</x:v>
      </x:c>
      <x:c r="B232" s="25" t="n">
        <x:v>11320</x:v>
      </x:c>
      <x:c r="C232" s="27" t="str">
        <x:v>IC-L3-577</x:v>
      </x:c>
      <x:c r="D232" s="25" t="str">
        <x:v>电力工程师</x:v>
      </x:c>
      <x:c r="E232" s="27" t="str">
        <x:v>6-29-01-01</x:v>
      </x:c>
      <x:c r="F232" s="25" t="str">
        <x:v>砌筑工</x:v>
      </x:c>
      <x:c r="G232" s="27" t="str">
        <x:v>IC03</x:v>
      </x:c>
      <x:c r="H232" s="25" t="str">
        <x:v>基础设施与城市建设产业链</x:v>
      </x:c>
      <x:c r="I232" s="25" t="str">
        <x:v>中游</x:v>
      </x:c>
      <x:c r="J232" s="27" t="str">
        <x:v>ICN008</x:v>
      </x:c>
      <x:c r="K232" s="25" t="str">
        <x:v>基础设施建设与房地产开发</x:v>
      </x:c>
      <x:c r="L232" s="28" t="n">
        <x:v>60</x:v>
      </x:c>
      <x:c r="M232" s="25" t="str">
        <x:v>低</x:v>
      </x:c>
      <x:c r="N232" s="26" t="str">
        <x:v>建筑、施工、砌筑、安装</x:v>
      </x:c>
      <x:c r="O232" s="26" t="str">
        <x:v>岗位名称/描述出现“建筑、施工”，工作环节更贴近“砌筑、施工、安装”，因此关联到该节点。</x:v>
      </x:c>
      <x:c r="P232" s="26" t="str">
        <x:v>建议复核</x:v>
      </x:c>
    </x:row>
    <x:row r="233" ht="44" customHeight="1">
      <x:c r="A233" s="27" t="str">
        <x:v>REL000230</x:v>
      </x:c>
      <x:c r="B233" s="25" t="n">
        <x:v>11321</x:v>
      </x:c>
      <x:c r="C233" s="27" t="str">
        <x:v>IC-L3-578</x:v>
      </x:c>
      <x:c r="D233" s="25" t="str">
        <x:v>机电工程师</x:v>
      </x:c>
      <x:c r="E233" s="27" t="str">
        <x:v>6-29-01-01</x:v>
      </x:c>
      <x:c r="F233" s="25" t="str">
        <x:v>砌筑工</x:v>
      </x:c>
      <x:c r="G233" s="27" t="str">
        <x:v>IC02</x:v>
      </x:c>
      <x:c r="H233" s="25" t="str">
        <x:v>高端装备与智能制造产业链</x:v>
      </x:c>
      <x:c r="I233" s="25" t="str">
        <x:v>中游</x:v>
      </x:c>
      <x:c r="J233" s="27" t="str">
        <x:v>ICN005</x:v>
      </x:c>
      <x:c r="K233" s="25" t="str">
        <x:v>高端装备制造与激光加工</x:v>
      </x:c>
      <x:c r="L233" s="28" t="n">
        <x:v>66</x:v>
      </x:c>
      <x:c r="M233" s="25" t="str">
        <x:v>低</x:v>
      </x:c>
      <x:c r="N233" s="26" t="str">
        <x:v>机电</x:v>
      </x:c>
      <x:c r="O233" s="26" t="str">
        <x:v>岗位名称/描述出现“机电”，工作环节更贴近“中游”，因此关联到该节点。</x:v>
      </x:c>
      <x:c r="P233" s="26" t="str">
        <x:v>建议复核</x:v>
      </x:c>
    </x:row>
    <x:row r="234" ht="44" customHeight="1">
      <x:c r="A234" s="27" t="str">
        <x:v>REL000231</x:v>
      </x:c>
      <x:c r="B234" s="25" t="n">
        <x:v>11321</x:v>
      </x:c>
      <x:c r="C234" s="27" t="str">
        <x:v>IC-L3-578</x:v>
      </x:c>
      <x:c r="D234" s="25" t="str">
        <x:v>机电工程师</x:v>
      </x:c>
      <x:c r="E234" s="27" t="str">
        <x:v>6-29-01-01</x:v>
      </x:c>
      <x:c r="F234" s="25" t="str">
        <x:v>砌筑工</x:v>
      </x:c>
      <x:c r="G234" s="27" t="str">
        <x:v>IC03</x:v>
      </x:c>
      <x:c r="H234" s="25" t="str">
        <x:v>基础设施与城市建设产业链</x:v>
      </x:c>
      <x:c r="I234" s="25" t="str">
        <x:v>中游</x:v>
      </x:c>
      <x:c r="J234" s="27" t="str">
        <x:v>ICN008</x:v>
      </x:c>
      <x:c r="K234" s="25" t="str">
        <x:v>基础设施建设与房地产开发</x:v>
      </x:c>
      <x:c r="L234" s="28" t="n">
        <x:v>60</x:v>
      </x:c>
      <x:c r="M234" s="25" t="str">
        <x:v>低</x:v>
      </x:c>
      <x:c r="N234" s="26" t="str">
        <x:v>建筑、施工、砌筑、安装</x:v>
      </x:c>
      <x:c r="O234" s="26" t="str">
        <x:v>岗位名称/描述出现“建筑、施工”，工作环节更贴近“砌筑、施工、安装”，因此关联到该节点。</x:v>
      </x:c>
      <x:c r="P234" s="26" t="str">
        <x:v>建议复核</x:v>
      </x:c>
    </x:row>
    <x:row r="235" ht="44" customHeight="1">
      <x:c r="A235" s="27" t="str">
        <x:v>REL000232</x:v>
      </x:c>
      <x:c r="B235" s="25" t="n">
        <x:v>11323</x:v>
      </x:c>
      <x:c r="C235" s="27" t="str">
        <x:v>IC-L3-580</x:v>
      </x:c>
      <x:c r="D235" s="25" t="str">
        <x:v>公路/桥梁/港口/隧道工程</x:v>
      </x:c>
      <x:c r="E235" s="27" t="str">
        <x:v>2-02-18-01</x:v>
      </x:c>
      <x:c r="F235" s="25" t="str">
        <x:v>建筑和市政设计工程技术人员</x:v>
      </x:c>
      <x:c r="G235" s="27" t="str">
        <x:v>IC03</x:v>
      </x:c>
      <x:c r="H235" s="25" t="str">
        <x:v>基础设施与城市建设产业链</x:v>
      </x:c>
      <x:c r="I235" s="25" t="str">
        <x:v>中游</x:v>
      </x:c>
      <x:c r="J235" s="27" t="str">
        <x:v>ICN008</x:v>
      </x:c>
      <x:c r="K235" s="25" t="str">
        <x:v>基础设施建设与房地产开发</x:v>
      </x:c>
      <x:c r="L235" s="28" t="n">
        <x:v>63</x:v>
      </x:c>
      <x:c r="M235" s="25" t="str">
        <x:v>低</x:v>
      </x:c>
      <x:c r="N235" s="26" t="str">
        <x:v>建筑、市政、房地产、施工、建设、监理</x:v>
      </x:c>
      <x:c r="O235" s="26" t="str">
        <x:v>岗位名称/描述出现“建筑、市政、房地产、施工”，工作环节更贴近“施工、建设、监理”，因此关联到该节点。</x:v>
      </x:c>
      <x:c r="P235" s="26" t="str">
        <x:v>建议复核</x:v>
      </x:c>
    </x:row>
    <x:row r="236" ht="44" customHeight="1">
      <x:c r="A236" s="27" t="str">
        <x:v>REL000233</x:v>
      </x:c>
      <x:c r="B236" s="25" t="n">
        <x:v>11324</x:v>
      </x:c>
      <x:c r="C236" s="27" t="str">
        <x:v>IC-L3-581</x:v>
      </x:c>
      <x:c r="D236" s="25" t="str">
        <x:v>合同管理</x:v>
      </x:c>
      <x:c r="E236" s="27" t="str">
        <x:v>2-02-18-01</x:v>
      </x:c>
      <x:c r="F236" s="25" t="str">
        <x:v>建筑和市政设计工程技术人员</x:v>
      </x:c>
      <x:c r="G236" s="27" t="str">
        <x:v>IC03</x:v>
      </x:c>
      <x:c r="H236" s="25" t="str">
        <x:v>基础设施与城市建设产业链</x:v>
      </x:c>
      <x:c r="I236" s="25" t="str">
        <x:v>中游</x:v>
      </x:c>
      <x:c r="J236" s="27" t="str">
        <x:v>ICN008</x:v>
      </x:c>
      <x:c r="K236" s="25" t="str">
        <x:v>基础设施建设与房地产开发</x:v>
      </x:c>
      <x:c r="L236" s="28" t="n">
        <x:v>61</x:v>
      </x:c>
      <x:c r="M236" s="25" t="str">
        <x:v>低</x:v>
      </x:c>
      <x:c r="N236" s="26" t="str">
        <x:v>建筑、市政、房地产、施工</x:v>
      </x:c>
      <x:c r="O236" s="26" t="str">
        <x:v>岗位名称/描述出现“建筑、市政、房地产、施工”，工作环节更贴近“施工”，因此关联到该节点。</x:v>
      </x:c>
      <x:c r="P236" s="26" t="str">
        <x:v>建议复核</x:v>
      </x:c>
    </x:row>
    <x:row r="237" ht="44" customHeight="1">
      <x:c r="A237" s="27" t="str">
        <x:v>REL000234</x:v>
      </x:c>
      <x:c r="B237" s="25" t="n">
        <x:v>11325</x:v>
      </x:c>
      <x:c r="C237" s="27" t="str">
        <x:v>IC-L3-582</x:v>
      </x:c>
      <x:c r="D237" s="25" t="str">
        <x:v>岩土工程</x:v>
      </x:c>
      <x:c r="E237" s="27" t="str">
        <x:v>2-02-18-01</x:v>
      </x:c>
      <x:c r="F237" s="25" t="str">
        <x:v>建筑和市政设计工程技术人员</x:v>
      </x:c>
      <x:c r="G237" s="27" t="str">
        <x:v>IC03</x:v>
      </x:c>
      <x:c r="H237" s="25" t="str">
        <x:v>基础设施与城市建设产业链</x:v>
      </x:c>
      <x:c r="I237" s="25" t="str">
        <x:v>中游</x:v>
      </x:c>
      <x:c r="J237" s="27" t="str">
        <x:v>ICN008</x:v>
      </x:c>
      <x:c r="K237" s="25" t="str">
        <x:v>基础设施建设与房地产开发</x:v>
      </x:c>
      <x:c r="L237" s="28" t="n">
        <x:v>64</x:v>
      </x:c>
      <x:c r="M237" s="25" t="str">
        <x:v>低</x:v>
      </x:c>
      <x:c r="N237" s="26" t="str">
        <x:v>建筑、市政、房地产、施工、建设、工程项目、项目管理</x:v>
      </x:c>
      <x:c r="O237" s="26" t="str">
        <x:v>岗位名称/描述出现“建筑、市政、房地产、施工”，工作环节更贴近“施工、建设、工程项目、项目管理”，因此关联到该节点。</x:v>
      </x:c>
      <x:c r="P237" s="26" t="str">
        <x:v>建议复核</x:v>
      </x:c>
    </x:row>
    <x:row r="238" ht="44" customHeight="1">
      <x:c r="A238" s="27" t="str">
        <x:v>REL000235</x:v>
      </x:c>
      <x:c r="B238" s="25" t="n">
        <x:v>11326</x:v>
      </x:c>
      <x:c r="C238" s="27" t="str">
        <x:v>IC-L3-583</x:v>
      </x:c>
      <x:c r="D238" s="25" t="str">
        <x:v>工程监理</x:v>
      </x:c>
      <x:c r="E238" s="27" t="str">
        <x:v>2-02-18-01</x:v>
      </x:c>
      <x:c r="F238" s="25" t="str">
        <x:v>建筑和市政设计工程技术人员</x:v>
      </x:c>
      <x:c r="G238" s="27" t="str">
        <x:v>IC03</x:v>
      </x:c>
      <x:c r="H238" s="25" t="str">
        <x:v>基础设施与城市建设产业链</x:v>
      </x:c>
      <x:c r="I238" s="25" t="str">
        <x:v>中游</x:v>
      </x:c>
      <x:c r="J238" s="27" t="str">
        <x:v>ICN008</x:v>
      </x:c>
      <x:c r="K238" s="25" t="str">
        <x:v>基础设施建设与房地产开发</x:v>
      </x:c>
      <x:c r="L238" s="28" t="n">
        <x:v>70</x:v>
      </x:c>
      <x:c r="M238" s="25" t="str">
        <x:v>中</x:v>
      </x:c>
      <x:c r="N238" s="26" t="str">
        <x:v>建筑、市政、房地产、施工、监理、建设、项目管理</x:v>
      </x:c>
      <x:c r="O238" s="26" t="str">
        <x:v>岗位名称/描述出现“建筑、市政、房地产、施工”，工作环节更贴近“监理、施工、建设、项目管理”，因此关联到该节点。</x:v>
      </x:c>
      <x:c r="P238" s="26" t="str">
        <x:v>自动通过</x:v>
      </x:c>
    </x:row>
    <x:row r="239" ht="44" customHeight="1">
      <x:c r="A239" s="27" t="str">
        <x:v>REL000236</x:v>
      </x:c>
      <x:c r="B239" s="25" t="n">
        <x:v>11327</x:v>
      </x:c>
      <x:c r="C239" s="27" t="str">
        <x:v>IC-L3-584</x:v>
      </x:c>
      <x:c r="D239" s="25" t="str">
        <x:v>工程造价/预结算</x:v>
      </x:c>
      <x:c r="E239" s="27" t="str">
        <x:v>2-02-18-01</x:v>
      </x:c>
      <x:c r="F239" s="25" t="str">
        <x:v>建筑和市政设计工程技术人员</x:v>
      </x:c>
      <x:c r="G239" s="27" t="str">
        <x:v>IC03</x:v>
      </x:c>
      <x:c r="H239" s="25" t="str">
        <x:v>基础设施与城市建设产业链</x:v>
      </x:c>
      <x:c r="I239" s="25" t="str">
        <x:v>上游</x:v>
      </x:c>
      <x:c r="J239" s="27" t="str">
        <x:v>ICN007</x:v>
      </x:c>
      <x:c r="K239" s="25" t="str">
        <x:v>规划设计、建材与工程准备</x:v>
      </x:c>
      <x:c r="L239" s="28" t="n">
        <x:v>82</x:v>
      </x:c>
      <x:c r="M239" s="25" t="str">
        <x:v>高</x:v>
      </x:c>
      <x:c r="N239" s="26" t="str">
        <x:v>工程造价、建筑、市政、房地产、施工、造价、设计</x:v>
      </x:c>
      <x:c r="O239" s="26" t="str">
        <x:v>岗位名称/描述出现“工程造价、建筑、市政、房地产、施工”，工作环节更贴近“造价、设计”，因此关联到该节点。</x:v>
      </x:c>
      <x:c r="P239" s="26" t="str">
        <x:v>自动通过</x:v>
      </x:c>
    </x:row>
    <x:row r="240" ht="44" customHeight="1">
      <x:c r="A240" s="27" t="str">
        <x:v>REL000237</x:v>
      </x:c>
      <x:c r="B240" s="25" t="n">
        <x:v>11328</x:v>
      </x:c>
      <x:c r="C240" s="27" t="str">
        <x:v>IC-L3-585</x:v>
      </x:c>
      <x:c r="D240" s="25" t="str">
        <x:v>工长</x:v>
      </x:c>
      <x:c r="E240" s="27" t="str">
        <x:v>2-02-18-01</x:v>
      </x:c>
      <x:c r="F240" s="25" t="str">
        <x:v>建筑和市政设计工程技术人员</x:v>
      </x:c>
      <x:c r="G240" s="27" t="str">
        <x:v>IC03</x:v>
      </x:c>
      <x:c r="H240" s="25" t="str">
        <x:v>基础设施与城市建设产业链</x:v>
      </x:c>
      <x:c r="I240" s="25" t="str">
        <x:v>中游</x:v>
      </x:c>
      <x:c r="J240" s="27" t="str">
        <x:v>ICN008</x:v>
      </x:c>
      <x:c r="K240" s="25" t="str">
        <x:v>基础设施建设与房地产开发</x:v>
      </x:c>
      <x:c r="L240" s="28" t="n">
        <x:v>61</x:v>
      </x:c>
      <x:c r="M240" s="25" t="str">
        <x:v>低</x:v>
      </x:c>
      <x:c r="N240" s="26" t="str">
        <x:v>建筑、市政、施工、工程项目、监理</x:v>
      </x:c>
      <x:c r="O240" s="26" t="str">
        <x:v>岗位名称/描述出现“建筑、市政、施工”，工作环节更贴近“施工、工程项目、监理”，因此关联到该节点。</x:v>
      </x:c>
      <x:c r="P240" s="26" t="str">
        <x:v>建议复核</x:v>
      </x:c>
    </x:row>
    <x:row r="241" ht="44" customHeight="1">
      <x:c r="A241" s="27" t="str">
        <x:v>REL000238</x:v>
      </x:c>
      <x:c r="B241" s="25" t="n">
        <x:v>11329</x:v>
      </x:c>
      <x:c r="C241" s="27" t="str">
        <x:v>IC-L3-586</x:v>
      </x:c>
      <x:c r="D241" s="25" t="str">
        <x:v>市政工程师</x:v>
      </x:c>
      <x:c r="E241" s="27" t="str">
        <x:v>2-02-18-01</x:v>
      </x:c>
      <x:c r="F241" s="25" t="str">
        <x:v>建筑和市政设计工程技术人员</x:v>
      </x:c>
      <x:c r="G241" s="27" t="str">
        <x:v>IC03</x:v>
      </x:c>
      <x:c r="H241" s="25" t="str">
        <x:v>基础设施与城市建设产业链</x:v>
      </x:c>
      <x:c r="I241" s="25" t="str">
        <x:v>中游</x:v>
      </x:c>
      <x:c r="J241" s="27" t="str">
        <x:v>ICN008</x:v>
      </x:c>
      <x:c r="K241" s="25" t="str">
        <x:v>基础设施建设与房地产开发</x:v>
      </x:c>
      <x:c r="L241" s="28" t="n">
        <x:v>79</x:v>
      </x:c>
      <x:c r="M241" s="25" t="str">
        <x:v>中</x:v>
      </x:c>
      <x:c r="N241" s="26" t="str">
        <x:v>市政、建筑、房地产、施工、建设、工程项目</x:v>
      </x:c>
      <x:c r="O241" s="26" t="str">
        <x:v>岗位名称/描述出现“市政、建筑、房地产、施工”，工作环节更贴近“施工、建设、工程项目”，因此关联到该节点。</x:v>
      </x:c>
      <x:c r="P241" s="26" t="str">
        <x:v>自动通过</x:v>
      </x:c>
    </x:row>
    <x:row r="242" ht="44" customHeight="1">
      <x:c r="A242" s="27" t="str">
        <x:v>REL000239</x:v>
      </x:c>
      <x:c r="B242" s="25" t="n">
        <x:v>11330</x:v>
      </x:c>
      <x:c r="C242" s="27" t="str">
        <x:v>IC-L3-587</x:v>
      </x:c>
      <x:c r="D242" s="25" t="str">
        <x:v>建筑工程师</x:v>
      </x:c>
      <x:c r="E242" s="27" t="str">
        <x:v>2-02-18-01</x:v>
      </x:c>
      <x:c r="F242" s="25" t="str">
        <x:v>建筑和市政设计工程技术人员</x:v>
      </x:c>
      <x:c r="G242" s="27" t="str">
        <x:v>IC03</x:v>
      </x:c>
      <x:c r="H242" s="25" t="str">
        <x:v>基础设施与城市建设产业链</x:v>
      </x:c>
      <x:c r="I242" s="25" t="str">
        <x:v>中游</x:v>
      </x:c>
      <x:c r="J242" s="27" t="str">
        <x:v>ICN008</x:v>
      </x:c>
      <x:c r="K242" s="25" t="str">
        <x:v>基础设施建设与房地产开发</x:v>
      </x:c>
      <x:c r="L242" s="28" t="n">
        <x:v>77</x:v>
      </x:c>
      <x:c r="M242" s="25" t="str">
        <x:v>中</x:v>
      </x:c>
      <x:c r="N242" s="26" t="str">
        <x:v>建筑、市政、房地产、施工、建设、监理</x:v>
      </x:c>
      <x:c r="O242" s="26" t="str">
        <x:v>岗位名称/描述出现“建筑、市政、房地产、施工”，工作环节更贴近“施工、建设、监理”，因此关联到该节点。</x:v>
      </x:c>
      <x:c r="P242" s="26" t="str">
        <x:v>自动通过</x:v>
      </x:c>
    </x:row>
    <x:row r="243" ht="44" customHeight="1">
      <x:c r="A243" s="27" t="str">
        <x:v>REL000240</x:v>
      </x:c>
      <x:c r="B243" s="25" t="n">
        <x:v>11331</x:v>
      </x:c>
      <x:c r="C243" s="27" t="str">
        <x:v>IC-L3-588</x:v>
      </x:c>
      <x:c r="D243" s="25" t="str">
        <x:v>建筑工程管理/项目经理</x:v>
      </x:c>
      <x:c r="E243" s="27" t="str">
        <x:v>2-02-18-01</x:v>
      </x:c>
      <x:c r="F243" s="25" t="str">
        <x:v>建筑和市政设计工程技术人员</x:v>
      </x:c>
      <x:c r="G243" s="27" t="str">
        <x:v>IC03</x:v>
      </x:c>
      <x:c r="H243" s="25" t="str">
        <x:v>基础设施与城市建设产业链</x:v>
      </x:c>
      <x:c r="I243" s="25" t="str">
        <x:v>中游</x:v>
      </x:c>
      <x:c r="J243" s="27" t="str">
        <x:v>ICN008</x:v>
      </x:c>
      <x:c r="K243" s="25" t="str">
        <x:v>基础设施建设与房地产开发</x:v>
      </x:c>
      <x:c r="L243" s="28" t="n">
        <x:v>75</x:v>
      </x:c>
      <x:c r="M243" s="25" t="str">
        <x:v>中</x:v>
      </x:c>
      <x:c r="N243" s="26" t="str">
        <x:v>建筑、市政、房地产、施工</x:v>
      </x:c>
      <x:c r="O243" s="26" t="str">
        <x:v>岗位名称/描述出现“建筑、市政、房地产、施工”，工作环节更贴近“施工”，因此关联到该节点。</x:v>
      </x:c>
      <x:c r="P243" s="26" t="str">
        <x:v>自动通过</x:v>
      </x:c>
    </x:row>
    <x:row r="244" ht="44" customHeight="1">
      <x:c r="A244" s="27" t="str">
        <x:v>REL000241</x:v>
      </x:c>
      <x:c r="B244" s="25" t="n">
        <x:v>11332</x:v>
      </x:c>
      <x:c r="C244" s="27" t="str">
        <x:v>IC-L3-589</x:v>
      </x:c>
      <x:c r="D244" s="25" t="str">
        <x:v>建筑工程验收</x:v>
      </x:c>
      <x:c r="E244" s="27" t="str">
        <x:v>2-02-18-01</x:v>
      </x:c>
      <x:c r="F244" s="25" t="str">
        <x:v>建筑和市政设计工程技术人员</x:v>
      </x:c>
      <x:c r="G244" s="27" t="str">
        <x:v>IC03</x:v>
      </x:c>
      <x:c r="H244" s="25" t="str">
        <x:v>基础设施与城市建设产业链</x:v>
      </x:c>
      <x:c r="I244" s="25" t="str">
        <x:v>中游</x:v>
      </x:c>
      <x:c r="J244" s="27" t="str">
        <x:v>ICN008</x:v>
      </x:c>
      <x:c r="K244" s="25" t="str">
        <x:v>基础设施建设与房地产开发</x:v>
      </x:c>
      <x:c r="L244" s="28" t="n">
        <x:v>78</x:v>
      </x:c>
      <x:c r="M244" s="25" t="str">
        <x:v>中</x:v>
      </x:c>
      <x:c r="N244" s="26" t="str">
        <x:v>建筑、市政、房地产、施工、建设、工程项目、项目管理</x:v>
      </x:c>
      <x:c r="O244" s="26" t="str">
        <x:v>岗位名称/描述出现“建筑、市政、房地产、施工”，工作环节更贴近“施工、建设、工程项目、项目管理”，因此关联到该节点。</x:v>
      </x:c>
      <x:c r="P244" s="26" t="str">
        <x:v>自动通过</x:v>
      </x:c>
    </x:row>
    <x:row r="245" ht="44" customHeight="1">
      <x:c r="A245" s="27" t="str">
        <x:v>REL000242</x:v>
      </x:c>
      <x:c r="B245" s="25" t="n">
        <x:v>11333</x:v>
      </x:c>
      <x:c r="C245" s="27" t="str">
        <x:v>IC-L3-590</x:v>
      </x:c>
      <x:c r="D245" s="25" t="str">
        <x:v>建筑机电工程师</x:v>
      </x:c>
      <x:c r="E245" s="27" t="str">
        <x:v>2-02-18-01</x:v>
      </x:c>
      <x:c r="F245" s="25" t="str">
        <x:v>建筑和市政设计工程技术人员</x:v>
      </x:c>
      <x:c r="G245" s="27" t="str">
        <x:v>IC03</x:v>
      </x:c>
      <x:c r="H245" s="25" t="str">
        <x:v>基础设施与城市建设产业链</x:v>
      </x:c>
      <x:c r="I245" s="25" t="str">
        <x:v>中游</x:v>
      </x:c>
      <x:c r="J245" s="27" t="str">
        <x:v>ICN008</x:v>
      </x:c>
      <x:c r="K245" s="25" t="str">
        <x:v>基础设施建设与房地产开发</x:v>
      </x:c>
      <x:c r="L245" s="28" t="n">
        <x:v>81</x:v>
      </x:c>
      <x:c r="M245" s="25" t="str">
        <x:v>中</x:v>
      </x:c>
      <x:c r="N245" s="26" t="str">
        <x:v>建筑、市政、房地产、施工、暖通、安装、项目管理</x:v>
      </x:c>
      <x:c r="O245" s="26" t="str">
        <x:v>岗位名称/描述出现“建筑、市政、房地产、施工、暖通”，工作环节更贴近“施工、安装、项目管理”，因此关联到该节点。</x:v>
      </x:c>
      <x:c r="P245" s="26" t="str">
        <x:v>自动通过</x:v>
      </x:c>
    </x:row>
    <x:row r="246" ht="44" customHeight="1">
      <x:c r="A246" s="27" t="str">
        <x:v>REL000243</x:v>
      </x:c>
      <x:c r="B246" s="25" t="n">
        <x:v>11333</x:v>
      </x:c>
      <x:c r="C246" s="27" t="str">
        <x:v>IC-L3-590</x:v>
      </x:c>
      <x:c r="D246" s="25" t="str">
        <x:v>建筑机电工程师</x:v>
      </x:c>
      <x:c r="E246" s="27" t="str">
        <x:v>2-02-18-01</x:v>
      </x:c>
      <x:c r="F246" s="25" t="str">
        <x:v>建筑和市政设计工程技术人员</x:v>
      </x:c>
      <x:c r="G246" s="27" t="str">
        <x:v>IC02</x:v>
      </x:c>
      <x:c r="H246" s="25" t="str">
        <x:v>高端装备与智能制造产业链</x:v>
      </x:c>
      <x:c r="I246" s="25" t="str">
        <x:v>中游</x:v>
      </x:c>
      <x:c r="J246" s="27" t="str">
        <x:v>ICN005</x:v>
      </x:c>
      <x:c r="K246" s="25" t="str">
        <x:v>高端装备制造与激光加工</x:v>
      </x:c>
      <x:c r="L246" s="28" t="n">
        <x:v>66</x:v>
      </x:c>
      <x:c r="M246" s="25" t="str">
        <x:v>低</x:v>
      </x:c>
      <x:c r="N246" s="26" t="str">
        <x:v>机电</x:v>
      </x:c>
      <x:c r="O246" s="26" t="str">
        <x:v>岗位名称/描述出现“机电”，工作环节更贴近“中游”，因此关联到该节点。</x:v>
      </x:c>
      <x:c r="P246" s="26" t="str">
        <x:v>建议复核</x:v>
      </x:c>
    </x:row>
    <x:row r="247" ht="44" customHeight="1">
      <x:c r="A247" s="27" t="str">
        <x:v>REL000244</x:v>
      </x:c>
      <x:c r="B247" s="25" t="n">
        <x:v>11334</x:v>
      </x:c>
      <x:c r="C247" s="27" t="str">
        <x:v>IC-L3-591</x:v>
      </x:c>
      <x:c r="D247" s="25" t="str">
        <x:v>建筑项目助理</x:v>
      </x:c>
      <x:c r="E247" s="27" t="str">
        <x:v>2-02-18-01</x:v>
      </x:c>
      <x:c r="F247" s="25" t="str">
        <x:v>建筑和市政设计工程技术人员</x:v>
      </x:c>
      <x:c r="G247" s="27" t="str">
        <x:v>IC03</x:v>
      </x:c>
      <x:c r="H247" s="25" t="str">
        <x:v>基础设施与城市建设产业链</x:v>
      </x:c>
      <x:c r="I247" s="25" t="str">
        <x:v>中游</x:v>
      </x:c>
      <x:c r="J247" s="27" t="str">
        <x:v>ICN008</x:v>
      </x:c>
      <x:c r="K247" s="25" t="str">
        <x:v>基础设施建设与房地产开发</x:v>
      </x:c>
      <x:c r="L247" s="28" t="n">
        <x:v>76</x:v>
      </x:c>
      <x:c r="M247" s="25" t="str">
        <x:v>中</x:v>
      </x:c>
      <x:c r="N247" s="26" t="str">
        <x:v>建筑、市政、房地产、施工、项目管理</x:v>
      </x:c>
      <x:c r="O247" s="26" t="str">
        <x:v>岗位名称/描述出现“建筑、市政、房地产、施工”，工作环节更贴近“施工、项目管理”，因此关联到该节点。</x:v>
      </x:c>
      <x:c r="P247" s="26" t="str">
        <x:v>自动通过</x:v>
      </x:c>
    </x:row>
    <x:row r="248" ht="44" customHeight="1">
      <x:c r="A248" s="27" t="str">
        <x:v>REL000245</x:v>
      </x:c>
      <x:c r="B248" s="25" t="n">
        <x:v>11335</x:v>
      </x:c>
      <x:c r="C248" s="27" t="str">
        <x:v>IC-L3-592</x:v>
      </x:c>
      <x:c r="D248" s="25" t="str">
        <x:v>房修工程师</x:v>
      </x:c>
      <x:c r="E248" s="27" t="str">
        <x:v>2-02-18-01</x:v>
      </x:c>
      <x:c r="F248" s="25" t="str">
        <x:v>建筑和市政设计工程技术人员</x:v>
      </x:c>
      <x:c r="G248" s="27" t="str">
        <x:v>IC03</x:v>
      </x:c>
      <x:c r="H248" s="25" t="str">
        <x:v>基础设施与城市建设产业链</x:v>
      </x:c>
      <x:c r="I248" s="25" t="str">
        <x:v>中游</x:v>
      </x:c>
      <x:c r="J248" s="27" t="str">
        <x:v>ICN008</x:v>
      </x:c>
      <x:c r="K248" s="25" t="str">
        <x:v>基础设施建设与房地产开发</x:v>
      </x:c>
      <x:c r="L248" s="28" t="n">
        <x:v>62</x:v>
      </x:c>
      <x:c r="M248" s="25" t="str">
        <x:v>低</x:v>
      </x:c>
      <x:c r="N248" s="26" t="str">
        <x:v>建筑、市政、房地产、施工、项目管理</x:v>
      </x:c>
      <x:c r="O248" s="26" t="str">
        <x:v>岗位名称/描述出现“建筑、市政、房地产、施工”，工作环节更贴近“施工、项目管理”，因此关联到该节点。</x:v>
      </x:c>
      <x:c r="P248" s="26" t="str">
        <x:v>建议复核</x:v>
      </x:c>
    </x:row>
    <x:row r="249" ht="44" customHeight="1">
      <x:c r="A249" s="27" t="str">
        <x:v>REL000246</x:v>
      </x:c>
      <x:c r="B249" s="25" t="n">
        <x:v>11336</x:v>
      </x:c>
      <x:c r="C249" s="27" t="str">
        <x:v>IC-L3-593</x:v>
      </x:c>
      <x:c r="D249" s="25" t="str">
        <x:v>施工员</x:v>
      </x:c>
      <x:c r="E249" s="27" t="str">
        <x:v>2-02-18-01</x:v>
      </x:c>
      <x:c r="F249" s="25" t="str">
        <x:v>建筑和市政设计工程技术人员</x:v>
      </x:c>
      <x:c r="G249" s="27" t="str">
        <x:v>IC03</x:v>
      </x:c>
      <x:c r="H249" s="25" t="str">
        <x:v>基础设施与城市建设产业链</x:v>
      </x:c>
      <x:c r="I249" s="25" t="str">
        <x:v>中游</x:v>
      </x:c>
      <x:c r="J249" s="27" t="str">
        <x:v>ICN008</x:v>
      </x:c>
      <x:c r="K249" s="25" t="str">
        <x:v>基础设施建设与房地产开发</x:v>
      </x:c>
      <x:c r="L249" s="28" t="n">
        <x:v>81</x:v>
      </x:c>
      <x:c r="M249" s="25" t="str">
        <x:v>中</x:v>
      </x:c>
      <x:c r="N249" s="26" t="str">
        <x:v>施工、建筑、市政、监理、项目管理</x:v>
      </x:c>
      <x:c r="O249" s="26" t="str">
        <x:v>岗位名称/描述出现“施工、建筑、市政”，工作环节更贴近“施工、监理、项目管理”，因此关联到该节点。</x:v>
      </x:c>
      <x:c r="P249" s="26" t="str">
        <x:v>自动通过</x:v>
      </x:c>
    </x:row>
    <x:row r="250" ht="44" customHeight="1">
      <x:c r="A250" s="27" t="str">
        <x:v>REL000247</x:v>
      </x:c>
      <x:c r="B250" s="25" t="n">
        <x:v>11337</x:v>
      </x:c>
      <x:c r="C250" s="27" t="str">
        <x:v>IC-L3-594</x:v>
      </x:c>
      <x:c r="D250" s="25" t="str">
        <x:v>智能大厦/综合布线/安防/弱电</x:v>
      </x:c>
      <x:c r="E250" s="27" t="str">
        <x:v>2-02-18-01</x:v>
      </x:c>
      <x:c r="F250" s="25" t="str">
        <x:v>建筑和市政设计工程技术人员</x:v>
      </x:c>
      <x:c r="G250" s="27" t="str">
        <x:v>IC03</x:v>
      </x:c>
      <x:c r="H250" s="25" t="str">
        <x:v>基础设施与城市建设产业链</x:v>
      </x:c>
      <x:c r="I250" s="25" t="str">
        <x:v>中游</x:v>
      </x:c>
      <x:c r="J250" s="27" t="str">
        <x:v>ICN008</x:v>
      </x:c>
      <x:c r="K250" s="25" t="str">
        <x:v>基础设施建设与房地产开发</x:v>
      </x:c>
      <x:c r="L250" s="28" t="n">
        <x:v>66</x:v>
      </x:c>
      <x:c r="M250" s="25" t="str">
        <x:v>低</x:v>
      </x:c>
      <x:c r="N250" s="26" t="str">
        <x:v>建筑、市政、房地产、施工、楼宇、建设、安装、项目管理</x:v>
      </x:c>
      <x:c r="O250" s="26" t="str">
        <x:v>岗位名称/描述出现“建筑、市政、房地产、施工、楼宇”，工作环节更贴近“施工、建设、安装、项目管理”，因此关联到该节点。</x:v>
      </x:c>
      <x:c r="P250" s="26" t="str">
        <x:v>建议复核</x:v>
      </x:c>
    </x:row>
    <x:row r="251" ht="44" customHeight="1">
      <x:c r="A251" s="27" t="str">
        <x:v>REL000248</x:v>
      </x:c>
      <x:c r="B251" s="25" t="n">
        <x:v>11338</x:v>
      </x:c>
      <x:c r="C251" s="27" t="str">
        <x:v>IC-L3-595</x:v>
      </x:c>
      <x:c r="D251" s="25" t="str">
        <x:v>材料员</x:v>
      </x:c>
      <x:c r="E251" s="27" t="str">
        <x:v>2-02-18-01</x:v>
      </x:c>
      <x:c r="F251" s="25" t="str">
        <x:v>建筑和市政设计工程技术人员</x:v>
      </x:c>
      <x:c r="G251" s="27" t="str">
        <x:v>IC03</x:v>
      </x:c>
      <x:c r="H251" s="25" t="str">
        <x:v>基础设施与城市建设产业链</x:v>
      </x:c>
      <x:c r="I251" s="25" t="str">
        <x:v>中游</x:v>
      </x:c>
      <x:c r="J251" s="27" t="str">
        <x:v>ICN008</x:v>
      </x:c>
      <x:c r="K251" s="25" t="str">
        <x:v>基础设施建设与房地产开发</x:v>
      </x:c>
      <x:c r="L251" s="28" t="n">
        <x:v>62</x:v>
      </x:c>
      <x:c r="M251" s="25" t="str">
        <x:v>低</x:v>
      </x:c>
      <x:c r="N251" s="26" t="str">
        <x:v>建筑、市政、房地产、施工、工程项目</x:v>
      </x:c>
      <x:c r="O251" s="26" t="str">
        <x:v>岗位名称/描述出现“建筑、市政、房地产、施工”，工作环节更贴近“施工、工程项目”，因此关联到该节点。</x:v>
      </x:c>
      <x:c r="P251" s="26" t="str">
        <x:v>建议复核</x:v>
      </x:c>
    </x:row>
    <x:row r="252" ht="44" customHeight="1">
      <x:c r="A252" s="27" t="str">
        <x:v>REL000249</x:v>
      </x:c>
      <x:c r="B252" s="25" t="n">
        <x:v>11339</x:v>
      </x:c>
      <x:c r="C252" s="27" t="str">
        <x:v>IC-L3-596</x:v>
      </x:c>
      <x:c r="D252" s="25" t="str">
        <x:v>测绘/测量</x:v>
      </x:c>
      <x:c r="E252" s="27" t="str">
        <x:v>2-02-18-01</x:v>
      </x:c>
      <x:c r="F252" s="25" t="str">
        <x:v>建筑和市政设计工程技术人员</x:v>
      </x:c>
      <x:c r="G252" s="27" t="str">
        <x:v>IC03</x:v>
      </x:c>
      <x:c r="H252" s="25" t="str">
        <x:v>基础设施与城市建设产业链</x:v>
      </x:c>
      <x:c r="I252" s="25" t="str">
        <x:v>上游</x:v>
      </x:c>
      <x:c r="J252" s="27" t="str">
        <x:v>ICN007</x:v>
      </x:c>
      <x:c r="K252" s="25" t="str">
        <x:v>规划设计、建材与工程准备</x:v>
      </x:c>
      <x:c r="L252" s="28" t="n">
        <x:v>74</x:v>
      </x:c>
      <x:c r="M252" s="25" t="str">
        <x:v>中</x:v>
      </x:c>
      <x:c r="N252" s="26" t="str">
        <x:v>建筑、市政、房地产、施工、城市规划、测绘、测量、设计</x:v>
      </x:c>
      <x:c r="O252" s="26" t="str">
        <x:v>岗位名称/描述出现“建筑、市政、房地产、施工、城市规划”，工作环节更贴近“测绘、测量、设计、规划”，因此关联到该节点。</x:v>
      </x:c>
      <x:c r="P252" s="26" t="str">
        <x:v>自动通过</x:v>
      </x:c>
    </x:row>
    <x:row r="253" ht="44" customHeight="1">
      <x:c r="A253" s="27" t="str">
        <x:v>REL000250</x:v>
      </x:c>
      <x:c r="B253" s="25" t="n">
        <x:v>11340</x:v>
      </x:c>
      <x:c r="C253" s="27" t="str">
        <x:v>IC-L3-597</x:v>
      </x:c>
      <x:c r="D253" s="25" t="str">
        <x:v>消防安全</x:v>
      </x:c>
      <x:c r="E253" s="27" t="str">
        <x:v>2-02-18-01</x:v>
      </x:c>
      <x:c r="F253" s="25" t="str">
        <x:v>建筑和市政设计工程技术人员</x:v>
      </x:c>
      <x:c r="G253" s="27" t="str">
        <x:v>IC03</x:v>
      </x:c>
      <x:c r="H253" s="25" t="str">
        <x:v>基础设施与城市建设产业链</x:v>
      </x:c>
      <x:c r="I253" s="25" t="str">
        <x:v>上游</x:v>
      </x:c>
      <x:c r="J253" s="27" t="str">
        <x:v>ICN007</x:v>
      </x:c>
      <x:c r="K253" s="25" t="str">
        <x:v>规划设计、建材与工程准备</x:v>
      </x:c>
      <x:c r="L253" s="28" t="n">
        <x:v>61</x:v>
      </x:c>
      <x:c r="M253" s="25" t="str">
        <x:v>低</x:v>
      </x:c>
      <x:c r="N253" s="26" t="str">
        <x:v>建筑、市政、房地产、施工、设计、规划、咨询</x:v>
      </x:c>
      <x:c r="O253" s="26" t="str">
        <x:v>岗位名称/描述出现“建筑、市政、房地产、施工”，工作环节更贴近“设计、规划、咨询”，因此关联到该节点。</x:v>
      </x:c>
      <x:c r="P253" s="26" t="str">
        <x:v>建议复核</x:v>
      </x:c>
    </x:row>
    <x:row r="254" ht="44" customHeight="1">
      <x:c r="A254" s="27" t="str">
        <x:v>REL000251</x:v>
      </x:c>
      <x:c r="B254" s="25" t="n">
        <x:v>11341</x:v>
      </x:c>
      <x:c r="C254" s="27" t="str">
        <x:v>IC-L3-598</x:v>
      </x:c>
      <x:c r="D254" s="25" t="str">
        <x:v>生产安全员</x:v>
      </x:c>
      <x:c r="E254" s="27" t="str">
        <x:v>2-02-18-01</x:v>
      </x:c>
      <x:c r="F254" s="25" t="str">
        <x:v>建筑和市政设计工程技术人员</x:v>
      </x:c>
      <x:c r="G254" s="27" t="str">
        <x:v>IC03</x:v>
      </x:c>
      <x:c r="H254" s="25" t="str">
        <x:v>基础设施与城市建设产业链</x:v>
      </x:c>
      <x:c r="I254" s="25" t="str">
        <x:v>中游</x:v>
      </x:c>
      <x:c r="J254" s="27" t="str">
        <x:v>ICN008</x:v>
      </x:c>
      <x:c r="K254" s="25" t="str">
        <x:v>基础设施建设与房地产开发</x:v>
      </x:c>
      <x:c r="L254" s="28" t="n">
        <x:v>61</x:v>
      </x:c>
      <x:c r="M254" s="25" t="str">
        <x:v>低</x:v>
      </x:c>
      <x:c r="N254" s="26" t="str">
        <x:v>建筑、市政、房地产、施工</x:v>
      </x:c>
      <x:c r="O254" s="26" t="str">
        <x:v>岗位名称/描述出现“建筑、市政、房地产、施工”，工作环节更贴近“施工”，因此关联到该节点。</x:v>
      </x:c>
      <x:c r="P254" s="26" t="str">
        <x:v>建议复核</x:v>
      </x:c>
    </x:row>
    <x:row r="255" ht="44" customHeight="1">
      <x:c r="A255" s="27" t="str">
        <x:v>REL000252</x:v>
      </x:c>
      <x:c r="B255" s="25" t="n">
        <x:v>11342</x:v>
      </x:c>
      <x:c r="C255" s="27" t="str">
        <x:v>IC-L3-599</x:v>
      </x:c>
      <x:c r="D255" s="25" t="str">
        <x:v>结构/土木/土建工程师</x:v>
      </x:c>
      <x:c r="E255" s="27" t="str">
        <x:v>2-02-18-02</x:v>
      </x:c>
      <x:c r="F255" s="25" t="str">
        <x:v>土木建筑工程技术人员</x:v>
      </x:c>
      <x:c r="G255" s="27" t="str">
        <x:v>IC03</x:v>
      </x:c>
      <x:c r="H255" s="25" t="str">
        <x:v>基础设施与城市建设产业链</x:v>
      </x:c>
      <x:c r="I255" s="25" t="str">
        <x:v>中游</x:v>
      </x:c>
      <x:c r="J255" s="27" t="str">
        <x:v>ICN008</x:v>
      </x:c>
      <x:c r="K255" s="25" t="str">
        <x:v>基础设施建设与房地产开发</x:v>
      </x:c>
      <x:c r="L255" s="28" t="n">
        <x:v>86</x:v>
      </x:c>
      <x:c r="M255" s="25" t="str">
        <x:v>高</x:v>
      </x:c>
      <x:c r="N255" s="26" t="str">
        <x:v>土木、建筑、房地产、施工、土建、工程项目、监理</x:v>
      </x:c>
      <x:c r="O255" s="26" t="str">
        <x:v>岗位名称/描述出现“土木、建筑、房地产、施工”，工作环节更贴近“土建、施工、工程项目、监理”，因此关联到该节点。</x:v>
      </x:c>
      <x:c r="P255" s="26" t="str">
        <x:v>自动通过</x:v>
      </x:c>
    </x:row>
    <x:row r="256" ht="44" customHeight="1">
      <x:c r="A256" s="27" t="str">
        <x:v>REL000253</x:v>
      </x:c>
      <x:c r="B256" s="25" t="n">
        <x:v>11343</x:v>
      </x:c>
      <x:c r="C256" s="27" t="str">
        <x:v>IC-L3-600</x:v>
      </x:c>
      <x:c r="D256" s="25" t="str">
        <x:v>给排水/暖通工程</x:v>
      </x:c>
      <x:c r="E256" s="27" t="str">
        <x:v>2-02-18-01</x:v>
      </x:c>
      <x:c r="F256" s="25" t="str">
        <x:v>建筑和市政设计工程技术人员</x:v>
      </x:c>
      <x:c r="G256" s="27" t="str">
        <x:v>IC03</x:v>
      </x:c>
      <x:c r="H256" s="25" t="str">
        <x:v>基础设施与城市建设产业链</x:v>
      </x:c>
      <x:c r="I256" s="25" t="str">
        <x:v>中游</x:v>
      </x:c>
      <x:c r="J256" s="27" t="str">
        <x:v>ICN008</x:v>
      </x:c>
      <x:c r="K256" s="25" t="str">
        <x:v>基础设施建设与房地产开发</x:v>
      </x:c>
      <x:c r="L256" s="28" t="n">
        <x:v>88</x:v>
      </x:c>
      <x:c r="M256" s="25" t="str">
        <x:v>高</x:v>
      </x:c>
      <x:c r="N256" s="26" t="str">
        <x:v>暖通、给排水、建筑、市政、房地产、施工、安装</x:v>
      </x:c>
      <x:c r="O256" s="26" t="str">
        <x:v>岗位名称/描述出现“暖通、给排水、建筑、市政、房地产”，工作环节更贴近“施工、安装”，因此关联到该节点。</x:v>
      </x:c>
      <x:c r="P256" s="26" t="str">
        <x:v>自动通过</x:v>
      </x:c>
    </x:row>
    <x:row r="257" ht="44" customHeight="1">
      <x:c r="A257" s="27" t="str">
        <x:v>REL000254</x:v>
      </x:c>
      <x:c r="B257" s="25" t="n">
        <x:v>11344</x:v>
      </x:c>
      <x:c r="C257" s="27" t="str">
        <x:v>IC-L3-601</x:v>
      </x:c>
      <x:c r="D257" s="25" t="str">
        <x:v>资料员</x:v>
      </x:c>
      <x:c r="E257" s="27" t="str">
        <x:v>3-01-02-02</x:v>
      </x:c>
      <x:c r="F257" s="25" t="str">
        <x:v>秘书</x:v>
      </x:c>
      <x:c r="G257" s="27" t="str">
        <x:v>IC03</x:v>
      </x:c>
      <x:c r="H257" s="25" t="str">
        <x:v>基础设施与城市建设产业链</x:v>
      </x:c>
      <x:c r="I257" s="25" t="str">
        <x:v>中游</x:v>
      </x:c>
      <x:c r="J257" s="27" t="str">
        <x:v>ICN008</x:v>
      </x:c>
      <x:c r="K257" s="25" t="str">
        <x:v>基础设施建设与房地产开发</x:v>
      </x:c>
      <x:c r="L257" s="28" t="n">
        <x:v>59</x:v>
      </x:c>
      <x:c r="M257" s="25" t="str">
        <x:v>低</x:v>
      </x:c>
      <x:c r="N257" s="26" t="str">
        <x:v>建筑、房地产、施工、建设、工程项目</x:v>
      </x:c>
      <x:c r="O257" s="26" t="str">
        <x:v>岗位名称/描述出现“建筑、房地产、施工”，工作环节更贴近“施工、建设、工程项目”，因此关联到该节点。</x:v>
      </x:c>
      <x:c r="P257" s="26" t="str">
        <x:v>建议复核</x:v>
      </x:c>
    </x:row>
    <x:row r="258" ht="44" customHeight="1">
      <x:c r="A258" s="27" t="str">
        <x:v>REL000255</x:v>
      </x:c>
      <x:c r="B258" s="25" t="n">
        <x:v>11345</x:v>
      </x:c>
      <x:c r="C258" s="27" t="str">
        <x:v>IC-L3-602</x:v>
      </x:c>
      <x:c r="D258" s="25" t="str">
        <x:v>高级建筑工程师/总工</x:v>
      </x:c>
      <x:c r="E258" s="27" t="str">
        <x:v>2-02-18-01</x:v>
      </x:c>
      <x:c r="F258" s="25" t="str">
        <x:v>建筑和市政设计工程技术人员</x:v>
      </x:c>
      <x:c r="G258" s="27" t="str">
        <x:v>IC03</x:v>
      </x:c>
      <x:c r="H258" s="25" t="str">
        <x:v>基础设施与城市建设产业链</x:v>
      </x:c>
      <x:c r="I258" s="25" t="str">
        <x:v>中游</x:v>
      </x:c>
      <x:c r="J258" s="27" t="str">
        <x:v>ICN008</x:v>
      </x:c>
      <x:c r="K258" s="25" t="str">
        <x:v>基础设施建设与房地产开发</x:v>
      </x:c>
      <x:c r="L258" s="28" t="n">
        <x:v>77</x:v>
      </x:c>
      <x:c r="M258" s="25" t="str">
        <x:v>中</x:v>
      </x:c>
      <x:c r="N258" s="26" t="str">
        <x:v>建筑、市政、房地产、施工、工程项目、项目管理</x:v>
      </x:c>
      <x:c r="O258" s="26" t="str">
        <x:v>岗位名称/描述出现“建筑、市政、房地产、施工”，工作环节更贴近“施工、工程项目、项目管理”，因此关联到该节点。</x:v>
      </x:c>
      <x:c r="P258" s="26" t="str">
        <x:v>自动通过</x:v>
      </x:c>
    </x:row>
    <x:row r="259" ht="44" customHeight="1">
      <x:c r="A259" s="27" t="str">
        <x:v>REL000256</x:v>
      </x:c>
      <x:c r="B259" s="25" t="n">
        <x:v>11346</x:v>
      </x:c>
      <x:c r="C259" s="27" t="str">
        <x:v>IC-L3-603</x:v>
      </x:c>
      <x:c r="D259" s="25" t="str">
        <x:v>BIM工程师</x:v>
      </x:c>
      <x:c r="E259" s="27" t="str">
        <x:v>2-02-18-01</x:v>
      </x:c>
      <x:c r="F259" s="25" t="str">
        <x:v>建筑和市政设计工程技术人员</x:v>
      </x:c>
      <x:c r="G259" s="27" t="str">
        <x:v>IC03</x:v>
      </x:c>
      <x:c r="H259" s="25" t="str">
        <x:v>基础设施与城市建设产业链</x:v>
      </x:c>
      <x:c r="I259" s="25" t="str">
        <x:v>中游</x:v>
      </x:c>
      <x:c r="J259" s="27" t="str">
        <x:v>ICN008</x:v>
      </x:c>
      <x:c r="K259" s="25" t="str">
        <x:v>基础设施建设与房地产开发</x:v>
      </x:c>
      <x:c r="L259" s="28" t="n">
        <x:v>59</x:v>
      </x:c>
      <x:c r="M259" s="25" t="str">
        <x:v>低</x:v>
      </x:c>
      <x:c r="N259" s="26" t="str">
        <x:v>建筑、市政、施工</x:v>
      </x:c>
      <x:c r="O259" s="26" t="str">
        <x:v>岗位名称/描述出现“建筑、市政、施工”，工作环节更贴近“施工”，因此关联到该节点。</x:v>
      </x:c>
      <x:c r="P259" s="26" t="str">
        <x:v>建议复核</x:v>
      </x:c>
    </x:row>
    <x:row r="260" ht="44" customHeight="1">
      <x:c r="A260" s="27" t="str">
        <x:v>REL000257</x:v>
      </x:c>
      <x:c r="B260" s="25" t="n">
        <x:v>11347</x:v>
      </x:c>
      <x:c r="C260" s="27" t="str">
        <x:v>IC-L3-604</x:v>
      </x:c>
      <x:c r="D260" s="25" t="str">
        <x:v>后期制作</x:v>
      </x:c>
      <x:c r="E260" s="27" t="str">
        <x:v>2-02-18-01</x:v>
      </x:c>
      <x:c r="F260" s="25" t="str">
        <x:v>建筑和市政设计工程技术人员</x:v>
      </x:c>
      <x:c r="G260" s="27" t="str">
        <x:v>IC03</x:v>
      </x:c>
      <x:c r="H260" s="25" t="str">
        <x:v>基础设施与城市建设产业链</x:v>
      </x:c>
      <x:c r="I260" s="25" t="str">
        <x:v>中游</x:v>
      </x:c>
      <x:c r="J260" s="27" t="str">
        <x:v>ICN008</x:v>
      </x:c>
      <x:c r="K260" s="25" t="str">
        <x:v>基础设施建设与房地产开发</x:v>
      </x:c>
      <x:c r="L260" s="28" t="n">
        <x:v>59</x:v>
      </x:c>
      <x:c r="M260" s="25" t="str">
        <x:v>低</x:v>
      </x:c>
      <x:c r="N260" s="26" t="str">
        <x:v>建筑、市政、施工</x:v>
      </x:c>
      <x:c r="O260" s="26" t="str">
        <x:v>岗位名称/描述出现“建筑、市政、施工”，工作环节更贴近“施工”，因此关联到该节点。</x:v>
      </x:c>
      <x:c r="P260" s="26" t="str">
        <x:v>建议复核</x:v>
      </x:c>
    </x:row>
    <x:row r="261" ht="44" customHeight="1">
      <x:c r="A261" s="27" t="str">
        <x:v>REL000258</x:v>
      </x:c>
      <x:c r="B261" s="25" t="n">
        <x:v>11348</x:v>
      </x:c>
      <x:c r="C261" s="27" t="str">
        <x:v>IC-L3-605</x:v>
      </x:c>
      <x:c r="D261" s="25" t="str">
        <x:v>射频工程师</x:v>
      </x:c>
      <x:c r="E261" s="27" t="str">
        <x:v>2-02-18-01</x:v>
      </x:c>
      <x:c r="F261" s="25" t="str">
        <x:v>建筑和市政设计工程技术人员</x:v>
      </x:c>
      <x:c r="G261" s="27" t="str">
        <x:v>IC16</x:v>
      </x:c>
      <x:c r="H261" s="25" t="str">
        <x:v>半导体与集成电路产业链</x:v>
      </x:c>
      <x:c r="I261" s="25" t="str">
        <x:v>中游</x:v>
      </x:c>
      <x:c r="J261" s="27" t="str">
        <x:v>ICN047</x:v>
      </x:c>
      <x:c r="K261" s="25" t="str">
        <x:v>芯片设计、制造、封测与集成电路</x:v>
      </x:c>
      <x:c r="L261" s="28" t="n">
        <x:v>67</x:v>
      </x:c>
      <x:c r="M261" s="25" t="str">
        <x:v>低</x:v>
      </x:c>
      <x:c r="N261" s="26" t="str">
        <x:v>射频、测试</x:v>
      </x:c>
      <x:c r="O261" s="26" t="str">
        <x:v>岗位名称/描述出现“射频”，工作环节更贴近“测试”，因此关联到该节点。</x:v>
      </x:c>
      <x:c r="P261" s="26" t="str">
        <x:v>建议复核</x:v>
      </x:c>
    </x:row>
    <x:row r="262" ht="44" customHeight="1">
      <x:c r="A262" s="27" t="str">
        <x:v>REL000259</x:v>
      </x:c>
      <x:c r="B262" s="25" t="n">
        <x:v>11349</x:v>
      </x:c>
      <x:c r="C262" s="27" t="str">
        <x:v>IC-L3-606</x:v>
      </x:c>
      <x:c r="D262" s="25" t="str">
        <x:v>BIM工程师</x:v>
      </x:c>
      <x:c r="E262" s="27" t="str">
        <x:v>2-02-18-01</x:v>
      </x:c>
      <x:c r="F262" s="25" t="str">
        <x:v>建筑和市政设计工程技术人员</x:v>
      </x:c>
      <x:c r="G262" s="27" t="str">
        <x:v>IC03</x:v>
      </x:c>
      <x:c r="H262" s="25" t="str">
        <x:v>基础设施与城市建设产业链</x:v>
      </x:c>
      <x:c r="I262" s="25" t="str">
        <x:v>中游</x:v>
      </x:c>
      <x:c r="J262" s="27" t="str">
        <x:v>ICN008</x:v>
      </x:c>
      <x:c r="K262" s="25" t="str">
        <x:v>基础设施建设与房地产开发</x:v>
      </x:c>
      <x:c r="L262" s="28" t="n">
        <x:v>59</x:v>
      </x:c>
      <x:c r="M262" s="25" t="str">
        <x:v>低</x:v>
      </x:c>
      <x:c r="N262" s="26" t="str">
        <x:v>建筑、市政、施工</x:v>
      </x:c>
      <x:c r="O262" s="26" t="str">
        <x:v>岗位名称/描述出现“建筑、市政、施工”，工作环节更贴近“施工”，因此关联到该节点。</x:v>
      </x:c>
      <x:c r="P262" s="26" t="str">
        <x:v>建议复核</x:v>
      </x:c>
    </x:row>
    <x:row r="263" ht="44" customHeight="1">
      <x:c r="A263" s="27" t="str">
        <x:v>REL000260</x:v>
      </x:c>
      <x:c r="B263" s="25" t="n">
        <x:v>11350</x:v>
      </x:c>
      <x:c r="C263" s="27" t="str">
        <x:v>IC-L3-607</x:v>
      </x:c>
      <x:c r="D263" s="25" t="str">
        <x:v>园艺/园林/景观设计</x:v>
      </x:c>
      <x:c r="E263" s="27" t="str">
        <x:v>2-02-18-01</x:v>
      </x:c>
      <x:c r="F263" s="25" t="str">
        <x:v>建筑和市政设计工程技术人员</x:v>
      </x:c>
      <x:c r="G263" s="27" t="str">
        <x:v>IC03</x:v>
      </x:c>
      <x:c r="H263" s="25" t="str">
        <x:v>基础设施与城市建设产业链</x:v>
      </x:c>
      <x:c r="I263" s="25" t="str">
        <x:v>上游</x:v>
      </x:c>
      <x:c r="J263" s="27" t="str">
        <x:v>ICN007</x:v>
      </x:c>
      <x:c r="K263" s="25" t="str">
        <x:v>规划设计、建材与工程准备</x:v>
      </x:c>
      <x:c r="L263" s="28" t="n">
        <x:v>98</x:v>
      </x:c>
      <x:c r="M263" s="25" t="str">
        <x:v>高</x:v>
      </x:c>
      <x:c r="N263" s="26" t="str">
        <x:v>园林、景观、建筑、市政、施工、设计、景观设计、规划</x:v>
      </x:c>
      <x:c r="O263" s="26" t="str">
        <x:v>岗位名称/描述出现“园林、景观、建筑、市政、施工”，工作环节更贴近“设计、景观设计、规划”，因此关联到该节点。</x:v>
      </x:c>
      <x:c r="P263" s="26" t="str">
        <x:v>自动通过</x:v>
      </x:c>
    </x:row>
    <x:row r="264" ht="44" customHeight="1">
      <x:c r="A264" s="27" t="str">
        <x:v>REL000261</x:v>
      </x:c>
      <x:c r="B264" s="25" t="n">
        <x:v>11351</x:v>
      </x:c>
      <x:c r="C264" s="27" t="str">
        <x:v>IC-L3-608</x:v>
      </x:c>
      <x:c r="D264" s="25" t="str">
        <x:v>城市规划设计</x:v>
      </x:c>
      <x:c r="E264" s="27" t="str">
        <x:v>2-02-18-01</x:v>
      </x:c>
      <x:c r="F264" s="25" t="str">
        <x:v>建筑和市政设计工程技术人员</x:v>
      </x:c>
      <x:c r="G264" s="27" t="str">
        <x:v>IC03</x:v>
      </x:c>
      <x:c r="H264" s="25" t="str">
        <x:v>基础设施与城市建设产业链</x:v>
      </x:c>
      <x:c r="I264" s="25" t="str">
        <x:v>上游</x:v>
      </x:c>
      <x:c r="J264" s="27" t="str">
        <x:v>ICN007</x:v>
      </x:c>
      <x:c r="K264" s="25" t="str">
        <x:v>规划设计、建材与工程准备</x:v>
      </x:c>
      <x:c r="L264" s="28" t="n">
        <x:v>88</x:v>
      </x:c>
      <x:c r="M264" s="25" t="str">
        <x:v>高</x:v>
      </x:c>
      <x:c r="N264" s="26" t="str">
        <x:v>城市规划、建筑、市政、房地产、景观、规划、设计、景观设计</x:v>
      </x:c>
      <x:c r="O264" s="26" t="str">
        <x:v>岗位名称/描述出现“城市规划、建筑、市政、房地产、景观”，工作环节更贴近“规划、设计、景观设计”，因此关联到该节点。</x:v>
      </x:c>
      <x:c r="P264" s="26" t="str">
        <x:v>自动通过</x:v>
      </x:c>
    </x:row>
    <x:row r="265" ht="44" customHeight="1">
      <x:c r="A265" s="27" t="str">
        <x:v>REL000262</x:v>
      </x:c>
      <x:c r="B265" s="25" t="n">
        <x:v>11352</x:v>
      </x:c>
      <x:c r="C265" s="27" t="str">
        <x:v>IC-L3-609</x:v>
      </x:c>
      <x:c r="D265" s="25" t="str">
        <x:v>室内设计</x:v>
      </x:c>
      <x:c r="E265" s="27" t="str">
        <x:v>2-02-18-01</x:v>
      </x:c>
      <x:c r="F265" s="25" t="str">
        <x:v>建筑和市政设计工程技术人员</x:v>
      </x:c>
      <x:c r="G265" s="27" t="str">
        <x:v>IC03</x:v>
      </x:c>
      <x:c r="H265" s="25" t="str">
        <x:v>基础设施与城市建设产业链</x:v>
      </x:c>
      <x:c r="I265" s="25" t="str">
        <x:v>上游</x:v>
      </x:c>
      <x:c r="J265" s="27" t="str">
        <x:v>ICN007</x:v>
      </x:c>
      <x:c r="K265" s="25" t="str">
        <x:v>规划设计、建材与工程准备</x:v>
      </x:c>
      <x:c r="L265" s="28" t="n">
        <x:v>65</x:v>
      </x:c>
      <x:c r="M265" s="25" t="str">
        <x:v>低</x:v>
      </x:c>
      <x:c r="N265" s="26" t="str">
        <x:v>建筑、市政、房地产、施工、设计</x:v>
      </x:c>
      <x:c r="O265" s="26" t="str">
        <x:v>岗位名称/描述出现“建筑、市政、房地产、施工”，工作环节更贴近“设计”，因此关联到该节点。</x:v>
      </x:c>
      <x:c r="P265" s="26" t="str">
        <x:v>建议复核</x:v>
      </x:c>
    </x:row>
    <x:row r="266" ht="44" customHeight="1">
      <x:c r="A266" s="27" t="str">
        <x:v>REL000263</x:v>
      </x:c>
      <x:c r="B266" s="25" t="n">
        <x:v>11353</x:v>
      </x:c>
      <x:c r="C266" s="27" t="str">
        <x:v>IC-L3-610</x:v>
      </x:c>
      <x:c r="D266" s="25" t="str">
        <x:v>室内设计师助理</x:v>
      </x:c>
      <x:c r="E266" s="27" t="str">
        <x:v>2-02-18-01</x:v>
      </x:c>
      <x:c r="F266" s="25" t="str">
        <x:v>建筑和市政设计工程技术人员</x:v>
      </x:c>
      <x:c r="G266" s="27" t="str">
        <x:v>IC03</x:v>
      </x:c>
      <x:c r="H266" s="25" t="str">
        <x:v>基础设施与城市建设产业链</x:v>
      </x:c>
      <x:c r="I266" s="25" t="str">
        <x:v>上游</x:v>
      </x:c>
      <x:c r="J266" s="27" t="str">
        <x:v>ICN007</x:v>
      </x:c>
      <x:c r="K266" s="25" t="str">
        <x:v>规划设计、建材与工程准备</x:v>
      </x:c>
      <x:c r="L266" s="28" t="n">
        <x:v>67</x:v>
      </x:c>
      <x:c r="M266" s="25" t="str">
        <x:v>低</x:v>
      </x:c>
      <x:c r="N266" s="26" t="str">
        <x:v>建筑、市政、房地产、施工、设计、规划、测量</x:v>
      </x:c>
      <x:c r="O266" s="26" t="str">
        <x:v>岗位名称/描述出现“建筑、市政、房地产、施工”，工作环节更贴近“设计、规划、测量”，因此关联到该节点。</x:v>
      </x:c>
      <x:c r="P266" s="26" t="str">
        <x:v>建议复核</x:v>
      </x:c>
    </x:row>
    <x:row r="267" ht="44" customHeight="1">
      <x:c r="A267" s="27" t="str">
        <x:v>REL000264</x:v>
      </x:c>
      <x:c r="B267" s="25" t="n">
        <x:v>11354</x:v>
      </x:c>
      <x:c r="C267" s="27" t="str">
        <x:v>IC-L3-611</x:v>
      </x:c>
      <x:c r="D267" s="25" t="str">
        <x:v>室内设计总监</x:v>
      </x:c>
      <x:c r="E267" s="27" t="str">
        <x:v>2-02-18-01</x:v>
      </x:c>
      <x:c r="F267" s="25" t="str">
        <x:v>建筑和市政设计工程技术人员</x:v>
      </x:c>
      <x:c r="G267" s="27" t="str">
        <x:v>IC03</x:v>
      </x:c>
      <x:c r="H267" s="25" t="str">
        <x:v>基础设施与城市建设产业链</x:v>
      </x:c>
      <x:c r="I267" s="25" t="str">
        <x:v>上游</x:v>
      </x:c>
      <x:c r="J267" s="27" t="str">
        <x:v>ICN007</x:v>
      </x:c>
      <x:c r="K267" s="25" t="str">
        <x:v>规划设计、建材与工程准备</x:v>
      </x:c>
      <x:c r="L267" s="28" t="n">
        <x:v>66</x:v>
      </x:c>
      <x:c r="M267" s="25" t="str">
        <x:v>低</x:v>
      </x:c>
      <x:c r="N267" s="26" t="str">
        <x:v>建筑、市政、房地产、施工、设计、规划</x:v>
      </x:c>
      <x:c r="O267" s="26" t="str">
        <x:v>岗位名称/描述出现“建筑、市政、房地产、施工”，工作环节更贴近“设计、规划”，因此关联到该节点。</x:v>
      </x:c>
      <x:c r="P267" s="26" t="str">
        <x:v>建议复核</x:v>
      </x:c>
    </x:row>
    <x:row r="268" ht="44" customHeight="1">
      <x:c r="A268" s="27" t="str">
        <x:v>REL000265</x:v>
      </x:c>
      <x:c r="B268" s="25" t="n">
        <x:v>11355</x:v>
      </x:c>
      <x:c r="C268" s="27" t="str">
        <x:v>IC-L3-612</x:v>
      </x:c>
      <x:c r="D268" s="25" t="str">
        <x:v>室内设计经理/主管</x:v>
      </x:c>
      <x:c r="E268" s="27" t="str">
        <x:v>2-02-18-01</x:v>
      </x:c>
      <x:c r="F268" s="25" t="str">
        <x:v>建筑和市政设计工程技术人员</x:v>
      </x:c>
      <x:c r="G268" s="27" t="str">
        <x:v>IC03</x:v>
      </x:c>
      <x:c r="H268" s="25" t="str">
        <x:v>基础设施与城市建设产业链</x:v>
      </x:c>
      <x:c r="I268" s="25" t="str">
        <x:v>上游</x:v>
      </x:c>
      <x:c r="J268" s="27" t="str">
        <x:v>ICN007</x:v>
      </x:c>
      <x:c r="K268" s="25" t="str">
        <x:v>规划设计、建材与工程准备</x:v>
      </x:c>
      <x:c r="L268" s="28" t="n">
        <x:v>64</x:v>
      </x:c>
      <x:c r="M268" s="25" t="str">
        <x:v>低</x:v>
      </x:c>
      <x:c r="N268" s="26" t="str">
        <x:v>建筑、市政、施工、设计、规划</x:v>
      </x:c>
      <x:c r="O268" s="26" t="str">
        <x:v>岗位名称/描述出现“建筑、市政、施工”，工作环节更贴近“设计、规划”，因此关联到该节点。</x:v>
      </x:c>
      <x:c r="P268" s="26" t="str">
        <x:v>建议复核</x:v>
      </x:c>
    </x:row>
    <x:row r="269" ht="44" customHeight="1">
      <x:c r="A269" s="27" t="str">
        <x:v>REL000266</x:v>
      </x:c>
      <x:c r="B269" s="25" t="n">
        <x:v>11356</x:v>
      </x:c>
      <x:c r="C269" s="27" t="str">
        <x:v>IC-L3-613</x:v>
      </x:c>
      <x:c r="D269" s="25" t="str">
        <x:v>家装顾问</x:v>
      </x:c>
      <x:c r="E269" s="27" t="str">
        <x:v>2-02-18-01</x:v>
      </x:c>
      <x:c r="F269" s="25" t="str">
        <x:v>建筑和市政设计工程技术人员</x:v>
      </x:c>
      <x:c r="G269" s="27" t="str">
        <x:v>IC03</x:v>
      </x:c>
      <x:c r="H269" s="25" t="str">
        <x:v>基础设施与城市建设产业链</x:v>
      </x:c>
      <x:c r="I269" s="25" t="str">
        <x:v>上游</x:v>
      </x:c>
      <x:c r="J269" s="27" t="str">
        <x:v>ICN007</x:v>
      </x:c>
      <x:c r="K269" s="25" t="str">
        <x:v>规划设计、建材与工程准备</x:v>
      </x:c>
      <x:c r="L269" s="28" t="n">
        <x:v>63</x:v>
      </x:c>
      <x:c r="M269" s="25" t="str">
        <x:v>低</x:v>
      </x:c>
      <x:c r="N269" s="26" t="str">
        <x:v>建筑、市政、房地产、施工、建材、设计、咨询</x:v>
      </x:c>
      <x:c r="O269" s="26" t="str">
        <x:v>岗位名称/描述出现“建筑、市政、房地产、施工、建材”，工作环节更贴近“设计、咨询、建材”，因此关联到该节点。</x:v>
      </x:c>
      <x:c r="P269" s="26" t="str">
        <x:v>建议复核</x:v>
      </x:c>
    </x:row>
    <x:row r="270" ht="44" customHeight="1">
      <x:c r="A270" s="27" t="str">
        <x:v>REL000267</x:v>
      </x:c>
      <x:c r="B270" s="25" t="n">
        <x:v>11357</x:v>
      </x:c>
      <x:c r="C270" s="27" t="str">
        <x:v>IC-L3-614</x:v>
      </x:c>
      <x:c r="D270" s="25" t="str">
        <x:v>幕墙设计</x:v>
      </x:c>
      <x:c r="E270" s="27" t="str">
        <x:v>2-02-18-01</x:v>
      </x:c>
      <x:c r="F270" s="25" t="str">
        <x:v>建筑和市政设计工程技术人员</x:v>
      </x:c>
      <x:c r="G270" s="27" t="str">
        <x:v>IC03</x:v>
      </x:c>
      <x:c r="H270" s="25" t="str">
        <x:v>基础设施与城市建设产业链</x:v>
      </x:c>
      <x:c r="I270" s="25" t="str">
        <x:v>上游</x:v>
      </x:c>
      <x:c r="J270" s="27" t="str">
        <x:v>ICN007</x:v>
      </x:c>
      <x:c r="K270" s="25" t="str">
        <x:v>规划设计、建材与工程准备</x:v>
      </x:c>
      <x:c r="L270" s="28" t="n">
        <x:v>65</x:v>
      </x:c>
      <x:c r="M270" s="25" t="str">
        <x:v>低</x:v>
      </x:c>
      <x:c r="N270" s="26" t="str">
        <x:v>建筑、市政、施工、设计、规划、咨询</x:v>
      </x:c>
      <x:c r="O270" s="26" t="str">
        <x:v>岗位名称/描述出现“建筑、市政、施工”，工作环节更贴近“设计、规划、咨询”，因此关联到该节点。</x:v>
      </x:c>
      <x:c r="P270" s="26" t="str">
        <x:v>建议复核</x:v>
      </x:c>
    </x:row>
    <x:row r="271" ht="44" customHeight="1">
      <x:c r="A271" s="27" t="str">
        <x:v>REL000268</x:v>
      </x:c>
      <x:c r="B271" s="25" t="n">
        <x:v>11358</x:v>
      </x:c>
      <x:c r="C271" s="27" t="str">
        <x:v>IC-L3-615</x:v>
      </x:c>
      <x:c r="D271" s="25" t="str">
        <x:v>建筑制图/模型/渲染</x:v>
      </x:c>
      <x:c r="E271" s="27" t="str">
        <x:v>2-02-18-01</x:v>
      </x:c>
      <x:c r="F271" s="25" t="str">
        <x:v>建筑和市政设计工程技术人员</x:v>
      </x:c>
      <x:c r="G271" s="27" t="str">
        <x:v>IC03</x:v>
      </x:c>
      <x:c r="H271" s="25" t="str">
        <x:v>基础设施与城市建设产业链</x:v>
      </x:c>
      <x:c r="I271" s="25" t="str">
        <x:v>中游</x:v>
      </x:c>
      <x:c r="J271" s="27" t="str">
        <x:v>ICN008</x:v>
      </x:c>
      <x:c r="K271" s="25" t="str">
        <x:v>基础设施建设与房地产开发</x:v>
      </x:c>
      <x:c r="L271" s="28" t="n">
        <x:v>72</x:v>
      </x:c>
      <x:c r="M271" s="25" t="str">
        <x:v>中</x:v>
      </x:c>
      <x:c r="N271" s="26" t="str">
        <x:v>建筑、市政、房地产</x:v>
      </x:c>
      <x:c r="O271" s="26" t="str">
        <x:v>岗位名称/描述出现“建筑、市政、房地产”，工作环节更贴近“中游”，因此关联到该节点。</x:v>
      </x:c>
      <x:c r="P271" s="26" t="str">
        <x:v>自动通过</x:v>
      </x:c>
    </x:row>
    <x:row r="272" ht="44" customHeight="1">
      <x:c r="A272" s="27" t="str">
        <x:v>REL000269</x:v>
      </x:c>
      <x:c r="B272" s="25" t="n">
        <x:v>11359</x:v>
      </x:c>
      <x:c r="C272" s="27" t="str">
        <x:v>IC-L3-616</x:v>
      </x:c>
      <x:c r="D272" s="25" t="str">
        <x:v>建筑机电设计</x:v>
      </x:c>
      <x:c r="E272" s="27" t="str">
        <x:v>2-02-18-01</x:v>
      </x:c>
      <x:c r="F272" s="25" t="str">
        <x:v>建筑和市政设计工程技术人员</x:v>
      </x:c>
      <x:c r="G272" s="27" t="str">
        <x:v>IC03</x:v>
      </x:c>
      <x:c r="H272" s="25" t="str">
        <x:v>基础设施与城市建设产业链</x:v>
      </x:c>
      <x:c r="I272" s="25" t="str">
        <x:v>上游</x:v>
      </x:c>
      <x:c r="J272" s="27" t="str">
        <x:v>ICN007</x:v>
      </x:c>
      <x:c r="K272" s="25" t="str">
        <x:v>规划设计、建材与工程准备</x:v>
      </x:c>
      <x:c r="L272" s="28" t="n">
        <x:v>84</x:v>
      </x:c>
      <x:c r="M272" s="25" t="str">
        <x:v>高</x:v>
      </x:c>
      <x:c r="N272" s="26" t="str">
        <x:v>建筑、市政、房地产、施工、暖通、设计、规划</x:v>
      </x:c>
      <x:c r="O272" s="26" t="str">
        <x:v>岗位名称/描述出现“建筑、市政、房地产、施工、暖通”，工作环节更贴近“设计、规划”，因此关联到该节点。</x:v>
      </x:c>
      <x:c r="P272" s="26" t="str">
        <x:v>自动通过</x:v>
      </x:c>
    </x:row>
    <x:row r="273" ht="44" customHeight="1">
      <x:c r="A273" s="27" t="str">
        <x:v>REL000270</x:v>
      </x:c>
      <x:c r="B273" s="25" t="n">
        <x:v>11359</x:v>
      </x:c>
      <x:c r="C273" s="27" t="str">
        <x:v>IC-L3-616</x:v>
      </x:c>
      <x:c r="D273" s="25" t="str">
        <x:v>建筑机电设计</x:v>
      </x:c>
      <x:c r="E273" s="27" t="str">
        <x:v>2-02-18-01</x:v>
      </x:c>
      <x:c r="F273" s="25" t="str">
        <x:v>建筑和市政设计工程技术人员</x:v>
      </x:c>
      <x:c r="G273" s="27" t="str">
        <x:v>IC03</x:v>
      </x:c>
      <x:c r="H273" s="25" t="str">
        <x:v>基础设施与城市建设产业链</x:v>
      </x:c>
      <x:c r="I273" s="25" t="str">
        <x:v>中游</x:v>
      </x:c>
      <x:c r="J273" s="27" t="str">
        <x:v>ICN008</x:v>
      </x:c>
      <x:c r="K273" s="25" t="str">
        <x:v>基础设施建设与房地产开发</x:v>
      </x:c>
      <x:c r="L273" s="28" t="n">
        <x:v>82</x:v>
      </x:c>
      <x:c r="M273" s="25" t="str">
        <x:v>高</x:v>
      </x:c>
      <x:c r="N273" s="26" t="str">
        <x:v>建筑、市政、房地产、施工、暖通、房地产开发、安装、项目管理</x:v>
      </x:c>
      <x:c r="O273" s="26" t="str">
        <x:v>岗位名称/描述出现“建筑、市政、房地产、施工、暖通”，工作环节更贴近“施工、房地产开发、安装、项目管理”，因此关联到该节点。</x:v>
      </x:c>
      <x:c r="P273" s="26" t="str">
        <x:v>自动通过</x:v>
      </x:c>
    </x:row>
    <x:row r="274" ht="44" customHeight="1">
      <x:c r="A274" s="27" t="str">
        <x:v>REL000271</x:v>
      </x:c>
      <x:c r="B274" s="25" t="n">
        <x:v>11359</x:v>
      </x:c>
      <x:c r="C274" s="27" t="str">
        <x:v>IC-L3-616</x:v>
      </x:c>
      <x:c r="D274" s="25" t="str">
        <x:v>建筑机电设计</x:v>
      </x:c>
      <x:c r="E274" s="27" t="str">
        <x:v>2-02-18-01</x:v>
      </x:c>
      <x:c r="F274" s="25" t="str">
        <x:v>建筑和市政设计工程技术人员</x:v>
      </x:c>
      <x:c r="G274" s="27" t="str">
        <x:v>IC02</x:v>
      </x:c>
      <x:c r="H274" s="25" t="str">
        <x:v>高端装备与智能制造产业链</x:v>
      </x:c>
      <x:c r="I274" s="25" t="str">
        <x:v>中游</x:v>
      </x:c>
      <x:c r="J274" s="27" t="str">
        <x:v>ICN005</x:v>
      </x:c>
      <x:c r="K274" s="25" t="str">
        <x:v>高端装备制造与激光加工</x:v>
      </x:c>
      <x:c r="L274" s="28" t="n">
        <x:v>67</x:v>
      </x:c>
      <x:c r="M274" s="25" t="str">
        <x:v>低</x:v>
      </x:c>
      <x:c r="N274" s="26" t="str">
        <x:v>机电、工艺</x:v>
      </x:c>
      <x:c r="O274" s="26" t="str">
        <x:v>岗位名称/描述出现“机电”，工作环节更贴近“工艺”，因此关联到该节点。</x:v>
      </x:c>
      <x:c r="P274" s="26" t="str">
        <x:v>建议复核</x:v>
      </x:c>
    </x:row>
    <x:row r="275" ht="44" customHeight="1">
      <x:c r="A275" s="27" t="str">
        <x:v>REL000272</x:v>
      </x:c>
      <x:c r="B275" s="25" t="n">
        <x:v>11360</x:v>
      </x:c>
      <x:c r="C275" s="27" t="str">
        <x:v>IC-L3-617</x:v>
      </x:c>
      <x:c r="D275" s="25" t="str">
        <x:v>建筑结构设计</x:v>
      </x:c>
      <x:c r="E275" s="27" t="str">
        <x:v>2-02-18-01</x:v>
      </x:c>
      <x:c r="F275" s="25" t="str">
        <x:v>建筑和市政设计工程技术人员</x:v>
      </x:c>
      <x:c r="G275" s="27" t="str">
        <x:v>IC03</x:v>
      </x:c>
      <x:c r="H275" s="25" t="str">
        <x:v>基础设施与城市建设产业链</x:v>
      </x:c>
      <x:c r="I275" s="25" t="str">
        <x:v>上游</x:v>
      </x:c>
      <x:c r="J275" s="27" t="str">
        <x:v>ICN007</x:v>
      </x:c>
      <x:c r="K275" s="25" t="str">
        <x:v>规划设计、建材与工程准备</x:v>
      </x:c>
      <x:c r="L275" s="28" t="n">
        <x:v>98</x:v>
      </x:c>
      <x:c r="M275" s="25" t="str">
        <x:v>高</x:v>
      </x:c>
      <x:c r="N275" s="26" t="str">
        <x:v>建筑、建筑结构、市政、房地产、施工、设计、结构设计</x:v>
      </x:c>
      <x:c r="O275" s="26" t="str">
        <x:v>岗位名称/描述出现“建筑、建筑结构、市政、房地产、施工”，工作环节更贴近“设计、结构设计”，因此关联到该节点。</x:v>
      </x:c>
      <x:c r="P275" s="26" t="str">
        <x:v>自动通过</x:v>
      </x:c>
    </x:row>
    <x:row r="276" ht="44" customHeight="1">
      <x:c r="A276" s="27" t="str">
        <x:v>REL000273</x:v>
      </x:c>
      <x:c r="B276" s="25" t="n">
        <x:v>11361</x:v>
      </x:c>
      <x:c r="C276" s="27" t="str">
        <x:v>IC-L3-618</x:v>
      </x:c>
      <x:c r="D276" s="25" t="str">
        <x:v>建筑设计师</x:v>
      </x:c>
      <x:c r="E276" s="27" t="str">
        <x:v>2-02-18-01</x:v>
      </x:c>
      <x:c r="F276" s="25" t="str">
        <x:v>建筑和市政设计工程技术人员</x:v>
      </x:c>
      <x:c r="G276" s="27" t="str">
        <x:v>IC03</x:v>
      </x:c>
      <x:c r="H276" s="25" t="str">
        <x:v>基础设施与城市建设产业链</x:v>
      </x:c>
      <x:c r="I276" s="25" t="str">
        <x:v>上游</x:v>
      </x:c>
      <x:c r="J276" s="27" t="str">
        <x:v>ICN007</x:v>
      </x:c>
      <x:c r="K276" s="25" t="str">
        <x:v>规划设计、建材与工程准备</x:v>
      </x:c>
      <x:c r="L276" s="28" t="n">
        <x:v>79</x:v>
      </x:c>
      <x:c r="M276" s="25" t="str">
        <x:v>中</x:v>
      </x:c>
      <x:c r="N276" s="26" t="str">
        <x:v>建筑、市政、房地产、施工、设计</x:v>
      </x:c>
      <x:c r="O276" s="26" t="str">
        <x:v>岗位名称/描述出现“建筑、市政、房地产、施工”，工作环节更贴近“设计”，因此关联到该节点。</x:v>
      </x:c>
      <x:c r="P276" s="26" t="str">
        <x:v>自动通过</x:v>
      </x:c>
    </x:row>
    <x:row r="277" ht="44" customHeight="1">
      <x:c r="A277" s="27" t="str">
        <x:v>REL000274</x:v>
      </x:c>
      <x:c r="B277" s="25" t="n">
        <x:v>11362</x:v>
      </x:c>
      <x:c r="C277" s="27" t="str">
        <x:v>IC-L3-619</x:v>
      </x:c>
      <x:c r="D277" s="25" t="str">
        <x:v>暖通设计</x:v>
      </x:c>
      <x:c r="E277" s="27" t="str">
        <x:v>2-02-18-01</x:v>
      </x:c>
      <x:c r="F277" s="25" t="str">
        <x:v>建筑和市政设计工程技术人员</x:v>
      </x:c>
      <x:c r="G277" s="27" t="str">
        <x:v>IC03</x:v>
      </x:c>
      <x:c r="H277" s="25" t="str">
        <x:v>基础设施与城市建设产业链</x:v>
      </x:c>
      <x:c r="I277" s="25" t="str">
        <x:v>上游</x:v>
      </x:c>
      <x:c r="J277" s="27" t="str">
        <x:v>ICN007</x:v>
      </x:c>
      <x:c r="K277" s="25" t="str">
        <x:v>规划设计、建材与工程准备</x:v>
      </x:c>
      <x:c r="L277" s="28" t="n">
        <x:v>80</x:v>
      </x:c>
      <x:c r="M277" s="25" t="str">
        <x:v>中</x:v>
      </x:c>
      <x:c r="N277" s="26" t="str">
        <x:v>暖通、建筑、市政、施工、设计、规划</x:v>
      </x:c>
      <x:c r="O277" s="26" t="str">
        <x:v>岗位名称/描述出现“暖通、建筑、市政、施工”，工作环节更贴近“设计、规划”，因此关联到该节点。</x:v>
      </x:c>
      <x:c r="P277" s="26" t="str">
        <x:v>自动通过</x:v>
      </x:c>
    </x:row>
    <x:row r="278" ht="44" customHeight="1">
      <x:c r="A278" s="27" t="str">
        <x:v>REL000275</x:v>
      </x:c>
      <x:c r="B278" s="25" t="n">
        <x:v>11363</x:v>
      </x:c>
      <x:c r="C278" s="27" t="str">
        <x:v>IC-L3-620</x:v>
      </x:c>
      <x:c r="D278" s="25" t="str">
        <x:v>给排水设计</x:v>
      </x:c>
      <x:c r="E278" s="27" t="str">
        <x:v>2-02-18-01</x:v>
      </x:c>
      <x:c r="F278" s="25" t="str">
        <x:v>建筑和市政设计工程技术人员</x:v>
      </x:c>
      <x:c r="G278" s="27" t="str">
        <x:v>IC03</x:v>
      </x:c>
      <x:c r="H278" s="25" t="str">
        <x:v>基础设施与城市建设产业链</x:v>
      </x:c>
      <x:c r="I278" s="25" t="str">
        <x:v>上游</x:v>
      </x:c>
      <x:c r="J278" s="27" t="str">
        <x:v>ICN007</x:v>
      </x:c>
      <x:c r="K278" s="25" t="str">
        <x:v>规划设计、建材与工程准备</x:v>
      </x:c>
      <x:c r="L278" s="28" t="n">
        <x:v>82</x:v>
      </x:c>
      <x:c r="M278" s="25" t="str">
        <x:v>高</x:v>
      </x:c>
      <x:c r="N278" s="26" t="str">
        <x:v>给排水、建筑、市政、房地产、施工、设计、规划</x:v>
      </x:c>
      <x:c r="O278" s="26" t="str">
        <x:v>岗位名称/描述出现“给排水、建筑、市政、房地产、施工”，工作环节更贴近“设计、规划”，因此关联到该节点。</x:v>
      </x:c>
      <x:c r="P278" s="26" t="str">
        <x:v>自动通过</x:v>
      </x:c>
    </x:row>
    <x:row r="279" ht="44" customHeight="1">
      <x:c r="A279" s="27" t="str">
        <x:v>REL000276</x:v>
      </x:c>
      <x:c r="B279" s="25" t="n">
        <x:v>11364</x:v>
      </x:c>
      <x:c r="C279" s="27" t="str">
        <x:v>IC-L3-621</x:v>
      </x:c>
      <x:c r="D279" s="25" t="str">
        <x:v>规划与设计</x:v>
      </x:c>
      <x:c r="E279" s="27" t="str">
        <x:v>2-02-18-01</x:v>
      </x:c>
      <x:c r="F279" s="25" t="str">
        <x:v>建筑和市政设计工程技术人员</x:v>
      </x:c>
      <x:c r="G279" s="27" t="str">
        <x:v>IC03</x:v>
      </x:c>
      <x:c r="H279" s="25" t="str">
        <x:v>基础设施与城市建设产业链</x:v>
      </x:c>
      <x:c r="I279" s="25" t="str">
        <x:v>上游</x:v>
      </x:c>
      <x:c r="J279" s="27" t="str">
        <x:v>ICN007</x:v>
      </x:c>
      <x:c r="K279" s="25" t="str">
        <x:v>规划设计、建材与工程准备</x:v>
      </x:c>
      <x:c r="L279" s="28" t="n">
        <x:v>70</x:v>
      </x:c>
      <x:c r="M279" s="25" t="str">
        <x:v>中</x:v>
      </x:c>
      <x:c r="N279" s="26" t="str">
        <x:v>建筑、市政、房地产、规划、设计</x:v>
      </x:c>
      <x:c r="O279" s="26" t="str">
        <x:v>岗位名称/描述出现“建筑、市政、房地产”，工作环节更贴近“规划、设计”，因此关联到该节点。</x:v>
      </x:c>
      <x:c r="P279" s="26" t="str">
        <x:v>自动通过</x:v>
      </x:c>
    </x:row>
    <x:row r="280" ht="44" customHeight="1">
      <x:c r="A280" s="27" t="str">
        <x:v>REL000277</x:v>
      </x:c>
      <x:c r="B280" s="25" t="n">
        <x:v>11365</x:v>
      </x:c>
      <x:c r="C280" s="27" t="str">
        <x:v>IC-L3-622</x:v>
      </x:c>
      <x:c r="D280" s="25" t="str">
        <x:v>软装设计</x:v>
      </x:c>
      <x:c r="E280" s="27" t="str">
        <x:v>2-02-18-01</x:v>
      </x:c>
      <x:c r="F280" s="25" t="str">
        <x:v>建筑和市政设计工程技术人员</x:v>
      </x:c>
      <x:c r="G280" s="27" t="str">
        <x:v>IC03</x:v>
      </x:c>
      <x:c r="H280" s="25" t="str">
        <x:v>基础设施与城市建设产业链</x:v>
      </x:c>
      <x:c r="I280" s="25" t="str">
        <x:v>上游</x:v>
      </x:c>
      <x:c r="J280" s="27" t="str">
        <x:v>ICN007</x:v>
      </x:c>
      <x:c r="K280" s="25" t="str">
        <x:v>规划设计、建材与工程准备</x:v>
      </x:c>
      <x:c r="L280" s="28" t="n">
        <x:v>68</x:v>
      </x:c>
      <x:c r="M280" s="25" t="str">
        <x:v>中</x:v>
      </x:c>
      <x:c r="N280" s="26" t="str">
        <x:v>建筑、市政、房地产、物业、施工、设计、规划</x:v>
      </x:c>
      <x:c r="O280" s="26" t="str">
        <x:v>岗位名称/描述出现“建筑、市政、房地产、物业、施工”，工作环节更贴近“设计、规划”，因此关联到该节点。</x:v>
      </x:c>
      <x:c r="P280" s="26" t="str">
        <x:v>自动通过</x:v>
      </x:c>
    </x:row>
    <x:row r="281" ht="44" customHeight="1">
      <x:c r="A281" s="27" t="str">
        <x:v>REL000278</x:v>
      </x:c>
      <x:c r="B281" s="25" t="n">
        <x:v>11366</x:v>
      </x:c>
      <x:c r="C281" s="27" t="str">
        <x:v>IC-L3-623</x:v>
      </x:c>
      <x:c r="D281" s="25" t="str">
        <x:v>钢结构设计</x:v>
      </x:c>
      <x:c r="E281" s="27" t="str">
        <x:v>2-02-18-01</x:v>
      </x:c>
      <x:c r="F281" s="25" t="str">
        <x:v>建筑和市政设计工程技术人员</x:v>
      </x:c>
      <x:c r="G281" s="27" t="str">
        <x:v>IC03</x:v>
      </x:c>
      <x:c r="H281" s="25" t="str">
        <x:v>基础设施与城市建设产业链</x:v>
      </x:c>
      <x:c r="I281" s="25" t="str">
        <x:v>上游</x:v>
      </x:c>
      <x:c r="J281" s="27" t="str">
        <x:v>ICN007</x:v>
      </x:c>
      <x:c r="K281" s="25" t="str">
        <x:v>规划设计、建材与工程准备</x:v>
      </x:c>
      <x:c r="L281" s="28" t="n">
        <x:v>74</x:v>
      </x:c>
      <x:c r="M281" s="25" t="str">
        <x:v>中</x:v>
      </x:c>
      <x:c r="N281" s="26" t="str">
        <x:v>建筑、市政、土木、房地产、施工、设计、结构设计</x:v>
      </x:c>
      <x:c r="O281" s="26" t="str">
        <x:v>岗位名称/描述出现“建筑、市政、土木、房地产、施工”，工作环节更贴近“设计、结构设计”，因此关联到该节点。</x:v>
      </x:c>
      <x:c r="P281" s="26" t="str">
        <x:v>自动通过</x:v>
      </x:c>
    </x:row>
    <x:row r="282" ht="44" customHeight="1">
      <x:c r="A282" s="27" t="str">
        <x:v>REL000279</x:v>
      </x:c>
      <x:c r="B282" s="25" t="n">
        <x:v>11367</x:v>
      </x:c>
      <x:c r="C282" s="27" t="str">
        <x:v>IC-L3-624</x:v>
      </x:c>
      <x:c r="D282" s="25" t="str">
        <x:v>房产项目配套工程师</x:v>
      </x:c>
      <x:c r="E282" s="27" t="str">
        <x:v>2-02-18-06</x:v>
      </x:c>
      <x:c r="F282" s="25" t="str">
        <x:v>城镇燃气与供热工程技术人员</x:v>
      </x:c>
      <x:c r="G282" s="27" t="str">
        <x:v>IC03</x:v>
      </x:c>
      <x:c r="H282" s="25" t="str">
        <x:v>基础设施与城市建设产业链</x:v>
      </x:c>
      <x:c r="I282" s="25" t="str">
        <x:v>中游</x:v>
      </x:c>
      <x:c r="J282" s="27" t="str">
        <x:v>ICN008</x:v>
      </x:c>
      <x:c r="K282" s="25" t="str">
        <x:v>基础设施建设与房地产开发</x:v>
      </x:c>
      <x:c r="L282" s="28" t="n">
        <x:v>64</x:v>
      </x:c>
      <x:c r="M282" s="25" t="str">
        <x:v>低</x:v>
      </x:c>
      <x:c r="N282" s="26" t="str">
        <x:v>燃气、供热、房地产、施工、暖通、建设、房地产开发、安装</x:v>
      </x:c>
      <x:c r="O282" s="26" t="str">
        <x:v>岗位名称/描述出现“燃气、供热、房地产、施工、暖通”，工作环节更贴近“施工、建设、房地产开发、安装”，因此关联到该节点。</x:v>
      </x:c>
      <x:c r="P282" s="26" t="str">
        <x:v>建议复核</x:v>
      </x:c>
    </x:row>
    <x:row r="283" ht="44" customHeight="1">
      <x:c r="A283" s="27" t="str">
        <x:v>REL000280</x:v>
      </x:c>
      <x:c r="B283" s="25" t="n">
        <x:v>11368</x:v>
      </x:c>
      <x:c r="C283" s="27" t="str">
        <x:v>IC-L3-625</x:v>
      </x:c>
      <x:c r="D283" s="25" t="str">
        <x:v>房地产投资分析</x:v>
      </x:c>
      <x:c r="E283" s="27" t="str">
        <x:v>2-06-07-06</x:v>
      </x:c>
      <x:c r="F283" s="25" t="str">
        <x:v>房地产开发专业人员</x:v>
      </x:c>
      <x:c r="G283" s="27" t="str">
        <x:v>IC03</x:v>
      </x:c>
      <x:c r="H283" s="25" t="str">
        <x:v>基础设施与城市建设产业链</x:v>
      </x:c>
      <x:c r="I283" s="25" t="str">
        <x:v>中游</x:v>
      </x:c>
      <x:c r="J283" s="27" t="str">
        <x:v>ICN008</x:v>
      </x:c>
      <x:c r="K283" s="25" t="str">
        <x:v>基础设施建设与房地产开发</x:v>
      </x:c>
      <x:c r="L283" s="28" t="n">
        <x:v>72</x:v>
      </x:c>
      <x:c r="M283" s="25" t="str">
        <x:v>中</x:v>
      </x:c>
      <x:c r="N283" s="26" t="str">
        <x:v>房地产、建筑、房地产开发</x:v>
      </x:c>
      <x:c r="O283" s="26" t="str">
        <x:v>岗位名称/描述出现“房地产、建筑”，工作环节更贴近“房地产开发”，因此关联到该节点。</x:v>
      </x:c>
      <x:c r="P283" s="26" t="str">
        <x:v>自动通过</x:v>
      </x:c>
    </x:row>
    <x:row r="284" ht="44" customHeight="1">
      <x:c r="A284" s="27" t="str">
        <x:v>REL000281</x:v>
      </x:c>
      <x:c r="B284" s="25" t="n">
        <x:v>11369</x:v>
      </x:c>
      <x:c r="C284" s="27" t="str">
        <x:v>IC-L3-626</x:v>
      </x:c>
      <x:c r="D284" s="25" t="str">
        <x:v>房地产投资管理</x:v>
      </x:c>
      <x:c r="E284" s="27" t="str">
        <x:v>2-06-07-06</x:v>
      </x:c>
      <x:c r="F284" s="25" t="str">
        <x:v>房地产开发专业人员</x:v>
      </x:c>
      <x:c r="G284" s="27" t="str">
        <x:v>IC03</x:v>
      </x:c>
      <x:c r="H284" s="25" t="str">
        <x:v>基础设施与城市建设产业链</x:v>
      </x:c>
      <x:c r="I284" s="25" t="str">
        <x:v>中游</x:v>
      </x:c>
      <x:c r="J284" s="27" t="str">
        <x:v>ICN008</x:v>
      </x:c>
      <x:c r="K284" s="25" t="str">
        <x:v>基础设施建设与房地产开发</x:v>
      </x:c>
      <x:c r="L284" s="28" t="n">
        <x:v>71</x:v>
      </x:c>
      <x:c r="M284" s="25" t="str">
        <x:v>中</x:v>
      </x:c>
      <x:c r="N284" s="26" t="str">
        <x:v>房地产、房地产开发</x:v>
      </x:c>
      <x:c r="O284" s="26" t="str">
        <x:v>岗位名称/描述出现“房地产”，工作环节更贴近“房地产开发”，因此关联到该节点。</x:v>
      </x:c>
      <x:c r="P284" s="26" t="str">
        <x:v>自动通过</x:v>
      </x:c>
    </x:row>
    <x:row r="285" ht="44" customHeight="1">
      <x:c r="A285" s="27" t="str">
        <x:v>REL000282</x:v>
      </x:c>
      <x:c r="B285" s="25" t="n">
        <x:v>11370</x:v>
      </x:c>
      <x:c r="C285" s="27" t="str">
        <x:v>IC-L3-627</x:v>
      </x:c>
      <x:c r="D285" s="25" t="str">
        <x:v>房地产资产管理</x:v>
      </x:c>
      <x:c r="E285" s="27" t="str">
        <x:v>2-06-07-06</x:v>
      </x:c>
      <x:c r="F285" s="25" t="str">
        <x:v>房地产开发专业人员</x:v>
      </x:c>
      <x:c r="G285" s="27" t="str">
        <x:v>IC03</x:v>
      </x:c>
      <x:c r="H285" s="25" t="str">
        <x:v>基础设施与城市建设产业链</x:v>
      </x:c>
      <x:c r="I285" s="25" t="str">
        <x:v>中游</x:v>
      </x:c>
      <x:c r="J285" s="27" t="str">
        <x:v>ICN008</x:v>
      </x:c>
      <x:c r="K285" s="25" t="str">
        <x:v>基础设施建设与房地产开发</x:v>
      </x:c>
      <x:c r="L285" s="28" t="n">
        <x:v>73</x:v>
      </x:c>
      <x:c r="M285" s="25" t="str">
        <x:v>中</x:v>
      </x:c>
      <x:c r="N285" s="26" t="str">
        <x:v>房地产、物业、房地产开发</x:v>
      </x:c>
      <x:c r="O285" s="26" t="str">
        <x:v>岗位名称/描述出现“房地产、物业”，工作环节更贴近“房地产开发”，因此关联到该节点。</x:v>
      </x:c>
      <x:c r="P285" s="26" t="str">
        <x:v>自动通过</x:v>
      </x:c>
    </x:row>
    <x:row r="286" ht="44" customHeight="1">
      <x:c r="A286" s="27" t="str">
        <x:v>REL000283</x:v>
      </x:c>
      <x:c r="B286" s="25" t="n">
        <x:v>11371</x:v>
      </x:c>
      <x:c r="C286" s="27" t="str">
        <x:v>IC-L3-628</x:v>
      </x:c>
      <x:c r="D286" s="25" t="str">
        <x:v>房地产项目/策划专员</x:v>
      </x:c>
      <x:c r="E286" s="27" t="str">
        <x:v>2-06-07-03</x:v>
      </x:c>
      <x:c r="F286" s="25" t="str">
        <x:v>商务策划专业人员</x:v>
      </x:c>
      <x:c r="G286" s="27" t="str">
        <x:v>IC03</x:v>
      </x:c>
      <x:c r="H286" s="25" t="str">
        <x:v>基础设施与城市建设产业链</x:v>
      </x:c>
      <x:c r="I286" s="25" t="str">
        <x:v>中游</x:v>
      </x:c>
      <x:c r="J286" s="27" t="str">
        <x:v>ICN008</x:v>
      </x:c>
      <x:c r="K286" s="25" t="str">
        <x:v>基础设施建设与房地产开发</x:v>
      </x:c>
      <x:c r="L286" s="28" t="n">
        <x:v>67</x:v>
      </x:c>
      <x:c r="M286" s="25" t="str">
        <x:v>低</x:v>
      </x:c>
      <x:c r="N286" s="26" t="str">
        <x:v>房地产、房地产开发</x:v>
      </x:c>
      <x:c r="O286" s="26" t="str">
        <x:v>岗位名称/描述出现“房地产”，工作环节更贴近“房地产开发”，因此关联到该节点。</x:v>
      </x:c>
      <x:c r="P286" s="26" t="str">
        <x:v>建议复核</x:v>
      </x:c>
    </x:row>
    <x:row r="287" ht="44" customHeight="1">
      <x:c r="A287" s="27" t="str">
        <x:v>REL000284</x:v>
      </x:c>
      <x:c r="B287" s="25" t="n">
        <x:v>11372</x:v>
      </x:c>
      <x:c r="C287" s="27" t="str">
        <x:v>IC-L3-629</x:v>
      </x:c>
      <x:c r="D287" s="25" t="str">
        <x:v>房地产项目/策划主管</x:v>
      </x:c>
      <x:c r="E287" s="27" t="str">
        <x:v>2-06-07-03</x:v>
      </x:c>
      <x:c r="F287" s="25" t="str">
        <x:v>商务策划专业人员</x:v>
      </x:c>
      <x:c r="G287" s="27" t="str">
        <x:v>IC03</x:v>
      </x:c>
      <x:c r="H287" s="25" t="str">
        <x:v>基础设施与城市建设产业链</x:v>
      </x:c>
      <x:c r="I287" s="25" t="str">
        <x:v>中游</x:v>
      </x:c>
      <x:c r="J287" s="27" t="str">
        <x:v>ICN008</x:v>
      </x:c>
      <x:c r="K287" s="25" t="str">
        <x:v>基础设施建设与房地产开发</x:v>
      </x:c>
      <x:c r="L287" s="28" t="n">
        <x:v>67</x:v>
      </x:c>
      <x:c r="M287" s="25" t="str">
        <x:v>低</x:v>
      </x:c>
      <x:c r="N287" s="26" t="str">
        <x:v>房地产、房地产开发</x:v>
      </x:c>
      <x:c r="O287" s="26" t="str">
        <x:v>岗位名称/描述出现“房地产”，工作环节更贴近“房地产开发”，因此关联到该节点。</x:v>
      </x:c>
      <x:c r="P287" s="26" t="str">
        <x:v>建议复核</x:v>
      </x:c>
    </x:row>
    <x:row r="288" ht="44" customHeight="1">
      <x:c r="A288" s="27" t="str">
        <x:v>REL000285</x:v>
      </x:c>
      <x:c r="B288" s="25" t="n">
        <x:v>11373</x:v>
      </x:c>
      <x:c r="C288" s="27" t="str">
        <x:v>IC-L3-630</x:v>
      </x:c>
      <x:c r="D288" s="25" t="str">
        <x:v>房地产项目/策划经理</x:v>
      </x:c>
      <x:c r="E288" s="27" t="str">
        <x:v>2-06-07-03</x:v>
      </x:c>
      <x:c r="F288" s="25" t="str">
        <x:v>商务策划专业人员</x:v>
      </x:c>
      <x:c r="G288" s="27" t="str">
        <x:v>IC03</x:v>
      </x:c>
      <x:c r="H288" s="25" t="str">
        <x:v>基础设施与城市建设产业链</x:v>
      </x:c>
      <x:c r="I288" s="25" t="str">
        <x:v>中游</x:v>
      </x:c>
      <x:c r="J288" s="27" t="str">
        <x:v>ICN008</x:v>
      </x:c>
      <x:c r="K288" s="25" t="str">
        <x:v>基础设施建设与房地产开发</x:v>
      </x:c>
      <x:c r="L288" s="28" t="n">
        <x:v>70</x:v>
      </x:c>
      <x:c r="M288" s="25" t="str">
        <x:v>中</x:v>
      </x:c>
      <x:c r="N288" s="26" t="str">
        <x:v>房地产、施工、房地产开发</x:v>
      </x:c>
      <x:c r="O288" s="26" t="str">
        <x:v>岗位名称/描述出现“房地产、施工”，工作环节更贴近“施工、房地产开发”，因此关联到该节点。</x:v>
      </x:c>
      <x:c r="P288" s="26" t="str">
        <x:v>自动通过</x:v>
      </x:c>
    </x:row>
    <x:row r="289" ht="44" customHeight="1">
      <x:c r="A289" s="27" t="str">
        <x:v>REL000286</x:v>
      </x:c>
      <x:c r="B289" s="25" t="n">
        <x:v>11374</x:v>
      </x:c>
      <x:c r="C289" s="27" t="str">
        <x:v>IC-L3-631</x:v>
      </x:c>
      <x:c r="D289" s="25" t="str">
        <x:v>房地产项目招投标</x:v>
      </x:c>
      <x:c r="E289" s="27" t="str">
        <x:v>2-06-07-06</x:v>
      </x:c>
      <x:c r="F289" s="25" t="str">
        <x:v>房地产开发专业人员</x:v>
      </x:c>
      <x:c r="G289" s="27" t="str">
        <x:v>IC03</x:v>
      </x:c>
      <x:c r="H289" s="25" t="str">
        <x:v>基础设施与城市建设产业链</x:v>
      </x:c>
      <x:c r="I289" s="25" t="str">
        <x:v>中游</x:v>
      </x:c>
      <x:c r="J289" s="27" t="str">
        <x:v>ICN008</x:v>
      </x:c>
      <x:c r="K289" s="25" t="str">
        <x:v>基础设施建设与房地产开发</x:v>
      </x:c>
      <x:c r="L289" s="28" t="n">
        <x:v>76</x:v>
      </x:c>
      <x:c r="M289" s="25" t="str">
        <x:v>中</x:v>
      </x:c>
      <x:c r="N289" s="26" t="str">
        <x:v>房地产、工程造价、施工、房地产开发</x:v>
      </x:c>
      <x:c r="O289" s="26" t="str">
        <x:v>岗位名称/描述出现“房地产、工程造价、施工”，工作环节更贴近“房地产开发、施工”，因此关联到该节点。</x:v>
      </x:c>
      <x:c r="P289" s="26" t="str">
        <x:v>自动通过</x:v>
      </x:c>
    </x:row>
    <x:row r="290" ht="44" customHeight="1">
      <x:c r="A290" s="27" t="str">
        <x:v>REL000287</x:v>
      </x:c>
      <x:c r="B290" s="25" t="n">
        <x:v>11375</x:v>
      </x:c>
      <x:c r="C290" s="27" t="str">
        <x:v>IC-L3-632</x:v>
      </x:c>
      <x:c r="D290" s="25" t="str">
        <x:v>房地产中介/置业顾问</x:v>
      </x:c>
      <x:c r="E290" s="27" t="str">
        <x:v>4-01-02-01</x:v>
      </x:c>
      <x:c r="F290" s="25" t="str">
        <x:v>营销员</x:v>
      </x:c>
      <x:c r="G290" s="27" t="str">
        <x:v>IC03</x:v>
      </x:c>
      <x:c r="H290" s="25" t="str">
        <x:v>基础设施与城市建设产业链</x:v>
      </x:c>
      <x:c r="I290" s="25" t="str">
        <x:v>下游</x:v>
      </x:c>
      <x:c r="J290" s="27" t="str">
        <x:v>ICN009</x:v>
      </x:c>
      <x:c r="K290" s="25" t="str">
        <x:v>城市运营、公用事业与物业服务</x:v>
      </x:c>
      <x:c r="L290" s="28" t="n">
        <x:v>80</x:v>
      </x:c>
      <x:c r="M290" s="25" t="str">
        <x:v>中</x:v>
      </x:c>
      <x:c r="N290" s="26" t="str">
        <x:v>房地产、建筑、中介、置业、销售</x:v>
      </x:c>
      <x:c r="O290" s="26" t="str">
        <x:v>岗位名称/描述出现“房地产、建筑”，工作环节更贴近“中介、置业、销售”，因此关联到该节点。</x:v>
      </x:c>
      <x:c r="P290" s="26" t="str">
        <x:v>自动通过</x:v>
      </x:c>
    </x:row>
    <x:row r="291" ht="44" customHeight="1">
      <x:c r="A291" s="27" t="str">
        <x:v>REL000288</x:v>
      </x:c>
      <x:c r="B291" s="25" t="n">
        <x:v>11376</x:v>
      </x:c>
      <x:c r="C291" s="27" t="str">
        <x:v>IC-L3-633</x:v>
      </x:c>
      <x:c r="D291" s="25" t="str">
        <x:v>房地产客服</x:v>
      </x:c>
      <x:c r="E291" s="27" t="str">
        <x:v>4-04-05-01</x:v>
      </x:c>
      <x:c r="F291" s="25" t="str">
        <x:v>计算机程序设计员</x:v>
      </x:c>
      <x:c r="G291" s="27" t="str">
        <x:v>IC03</x:v>
      </x:c>
      <x:c r="H291" s="25" t="str">
        <x:v>基础设施与城市建设产业链</x:v>
      </x:c>
      <x:c r="I291" s="25" t="str">
        <x:v>下游</x:v>
      </x:c>
      <x:c r="J291" s="27" t="str">
        <x:v>ICN009</x:v>
      </x:c>
      <x:c r="K291" s="25" t="str">
        <x:v>城市运营、公用事业与物业服务</x:v>
      </x:c>
      <x:c r="L291" s="28" t="n">
        <x:v>74</x:v>
      </x:c>
      <x:c r="M291" s="25" t="str">
        <x:v>中</x:v>
      </x:c>
      <x:c r="N291" s="26" t="str">
        <x:v>房地产、建筑、客服、销售</x:v>
      </x:c>
      <x:c r="O291" s="26" t="str">
        <x:v>岗位名称/描述出现“房地产、建筑”，工作环节更贴近“客服、销售”，因此关联到该节点。</x:v>
      </x:c>
      <x:c r="P291" s="26" t="str">
        <x:v>自动通过</x:v>
      </x:c>
    </x:row>
    <x:row r="292" ht="44" customHeight="1">
      <x:c r="A292" s="27" t="str">
        <x:v>REL000289</x:v>
      </x:c>
      <x:c r="B292" s="25" t="n">
        <x:v>11377</x:v>
      </x:c>
      <x:c r="C292" s="27" t="str">
        <x:v>IC-L3-634</x:v>
      </x:c>
      <x:c r="D292" s="25" t="str">
        <x:v>房地产店长/经理</x:v>
      </x:c>
      <x:c r="E292" s="27" t="str">
        <x:v>4-01-02-03</x:v>
      </x:c>
      <x:c r="F292" s="25" t="str">
        <x:v>商品营业员</x:v>
      </x:c>
      <x:c r="G292" s="27" t="str">
        <x:v>IC03</x:v>
      </x:c>
      <x:c r="H292" s="25" t="str">
        <x:v>基础设施与城市建设产业链</x:v>
      </x:c>
      <x:c r="I292" s="25" t="str">
        <x:v>中游</x:v>
      </x:c>
      <x:c r="J292" s="27" t="str">
        <x:v>ICN008</x:v>
      </x:c>
      <x:c r="K292" s="25" t="str">
        <x:v>基础设施建设与房地产开发</x:v>
      </x:c>
      <x:c r="L292" s="28" t="n">
        <x:v>66</x:v>
      </x:c>
      <x:c r="M292" s="25" t="str">
        <x:v>低</x:v>
      </x:c>
      <x:c r="N292" s="26" t="str">
        <x:v>房地产</x:v>
      </x:c>
      <x:c r="O292" s="26" t="str">
        <x:v>岗位名称/描述出现“房地产”，工作环节更贴近“中游”，因此关联到该节点。</x:v>
      </x:c>
      <x:c r="P292" s="26" t="str">
        <x:v>建议复核</x:v>
      </x:c>
    </x:row>
    <x:row r="293" ht="44" customHeight="1">
      <x:c r="A293" s="27" t="str">
        <x:v>REL000290</x:v>
      </x:c>
      <x:c r="B293" s="25" t="n">
        <x:v>11378</x:v>
      </x:c>
      <x:c r="C293" s="27" t="str">
        <x:v>IC-L3-635</x:v>
      </x:c>
      <x:c r="D293" s="25" t="str">
        <x:v>房地产评估</x:v>
      </x:c>
      <x:c r="E293" s="27" t="str">
        <x:v>4-01-02-01</x:v>
      </x:c>
      <x:c r="F293" s="25" t="str">
        <x:v>营销员</x:v>
      </x:c>
      <x:c r="G293" s="27" t="str">
        <x:v>IC03</x:v>
      </x:c>
      <x:c r="H293" s="25" t="str">
        <x:v>基础设施与城市建设产业链</x:v>
      </x:c>
      <x:c r="I293" s="25" t="str">
        <x:v>中游</x:v>
      </x:c>
      <x:c r="J293" s="27" t="str">
        <x:v>ICN008</x:v>
      </x:c>
      <x:c r="K293" s="25" t="str">
        <x:v>基础设施建设与房地产开发</x:v>
      </x:c>
      <x:c r="L293" s="28" t="n">
        <x:v>68</x:v>
      </x:c>
      <x:c r="M293" s="25" t="str">
        <x:v>中</x:v>
      </x:c>
      <x:c r="N293" s="26" t="str">
        <x:v>房地产、建筑</x:v>
      </x:c>
      <x:c r="O293" s="26" t="str">
        <x:v>岗位名称/描述出现“房地产、建筑”，工作环节更贴近“中游”，因此关联到该节点。</x:v>
      </x:c>
      <x:c r="P293" s="26" t="str">
        <x:v>自动通过</x:v>
      </x:c>
    </x:row>
    <x:row r="294" ht="44" customHeight="1">
      <x:c r="A294" s="27" t="str">
        <x:v>REL000291</x:v>
      </x:c>
      <x:c r="B294" s="25" t="n">
        <x:v>11379</x:v>
      </x:c>
      <x:c r="C294" s="27" t="str">
        <x:v>IC-L3-636</x:v>
      </x:c>
      <x:c r="D294" s="25" t="str">
        <x:v>房地产销售专员</x:v>
      </x:c>
      <x:c r="E294" s="27" t="str">
        <x:v>4-01-02-01</x:v>
      </x:c>
      <x:c r="F294" s="25" t="str">
        <x:v>营销员</x:v>
      </x:c>
      <x:c r="G294" s="27" t="str">
        <x:v>IC03</x:v>
      </x:c>
      <x:c r="H294" s="25" t="str">
        <x:v>基础设施与城市建设产业链</x:v>
      </x:c>
      <x:c r="I294" s="25" t="str">
        <x:v>下游</x:v>
      </x:c>
      <x:c r="J294" s="27" t="str">
        <x:v>ICN009</x:v>
      </x:c>
      <x:c r="K294" s="25" t="str">
        <x:v>城市运营、公用事业与物业服务</x:v>
      </x:c>
      <x:c r="L294" s="28" t="n">
        <x:v>73</x:v>
      </x:c>
      <x:c r="M294" s="25" t="str">
        <x:v>中</x:v>
      </x:c>
      <x:c r="N294" s="26" t="str">
        <x:v>房地产、建筑、销售</x:v>
      </x:c>
      <x:c r="O294" s="26" t="str">
        <x:v>岗位名称/描述出现“房地产、建筑”，工作环节更贴近“销售”，因此关联到该节点。</x:v>
      </x:c>
      <x:c r="P294" s="26" t="str">
        <x:v>自动通过</x:v>
      </x:c>
    </x:row>
    <x:row r="295" ht="44" customHeight="1">
      <x:c r="A295" s="27" t="str">
        <x:v>REL000292</x:v>
      </x:c>
      <x:c r="B295" s="25" t="n">
        <x:v>11380</x:v>
      </x:c>
      <x:c r="C295" s="27" t="str">
        <x:v>IC-L3-637</x:v>
      </x:c>
      <x:c r="D295" s="25" t="str">
        <x:v>房地产销售经理/主管</x:v>
      </x:c>
      <x:c r="E295" s="27" t="str">
        <x:v>4-01-02-01</x:v>
      </x:c>
      <x:c r="F295" s="25" t="str">
        <x:v>营销员</x:v>
      </x:c>
      <x:c r="G295" s="27" t="str">
        <x:v>IC03</x:v>
      </x:c>
      <x:c r="H295" s="25" t="str">
        <x:v>基础设施与城市建设产业链</x:v>
      </x:c>
      <x:c r="I295" s="25" t="str">
        <x:v>下游</x:v>
      </x:c>
      <x:c r="J295" s="27" t="str">
        <x:v>ICN009</x:v>
      </x:c>
      <x:c r="K295" s="25" t="str">
        <x:v>城市运营、公用事业与物业服务</x:v>
      </x:c>
      <x:c r="L295" s="28" t="n">
        <x:v>74</x:v>
      </x:c>
      <x:c r="M295" s="25" t="str">
        <x:v>中</x:v>
      </x:c>
      <x:c r="N295" s="26" t="str">
        <x:v>房地产、建筑、销售、客服</x:v>
      </x:c>
      <x:c r="O295" s="26" t="str">
        <x:v>岗位名称/描述出现“房地产、建筑”，工作环节更贴近“销售、客服”，因此关联到该节点。</x:v>
      </x:c>
      <x:c r="P295" s="26" t="str">
        <x:v>自动通过</x:v>
      </x:c>
    </x:row>
    <x:row r="296" ht="44" customHeight="1">
      <x:c r="A296" s="27" t="str">
        <x:v>REL000293</x:v>
      </x:c>
      <x:c r="B296" s="25" t="n">
        <x:v>11381</x:v>
      </x:c>
      <x:c r="C296" s="27" t="str">
        <x:v>IC-L3-638</x:v>
      </x:c>
      <x:c r="D296" s="25" t="str">
        <x:v>保安人员</x:v>
      </x:c>
      <x:c r="E296" s="27" t="str">
        <x:v>4-07-04-01</x:v>
      </x:c>
      <x:c r="F296" s="25" t="str">
        <x:v>导游</x:v>
      </x:c>
      <x:c r="G296" s="27" t="str">
        <x:v>IC03</x:v>
      </x:c>
      <x:c r="H296" s="25" t="str">
        <x:v>基础设施与城市建设产业链</x:v>
      </x:c>
      <x:c r="I296" s="25" t="str">
        <x:v>中游</x:v>
      </x:c>
      <x:c r="J296" s="27" t="str">
        <x:v>ICN008</x:v>
      </x:c>
      <x:c r="K296" s="25" t="str">
        <x:v>基础设施建设与房地产开发</x:v>
      </x:c>
      <x:c r="L296" s="28" t="n">
        <x:v>56</x:v>
      </x:c>
      <x:c r="M296" s="25" t="str">
        <x:v>低</x:v>
      </x:c>
      <x:c r="N296" s="26" t="str">
        <x:v>建筑、房地产、物业</x:v>
      </x:c>
      <x:c r="O296" s="26" t="str">
        <x:v>岗位名称/描述出现“建筑、房地产、物业”，工作环节更贴近“中游”，因此关联到该节点。</x:v>
      </x:c>
      <x:c r="P296" s="26" t="str">
        <x:v>建议复核</x:v>
      </x:c>
    </x:row>
    <x:row r="297" ht="44" customHeight="1">
      <x:c r="A297" s="27" t="str">
        <x:v>REL000294</x:v>
      </x:c>
      <x:c r="B297" s="25" t="n">
        <x:v>11382</x:v>
      </x:c>
      <x:c r="C297" s="27" t="str">
        <x:v>IC-L3-639</x:v>
      </x:c>
      <x:c r="D297" s="25" t="str">
        <x:v>保安经理</x:v>
      </x:c>
      <x:c r="E297" s="27" t="str">
        <x:v>4-07-04-01</x:v>
      </x:c>
      <x:c r="F297" s="25" t="str">
        <x:v>导游</x:v>
      </x:c>
      <x:c r="G297" s="27" t="str">
        <x:v>IC03</x:v>
      </x:c>
      <x:c r="H297" s="25" t="str">
        <x:v>基础设施与城市建设产业链</x:v>
      </x:c>
      <x:c r="I297" s="25" t="str">
        <x:v>中游</x:v>
      </x:c>
      <x:c r="J297" s="27" t="str">
        <x:v>ICN008</x:v>
      </x:c>
      <x:c r="K297" s="25" t="str">
        <x:v>基础设施建设与房地产开发</x:v>
      </x:c>
      <x:c r="L297" s="28" t="n">
        <x:v>57</x:v>
      </x:c>
      <x:c r="M297" s="25" t="str">
        <x:v>低</x:v>
      </x:c>
      <x:c r="N297" s="26" t="str">
        <x:v>建筑、房地产、物业、建设</x:v>
      </x:c>
      <x:c r="O297" s="26" t="str">
        <x:v>岗位名称/描述出现“建筑、房地产、物业”，工作环节更贴近“建设”，因此关联到该节点。</x:v>
      </x:c>
      <x:c r="P297" s="26" t="str">
        <x:v>建议复核</x:v>
      </x:c>
    </x:row>
    <x:row r="298" ht="44" customHeight="1">
      <x:c r="A298" s="27" t="str">
        <x:v>REL000295</x:v>
      </x:c>
      <x:c r="B298" s="25" t="n">
        <x:v>11383</x:v>
      </x:c>
      <x:c r="C298" s="27" t="str">
        <x:v>IC-L3-640</x:v>
      </x:c>
      <x:c r="D298" s="25" t="str">
        <x:v>写字楼运营</x:v>
      </x:c>
      <x:c r="E298" s="27" t="str">
        <x:v>4-06-01-04</x:v>
      </x:c>
      <x:c r="F298" s="25" t="str">
        <x:v>智能楼宇管理员</x:v>
      </x:c>
      <x:c r="G298" s="27" t="str">
        <x:v>IC03</x:v>
      </x:c>
      <x:c r="H298" s="25" t="str">
        <x:v>基础设施与城市建设产业链</x:v>
      </x:c>
      <x:c r="I298" s="25" t="str">
        <x:v>中游</x:v>
      </x:c>
      <x:c r="J298" s="27" t="str">
        <x:v>ICN008</x:v>
      </x:c>
      <x:c r="K298" s="25" t="str">
        <x:v>基础设施建设与房地产开发</x:v>
      </x:c>
      <x:c r="L298" s="28" t="n">
        <x:v>63</x:v>
      </x:c>
      <x:c r="M298" s="25" t="str">
        <x:v>低</x:v>
      </x:c>
      <x:c r="N298" s="26" t="str">
        <x:v>楼宇、建筑、房地产、物业、项目管理</x:v>
      </x:c>
      <x:c r="O298" s="26" t="str">
        <x:v>岗位名称/描述出现“楼宇、建筑、房地产、物业”，工作环节更贴近“项目管理”，因此关联到该节点。</x:v>
      </x:c>
      <x:c r="P298" s="26" t="str">
        <x:v>建议复核</x:v>
      </x:c>
    </x:row>
    <x:row r="299" ht="44" customHeight="1">
      <x:c r="A299" s="27" t="str">
        <x:v>REL000296</x:v>
      </x:c>
      <x:c r="B299" s="25" t="n">
        <x:v>11384</x:v>
      </x:c>
      <x:c r="C299" s="27" t="str">
        <x:v>IC-L3-641</x:v>
      </x:c>
      <x:c r="D299" s="25" t="str">
        <x:v>房地产项目招投标</x:v>
      </x:c>
      <x:c r="E299" s="27" t="str">
        <x:v>4-06-01-04</x:v>
      </x:c>
      <x:c r="F299" s="25" t="str">
        <x:v>智能楼宇管理员</x:v>
      </x:c>
      <x:c r="G299" s="27" t="str">
        <x:v>IC03</x:v>
      </x:c>
      <x:c r="H299" s="25" t="str">
        <x:v>基础设施与城市建设产业链</x:v>
      </x:c>
      <x:c r="I299" s="25" t="str">
        <x:v>中游</x:v>
      </x:c>
      <x:c r="J299" s="27" t="str">
        <x:v>ICN008</x:v>
      </x:c>
      <x:c r="K299" s="25" t="str">
        <x:v>基础设施建设与房地产开发</x:v>
      </x:c>
      <x:c r="L299" s="28" t="n">
        <x:v>72</x:v>
      </x:c>
      <x:c r="M299" s="25" t="str">
        <x:v>中</x:v>
      </x:c>
      <x:c r="N299" s="26" t="str">
        <x:v>房地产、楼宇、建筑</x:v>
      </x:c>
      <x:c r="O299" s="26" t="str">
        <x:v>岗位名称/描述出现“房地产、楼宇、建筑”，工作环节更贴近“中游”，因此关联到该节点。</x:v>
      </x:c>
      <x:c r="P299" s="26" t="str">
        <x:v>自动通过</x:v>
      </x:c>
    </x:row>
    <x:row r="300" ht="44" customHeight="1">
      <x:c r="A300" s="27" t="str">
        <x:v>REL000297</x:v>
      </x:c>
      <x:c r="B300" s="25" t="n">
        <x:v>11385</x:v>
      </x:c>
      <x:c r="C300" s="27" t="str">
        <x:v>IC-L3-642</x:v>
      </x:c>
      <x:c r="D300" s="25" t="str">
        <x:v>物业机电工程师</x:v>
      </x:c>
      <x:c r="E300" s="27" t="str">
        <x:v>4-06-01-04</x:v>
      </x:c>
      <x:c r="F300" s="25" t="str">
        <x:v>智能楼宇管理员</x:v>
      </x:c>
      <x:c r="G300" s="27" t="str">
        <x:v>IC03</x:v>
      </x:c>
      <x:c r="H300" s="25" t="str">
        <x:v>基础设施与城市建设产业链</x:v>
      </x:c>
      <x:c r="I300" s="25" t="str">
        <x:v>下游</x:v>
      </x:c>
      <x:c r="J300" s="27" t="str">
        <x:v>ICN009</x:v>
      </x:c>
      <x:c r="K300" s="25" t="str">
        <x:v>城市运营、公用事业与物业服务</x:v>
      </x:c>
      <x:c r="L300" s="28" t="n">
        <x:v>79</x:v>
      </x:c>
      <x:c r="M300" s="25" t="str">
        <x:v>中</x:v>
      </x:c>
      <x:c r="N300" s="26" t="str">
        <x:v>物业、楼宇、建筑、房地产</x:v>
      </x:c>
      <x:c r="O300" s="26" t="str">
        <x:v>岗位名称/描述出现“物业、楼宇、建筑、房地产”，工作环节更贴近“物业、楼宇”，因此关联到该节点。</x:v>
      </x:c>
      <x:c r="P300" s="26" t="str">
        <x:v>自动通过</x:v>
      </x:c>
    </x:row>
    <x:row r="301" ht="44" customHeight="1">
      <x:c r="A301" s="27" t="str">
        <x:v>REL000298</x:v>
      </x:c>
      <x:c r="B301" s="25" t="n">
        <x:v>11385</x:v>
      </x:c>
      <x:c r="C301" s="27" t="str">
        <x:v>IC-L3-642</x:v>
      </x:c>
      <x:c r="D301" s="25" t="str">
        <x:v>物业机电工程师</x:v>
      </x:c>
      <x:c r="E301" s="27" t="str">
        <x:v>4-06-01-04</x:v>
      </x:c>
      <x:c r="F301" s="25" t="str">
        <x:v>智能楼宇管理员</x:v>
      </x:c>
      <x:c r="G301" s="27" t="str">
        <x:v>IC02</x:v>
      </x:c>
      <x:c r="H301" s="25" t="str">
        <x:v>高端装备与智能制造产业链</x:v>
      </x:c>
      <x:c r="I301" s="25" t="str">
        <x:v>中游</x:v>
      </x:c>
      <x:c r="J301" s="27" t="str">
        <x:v>ICN005</x:v>
      </x:c>
      <x:c r="K301" s="25" t="str">
        <x:v>高端装备制造与激光加工</x:v>
      </x:c>
      <x:c r="L301" s="28" t="n">
        <x:v>66</x:v>
      </x:c>
      <x:c r="M301" s="25" t="str">
        <x:v>低</x:v>
      </x:c>
      <x:c r="N301" s="26" t="str">
        <x:v>机电</x:v>
      </x:c>
      <x:c r="O301" s="26" t="str">
        <x:v>岗位名称/描述出现“机电”，工作环节更贴近“中游”，因此关联到该节点。</x:v>
      </x:c>
      <x:c r="P301" s="26" t="str">
        <x:v>建议复核</x:v>
      </x:c>
    </x:row>
    <x:row r="302" ht="44" customHeight="1">
      <x:c r="A302" s="27" t="str">
        <x:v>REL000299</x:v>
      </x:c>
      <x:c r="B302" s="25" t="n">
        <x:v>11386</x:v>
      </x:c>
      <x:c r="C302" s="27" t="str">
        <x:v>IC-L3-643</x:v>
      </x:c>
      <x:c r="D302" s="25" t="str">
        <x:v>物业机电维修工</x:v>
      </x:c>
      <x:c r="E302" s="27" t="str">
        <x:v>4-06-01-04</x:v>
      </x:c>
      <x:c r="F302" s="25" t="str">
        <x:v>智能楼宇管理员</x:v>
      </x:c>
      <x:c r="G302" s="27" t="str">
        <x:v>IC03</x:v>
      </x:c>
      <x:c r="H302" s="25" t="str">
        <x:v>基础设施与城市建设产业链</x:v>
      </x:c>
      <x:c r="I302" s="25" t="str">
        <x:v>下游</x:v>
      </x:c>
      <x:c r="J302" s="27" t="str">
        <x:v>ICN009</x:v>
      </x:c>
      <x:c r="K302" s="25" t="str">
        <x:v>城市运营、公用事业与物业服务</x:v>
      </x:c>
      <x:c r="L302" s="28" t="n">
        <x:v>84</x:v>
      </x:c>
      <x:c r="M302" s="25" t="str">
        <x:v>高</x:v>
      </x:c>
      <x:c r="N302" s="26" t="str">
        <x:v>物业、楼宇、建筑、房地产、给排水</x:v>
      </x:c>
      <x:c r="O302" s="26" t="str">
        <x:v>岗位名称/描述出现“物业、楼宇、建筑、房地产、给排水”，工作环节更贴近“物业、楼宇”，因此关联到该节点。</x:v>
      </x:c>
      <x:c r="P302" s="26" t="str">
        <x:v>自动通过</x:v>
      </x:c>
    </x:row>
    <x:row r="303" ht="44" customHeight="1">
      <x:c r="A303" s="27" t="str">
        <x:v>REL000300</x:v>
      </x:c>
      <x:c r="B303" s="25" t="n">
        <x:v>11386</x:v>
      </x:c>
      <x:c r="C303" s="27" t="str">
        <x:v>IC-L3-643</x:v>
      </x:c>
      <x:c r="D303" s="25" t="str">
        <x:v>物业机电维修工</x:v>
      </x:c>
      <x:c r="E303" s="27" t="str">
        <x:v>4-06-01-04</x:v>
      </x:c>
      <x:c r="F303" s="25" t="str">
        <x:v>智能楼宇管理员</x:v>
      </x:c>
      <x:c r="G303" s="27" t="str">
        <x:v>IC02</x:v>
      </x:c>
      <x:c r="H303" s="25" t="str">
        <x:v>高端装备与智能制造产业链</x:v>
      </x:c>
      <x:c r="I303" s="25" t="str">
        <x:v>中游</x:v>
      </x:c>
      <x:c r="J303" s="27" t="str">
        <x:v>ICN005</x:v>
      </x:c>
      <x:c r="K303" s="25" t="str">
        <x:v>高端装备制造与激光加工</x:v>
      </x:c>
      <x:c r="L303" s="28" t="n">
        <x:v>70</x:v>
      </x:c>
      <x:c r="M303" s="25" t="str">
        <x:v>中</x:v>
      </x:c>
      <x:c r="N303" s="26" t="str">
        <x:v>机电、机械、机械设备</x:v>
      </x:c>
      <x:c r="O303" s="26" t="str">
        <x:v>岗位名称/描述出现“机电、机械、机械设备”，工作环节更贴近“中游”，因此关联到该节点。</x:v>
      </x:c>
      <x:c r="P303" s="26" t="str">
        <x:v>自动通过</x:v>
      </x:c>
    </x:row>
    <x:row r="304" ht="44" customHeight="1">
      <x:c r="A304" s="27" t="str">
        <x:v>REL000301</x:v>
      </x:c>
      <x:c r="B304" s="25" t="n">
        <x:v>11387</x:v>
      </x:c>
      <x:c r="C304" s="27" t="str">
        <x:v>IC-L3-644</x:v>
      </x:c>
      <x:c r="D304" s="25" t="str">
        <x:v>物业管理专员/助理</x:v>
      </x:c>
      <x:c r="E304" s="27" t="str">
        <x:v>4-06-01-04</x:v>
      </x:c>
      <x:c r="F304" s="25" t="str">
        <x:v>智能楼宇管理员</x:v>
      </x:c>
      <x:c r="G304" s="27" t="str">
        <x:v>IC03</x:v>
      </x:c>
      <x:c r="H304" s="25" t="str">
        <x:v>基础设施与城市建设产业链</x:v>
      </x:c>
      <x:c r="I304" s="25" t="str">
        <x:v>下游</x:v>
      </x:c>
      <x:c r="J304" s="27" t="str">
        <x:v>ICN009</x:v>
      </x:c>
      <x:c r="K304" s="25" t="str">
        <x:v>城市运营、公用事业与物业服务</x:v>
      </x:c>
      <x:c r="L304" s="28" t="n">
        <x:v>79</x:v>
      </x:c>
      <x:c r="M304" s="25" t="str">
        <x:v>中</x:v>
      </x:c>
      <x:c r="N304" s="26" t="str">
        <x:v>物业、楼宇、建筑、房地产</x:v>
      </x:c>
      <x:c r="O304" s="26" t="str">
        <x:v>岗位名称/描述出现“物业、楼宇、建筑、房地产”，工作环节更贴近“物业、楼宇”，因此关联到该节点。</x:v>
      </x:c>
      <x:c r="P304" s="26" t="str">
        <x:v>自动通过</x:v>
      </x:c>
    </x:row>
    <x:row r="305" ht="44" customHeight="1">
      <x:c r="A305" s="27" t="str">
        <x:v>REL000302</x:v>
      </x:c>
      <x:c r="B305" s="25" t="n">
        <x:v>11388</x:v>
      </x:c>
      <x:c r="C305" s="27" t="str">
        <x:v>IC-L3-645</x:v>
      </x:c>
      <x:c r="D305" s="25" t="str">
        <x:v>物业管理主管</x:v>
      </x:c>
      <x:c r="E305" s="27" t="str">
        <x:v>4-06-01-04</x:v>
      </x:c>
      <x:c r="F305" s="25" t="str">
        <x:v>智能楼宇管理员</x:v>
      </x:c>
      <x:c r="G305" s="27" t="str">
        <x:v>IC03</x:v>
      </x:c>
      <x:c r="H305" s="25" t="str">
        <x:v>基础设施与城市建设产业链</x:v>
      </x:c>
      <x:c r="I305" s="25" t="str">
        <x:v>下游</x:v>
      </x:c>
      <x:c r="J305" s="27" t="str">
        <x:v>ICN009</x:v>
      </x:c>
      <x:c r="K305" s="25" t="str">
        <x:v>城市运营、公用事业与物业服务</x:v>
      </x:c>
      <x:c r="L305" s="28" t="n">
        <x:v>79</x:v>
      </x:c>
      <x:c r="M305" s="25" t="str">
        <x:v>中</x:v>
      </x:c>
      <x:c r="N305" s="26" t="str">
        <x:v>物业、楼宇、建筑、房地产</x:v>
      </x:c>
      <x:c r="O305" s="26" t="str">
        <x:v>岗位名称/描述出现“物业、楼宇、建筑、房地产”，工作环节更贴近“物业、楼宇”，因此关联到该节点。</x:v>
      </x:c>
      <x:c r="P305" s="26" t="str">
        <x:v>自动通过</x:v>
      </x:c>
    </x:row>
    <x:row r="306" ht="44" customHeight="1">
      <x:c r="A306" s="27" t="str">
        <x:v>REL000303</x:v>
      </x:c>
      <x:c r="B306" s="25" t="n">
        <x:v>11389</x:v>
      </x:c>
      <x:c r="C306" s="27" t="str">
        <x:v>IC-L3-646</x:v>
      </x:c>
      <x:c r="D306" s="25" t="str">
        <x:v>物业管理经理</x:v>
      </x:c>
      <x:c r="E306" s="27" t="str">
        <x:v>4-06-01-04</x:v>
      </x:c>
      <x:c r="F306" s="25" t="str">
        <x:v>智能楼宇管理员</x:v>
      </x:c>
      <x:c r="G306" s="27" t="str">
        <x:v>IC03</x:v>
      </x:c>
      <x:c r="H306" s="25" t="str">
        <x:v>基础设施与城市建设产业链</x:v>
      </x:c>
      <x:c r="I306" s="25" t="str">
        <x:v>下游</x:v>
      </x:c>
      <x:c r="J306" s="27" t="str">
        <x:v>ICN009</x:v>
      </x:c>
      <x:c r="K306" s="25" t="str">
        <x:v>城市运营、公用事业与物业服务</x:v>
      </x:c>
      <x:c r="L306" s="28" t="n">
        <x:v>79</x:v>
      </x:c>
      <x:c r="M306" s="25" t="str">
        <x:v>中</x:v>
      </x:c>
      <x:c r="N306" s="26" t="str">
        <x:v>物业、楼宇、建筑、房地产</x:v>
      </x:c>
      <x:c r="O306" s="26" t="str">
        <x:v>岗位名称/描述出现“物业、楼宇、建筑、房地产”，工作环节更贴近“物业、楼宇”，因此关联到该节点。</x:v>
      </x:c>
      <x:c r="P306" s="26" t="str">
        <x:v>自动通过</x:v>
      </x:c>
    </x:row>
    <x:row r="307" ht="44" customHeight="1">
      <x:c r="A307" s="27" t="str">
        <x:v>REL000304</x:v>
      </x:c>
      <x:c r="B307" s="25" t="n">
        <x:v>11390</x:v>
      </x:c>
      <x:c r="C307" s="27" t="str">
        <x:v>IC-L3-647</x:v>
      </x:c>
      <x:c r="D307" s="25" t="str">
        <x:v>物业设施管理人员</x:v>
      </x:c>
      <x:c r="E307" s="27" t="str">
        <x:v>4-06-01-04</x:v>
      </x:c>
      <x:c r="F307" s="25" t="str">
        <x:v>智能楼宇管理员</x:v>
      </x:c>
      <x:c r="G307" s="27" t="str">
        <x:v>IC03</x:v>
      </x:c>
      <x:c r="H307" s="25" t="str">
        <x:v>基础设施与城市建设产业链</x:v>
      </x:c>
      <x:c r="I307" s="25" t="str">
        <x:v>下游</x:v>
      </x:c>
      <x:c r="J307" s="27" t="str">
        <x:v>ICN009</x:v>
      </x:c>
      <x:c r="K307" s="25" t="str">
        <x:v>城市运营、公用事业与物业服务</x:v>
      </x:c>
      <x:c r="L307" s="28" t="n">
        <x:v>80</x:v>
      </x:c>
      <x:c r="M307" s="25" t="str">
        <x:v>中</x:v>
      </x:c>
      <x:c r="N307" s="26" t="str">
        <x:v>物业、楼宇、建筑、房地产、客服</x:v>
      </x:c>
      <x:c r="O307" s="26" t="str">
        <x:v>岗位名称/描述出现“物业、楼宇、建筑、房地产”，工作环节更贴近“物业、楼宇、客服”，因此关联到该节点。</x:v>
      </x:c>
      <x:c r="P307" s="26" t="str">
        <x:v>自动通过</x:v>
      </x:c>
    </x:row>
    <x:row r="308" ht="44" customHeight="1">
      <x:c r="A308" s="27" t="str">
        <x:v>REL000305</x:v>
      </x:c>
      <x:c r="B308" s="25" t="n">
        <x:v>11391</x:v>
      </x:c>
      <x:c r="C308" s="27" t="str">
        <x:v>IC-L3-648</x:v>
      </x:c>
      <x:c r="D308" s="25" t="str">
        <x:v>绿化工</x:v>
      </x:c>
      <x:c r="E308" s="27" t="str">
        <x:v>4-06-01-04</x:v>
      </x:c>
      <x:c r="F308" s="25" t="str">
        <x:v>智能楼宇管理员</x:v>
      </x:c>
      <x:c r="G308" s="27" t="str">
        <x:v>IC03</x:v>
      </x:c>
      <x:c r="H308" s="25" t="str">
        <x:v>基础设施与城市建设产业链</x:v>
      </x:c>
      <x:c r="I308" s="25" t="str">
        <x:v>上游</x:v>
      </x:c>
      <x:c r="J308" s="27" t="str">
        <x:v>ICN007</x:v>
      </x:c>
      <x:c r="K308" s="25" t="str">
        <x:v>规划设计、建材与工程准备</x:v>
      </x:c>
      <x:c r="L308" s="28" t="n">
        <x:v>64</x:v>
      </x:c>
      <x:c r="M308" s="25" t="str">
        <x:v>低</x:v>
      </x:c>
      <x:c r="N308" s="26" t="str">
        <x:v>楼宇、建筑、房地产、物业、园林、设计、景观设计</x:v>
      </x:c>
      <x:c r="O308" s="26" t="str">
        <x:v>岗位名称/描述出现“楼宇、建筑、房地产、物业、园林”，工作环节更贴近“设计、景观设计”，因此关联到该节点。</x:v>
      </x:c>
      <x:c r="P308" s="26" t="str">
        <x:v>建议复核</x:v>
      </x:c>
    </x:row>
    <x:row r="309" ht="44" customHeight="1">
      <x:c r="A309" s="27" t="str">
        <x:v>REL000306</x:v>
      </x:c>
      <x:c r="B309" s="25" t="n">
        <x:v>11392</x:v>
      </x:c>
      <x:c r="C309" s="27" t="str">
        <x:v>IC-L3-649</x:v>
      </x:c>
      <x:c r="D309" s="25" t="str">
        <x:v>长租公寓管家/养老专员</x:v>
      </x:c>
      <x:c r="E309" s="27" t="str">
        <x:v>4-06-01-04</x:v>
      </x:c>
      <x:c r="F309" s="25" t="str">
        <x:v>智能楼宇管理员</x:v>
      </x:c>
      <x:c r="G309" s="27" t="str">
        <x:v>IC03</x:v>
      </x:c>
      <x:c r="H309" s="25" t="str">
        <x:v>基础设施与城市建设产业链</x:v>
      </x:c>
      <x:c r="I309" s="25" t="str">
        <x:v>中游</x:v>
      </x:c>
      <x:c r="J309" s="27" t="str">
        <x:v>ICN008</x:v>
      </x:c>
      <x:c r="K309" s="25" t="str">
        <x:v>基础设施建设与房地产开发</x:v>
      </x:c>
      <x:c r="L309" s="28" t="n">
        <x:v>60</x:v>
      </x:c>
      <x:c r="M309" s="25" t="str">
        <x:v>低</x:v>
      </x:c>
      <x:c r="N309" s="26" t="str">
        <x:v>楼宇、建筑、房地产、物业</x:v>
      </x:c>
      <x:c r="O309" s="26" t="str">
        <x:v>岗位名称/描述出现“楼宇、建筑、房地产、物业”，工作环节更贴近“中游”，因此关联到该节点。</x:v>
      </x:c>
      <x:c r="P309" s="26" t="str">
        <x:v>建议复核</x:v>
      </x:c>
    </x:row>
    <x:row r="310" ht="44" customHeight="1">
      <x:c r="A310" s="27" t="str">
        <x:v>REL000307</x:v>
      </x:c>
      <x:c r="B310" s="25" t="n">
        <x:v>11393</x:v>
      </x:c>
      <x:c r="C310" s="27" t="str">
        <x:v>IC-L3-650</x:v>
      </x:c>
      <x:c r="D310" s="25" t="str">
        <x:v>高级物业顾问/物业顾问</x:v>
      </x:c>
      <x:c r="E310" s="27" t="str">
        <x:v>4-06-01-04</x:v>
      </x:c>
      <x:c r="F310" s="25" t="str">
        <x:v>智能楼宇管理员</x:v>
      </x:c>
      <x:c r="G310" s="27" t="str">
        <x:v>IC03</x:v>
      </x:c>
      <x:c r="H310" s="25" t="str">
        <x:v>基础设施与城市建设产业链</x:v>
      </x:c>
      <x:c r="I310" s="25" t="str">
        <x:v>下游</x:v>
      </x:c>
      <x:c r="J310" s="27" t="str">
        <x:v>ICN009</x:v>
      </x:c>
      <x:c r="K310" s="25" t="str">
        <x:v>城市运营、公用事业与物业服务</x:v>
      </x:c>
      <x:c r="L310" s="28" t="n">
        <x:v>80</x:v>
      </x:c>
      <x:c r="M310" s="25" t="str">
        <x:v>中</x:v>
      </x:c>
      <x:c r="N310" s="26" t="str">
        <x:v>物业、楼宇、建筑、房地产、客服</x:v>
      </x:c>
      <x:c r="O310" s="26" t="str">
        <x:v>岗位名称/描述出现“物业、楼宇、建筑、房地产”，工作环节更贴近“物业、楼宇、客服”，因此关联到该节点。</x:v>
      </x:c>
      <x:c r="P310" s="26" t="str">
        <x:v>自动通过</x:v>
      </x:c>
    </x:row>
    <x:row r="311" ht="44" customHeight="1">
      <x:c r="A311" s="27" t="str">
        <x:v>REL000308</x:v>
      </x:c>
      <x:c r="B311" s="25" t="n">
        <x:v>11395</x:v>
      </x:c>
      <x:c r="C311" s="27" t="str">
        <x:v>IC-L3-652</x:v>
      </x:c>
      <x:c r="D311" s="25" t="str">
        <x:v>农业技术员</x:v>
      </x:c>
      <x:c r="E311" s="27" t="str">
        <x:v>5-05-01-01</x:v>
      </x:c>
      <x:c r="F311" s="25" t="str">
        <x:v>农业技术员</x:v>
      </x:c>
      <x:c r="G311" s="27" t="str">
        <x:v>IC09</x:v>
      </x:c>
      <x:c r="H311" s="25" t="str">
        <x:v>食品饮料产业链</x:v>
      </x:c>
      <x:c r="I311" s="25" t="str">
        <x:v>上游</x:v>
      </x:c>
      <x:c r="J311" s="27" t="str">
        <x:v>ICN025</x:v>
      </x:c>
      <x:c r="K311" s="25" t="str">
        <x:v>农产品原料与食品配料</x:v>
      </x:c>
      <x:c r="L311" s="28" t="n">
        <x:v>82</x:v>
      </x:c>
      <x:c r="M311" s="25" t="str">
        <x:v>高</x:v>
      </x:c>
      <x:c r="N311" s="26" t="str">
        <x:v>农业技术、农业、种植</x:v>
      </x:c>
      <x:c r="O311" s="26" t="str">
        <x:v>岗位名称/描述出现“农业技术”，工作环节更贴近“农业、农业技术、种植”，因此关联到该节点。</x:v>
      </x:c>
      <x:c r="P311" s="26" t="str">
        <x:v>自动通过</x:v>
      </x:c>
    </x:row>
    <x:row r="312" ht="44" customHeight="1">
      <x:c r="A312" s="27" t="str">
        <x:v>REL000309</x:v>
      </x:c>
      <x:c r="B312" s="25" t="n">
        <x:v>11396</x:v>
      </x:c>
      <x:c r="C312" s="27" t="str">
        <x:v>IC-L3-653</x:v>
      </x:c>
      <x:c r="D312" s="25" t="str">
        <x:v>农艺师</x:v>
      </x:c>
      <x:c r="E312" s="27" t="str">
        <x:v>5-05-01-01</x:v>
      </x:c>
      <x:c r="F312" s="25" t="str">
        <x:v>农业技术员</x:v>
      </x:c>
      <x:c r="G312" s="27" t="str">
        <x:v>IC09</x:v>
      </x:c>
      <x:c r="H312" s="25" t="str">
        <x:v>食品饮料产业链</x:v>
      </x:c>
      <x:c r="I312" s="25" t="str">
        <x:v>上游</x:v>
      </x:c>
      <x:c r="J312" s="27" t="str">
        <x:v>ICN025</x:v>
      </x:c>
      <x:c r="K312" s="25" t="str">
        <x:v>农产品原料与食品配料</x:v>
      </x:c>
      <x:c r="L312" s="28" t="n">
        <x:v>60</x:v>
      </x:c>
      <x:c r="M312" s="25" t="str">
        <x:v>低</x:v>
      </x:c>
      <x:c r="N312" s="26" t="str">
        <x:v>农业技术、农产品、农业、种植</x:v>
      </x:c>
      <x:c r="O312" s="26" t="str">
        <x:v>岗位名称/描述出现“农业技术、农产品”，工作环节更贴近“农业、农业技术、农产品、种植”，因此关联到该节点。</x:v>
      </x:c>
      <x:c r="P312" s="26" t="str">
        <x:v>建议复核</x:v>
      </x:c>
    </x:row>
    <x:row r="313" ht="44" customHeight="1">
      <x:c r="A313" s="27" t="str">
        <x:v>REL000310</x:v>
      </x:c>
      <x:c r="B313" s="25" t="n">
        <x:v>11397</x:v>
      </x:c>
      <x:c r="C313" s="27" t="str">
        <x:v>IC-L3-654</x:v>
      </x:c>
      <x:c r="D313" s="25" t="str">
        <x:v>动物营养/饲料研发</x:v>
      </x:c>
      <x:c r="E313" s="27" t="str">
        <x:v>5-05-01-01</x:v>
      </x:c>
      <x:c r="F313" s="25" t="str">
        <x:v>农业技术员</x:v>
      </x:c>
      <x:c r="G313" s="27" t="str">
        <x:v>IC09</x:v>
      </x:c>
      <x:c r="H313" s="25" t="str">
        <x:v>食品饮料产业链</x:v>
      </x:c>
      <x:c r="I313" s="25" t="str">
        <x:v>下游</x:v>
      </x:c>
      <x:c r="J313" s="27" t="str">
        <x:v>ICN027</x:v>
      </x:c>
      <x:c r="K313" s="25" t="str">
        <x:v>品牌渠道、餐饮零售与消费服务</x:v>
      </x:c>
      <x:c r="L313" s="28" t="n">
        <x:v>69</x:v>
      </x:c>
      <x:c r="M313" s="25" t="str">
        <x:v>中</x:v>
      </x:c>
      <x:c r="N313" s="26" t="str">
        <x:v>农业技术、食品、食品安全、营养师、营养、品牌、销售</x:v>
      </x:c>
      <x:c r="O313" s="26" t="str">
        <x:v>岗位名称/描述出现“农业技术、食品、食品安全、营养师”，工作环节更贴近“营养、品牌、销售”，因此关联到该节点。</x:v>
      </x:c>
      <x:c r="P313" s="26" t="str">
        <x:v>自动通过</x:v>
      </x:c>
    </x:row>
    <x:row r="314" ht="44" customHeight="1">
      <x:c r="A314" s="27" t="str">
        <x:v>REL000311</x:v>
      </x:c>
      <x:c r="B314" s="25" t="n">
        <x:v>11397</x:v>
      </x:c>
      <x:c r="C314" s="27" t="str">
        <x:v>IC-L3-654</x:v>
      </x:c>
      <x:c r="D314" s="25" t="str">
        <x:v>动物营养/饲料研发</x:v>
      </x:c>
      <x:c r="E314" s="27" t="str">
        <x:v>5-05-01-01</x:v>
      </x:c>
      <x:c r="F314" s="25" t="str">
        <x:v>农业技术员</x:v>
      </x:c>
      <x:c r="G314" s="27" t="str">
        <x:v>IC09</x:v>
      </x:c>
      <x:c r="H314" s="25" t="str">
        <x:v>食品饮料产业链</x:v>
      </x:c>
      <x:c r="I314" s="25" t="str">
        <x:v>中游</x:v>
      </x:c>
      <x:c r="J314" s="27" t="str">
        <x:v>ICN026</x:v>
      </x:c>
      <x:c r="K314" s="25" t="str">
        <x:v>食品饮料加工制造</x:v>
      </x:c>
      <x:c r="L314" s="28" t="n">
        <x:v>68</x:v>
      </x:c>
      <x:c r="M314" s="25" t="str">
        <x:v>中</x:v>
      </x:c>
      <x:c r="N314" s="26" t="str">
        <x:v>农业技术、食品、食品安全、营养师、研发、质量、工艺、加工</x:v>
      </x:c>
      <x:c r="O314" s="26" t="str">
        <x:v>岗位名称/描述出现“农业技术、食品、食品安全、营养师”，工作环节更贴近“研发、质量、工艺、加工”，因此关联到该节点。</x:v>
      </x:c>
      <x:c r="P314" s="26" t="str">
        <x:v>自动通过</x:v>
      </x:c>
    </x:row>
    <x:row r="315" ht="44" customHeight="1">
      <x:c r="A315" s="27" t="str">
        <x:v>REL000312</x:v>
      </x:c>
      <x:c r="B315" s="25" t="n">
        <x:v>11399</x:v>
      </x:c>
      <x:c r="C315" s="27" t="str">
        <x:v>IC-L3-656</x:v>
      </x:c>
      <x:c r="D315" s="25" t="str">
        <x:v>畜牧师</x:v>
      </x:c>
      <x:c r="E315" s="27" t="str">
        <x:v>5-05-01-01</x:v>
      </x:c>
      <x:c r="F315" s="25" t="str">
        <x:v>农业技术员</x:v>
      </x:c>
      <x:c r="G315" s="27" t="str">
        <x:v>IC09</x:v>
      </x:c>
      <x:c r="H315" s="25" t="str">
        <x:v>食品饮料产业链</x:v>
      </x:c>
      <x:c r="I315" s="25" t="str">
        <x:v>上游</x:v>
      </x:c>
      <x:c r="J315" s="27" t="str">
        <x:v>ICN025</x:v>
      </x:c>
      <x:c r="K315" s="25" t="str">
        <x:v>农产品原料与食品配料</x:v>
      </x:c>
      <x:c r="L315" s="28" t="n">
        <x:v>58</x:v>
      </x:c>
      <x:c r="M315" s="25" t="str">
        <x:v>低</x:v>
      </x:c>
      <x:c r="N315" s="26" t="str">
        <x:v>农业技术、食品、食品安全、农业、养殖</x:v>
      </x:c>
      <x:c r="O315" s="26" t="str">
        <x:v>岗位名称/描述出现“农业技术、食品、食品安全”，工作环节更贴近“农业、农业技术、养殖”，因此关联到该节点。</x:v>
      </x:c>
      <x:c r="P315" s="26" t="str">
        <x:v>建议复核</x:v>
      </x:c>
    </x:row>
    <x:row r="316" ht="44" customHeight="1">
      <x:c r="A316" s="27" t="str">
        <x:v>REL000313</x:v>
      </x:c>
      <x:c r="B316" s="25" t="n">
        <x:v>11400</x:v>
      </x:c>
      <x:c r="C316" s="27" t="str">
        <x:v>IC-L3-657</x:v>
      </x:c>
      <x:c r="D316" s="25" t="str">
        <x:v>饲养员</x:v>
      </x:c>
      <x:c r="E316" s="27" t="str">
        <x:v>5-05-01-01</x:v>
      </x:c>
      <x:c r="F316" s="25" t="str">
        <x:v>农业技术员</x:v>
      </x:c>
      <x:c r="G316" s="27" t="str">
        <x:v>IC09</x:v>
      </x:c>
      <x:c r="H316" s="25" t="str">
        <x:v>食品饮料产业链</x:v>
      </x:c>
      <x:c r="I316" s="25" t="str">
        <x:v>下游</x:v>
      </x:c>
      <x:c r="J316" s="27" t="str">
        <x:v>ICN027</x:v>
      </x:c>
      <x:c r="K316" s="25" t="str">
        <x:v>品牌渠道、餐饮零售与消费服务</x:v>
      </x:c>
      <x:c r="L316" s="28" t="n">
        <x:v>60</x:v>
      </x:c>
      <x:c r="M316" s="25" t="str">
        <x:v>低</x:v>
      </x:c>
      <x:c r="N316" s="26" t="str">
        <x:v>农业技术、食品、食品安全、销售、营养</x:v>
      </x:c>
      <x:c r="O316" s="26" t="str">
        <x:v>岗位名称/描述出现“农业技术、食品、食品安全”，工作环节更贴近“销售、营养”，因此关联到该节点。</x:v>
      </x:c>
      <x:c r="P316" s="26" t="str">
        <x:v>建议复核</x:v>
      </x:c>
    </x:row>
    <x:row r="317" ht="44" customHeight="1">
      <x:c r="A317" s="27" t="str">
        <x:v>REL000314</x:v>
      </x:c>
      <x:c r="B317" s="25" t="n">
        <x:v>11401</x:v>
      </x:c>
      <x:c r="C317" s="27" t="str">
        <x:v>IC-L3-658</x:v>
      </x:c>
      <x:c r="D317" s="25" t="str">
        <x:v>驯兽师/助理驯兽师</x:v>
      </x:c>
      <x:c r="E317" s="27" t="str">
        <x:v>5-05-01-01</x:v>
      </x:c>
      <x:c r="F317" s="25" t="str">
        <x:v>农业技术员</x:v>
      </x:c>
      <x:c r="G317" s="27" t="str">
        <x:v>IC04</x:v>
      </x:c>
      <x:c r="H317" s="25" t="str">
        <x:v>医药生物与医疗健康产业链</x:v>
      </x:c>
      <x:c r="I317" s="25" t="str">
        <x:v>下游</x:v>
      </x:c>
      <x:c r="J317" s="27" t="str">
        <x:v>ICN012</x:v>
      </x:c>
      <x:c r="K317" s="25" t="str">
        <x:v>医疗服务、临床应用与健康管理</x:v>
      </x:c>
      <x:c r="L317" s="28" t="n">
        <x:v>61</x:v>
      </x:c>
      <x:c r="M317" s="25" t="str">
        <x:v>低</x:v>
      </x:c>
      <x:c r="N317" s="26" t="str">
        <x:v>医疗、护理、康复、健康管理</x:v>
      </x:c>
      <x:c r="O317" s="26" t="str">
        <x:v>岗位名称/描述出现“医疗、护理、康复、健康管理”，工作环节更贴近“护理、康复、健康管理”，因此关联到该节点。</x:v>
      </x:c>
      <x:c r="P317" s="26" t="str">
        <x:v>建议复核</x:v>
      </x:c>
    </x:row>
    <x:row r="318" ht="44" customHeight="1">
      <x:c r="A318" s="27" t="str">
        <x:v>REL000315</x:v>
      </x:c>
      <x:c r="B318" s="25" t="n">
        <x:v>11406</x:v>
      </x:c>
      <x:c r="C318" s="27" t="str">
        <x:v>IC-L3-663</x:v>
      </x:c>
      <x:c r="D318" s="25" t="str">
        <x:v>后期制作</x:v>
      </x:c>
      <x:c r="E318" s="27" t="str">
        <x:v>2-09-06-01</x:v>
      </x:c>
      <x:c r="F318" s="25" t="str">
        <x:v>视觉传达设计人员</x:v>
      </x:c>
      <x:c r="G318" s="27" t="str">
        <x:v>IC01</x:v>
      </x:c>
      <x:c r="H318" s="25" t="str">
        <x:v>数据要素与数字经济产业链</x:v>
      </x:c>
      <x:c r="I318" s="25" t="str">
        <x:v>下游</x:v>
      </x:c>
      <x:c r="J318" s="27" t="str">
        <x:v>ICN003</x:v>
      </x:c>
      <x:c r="K318" s="25" t="str">
        <x:v>数字经济场景应用与内容创意</x:v>
      </x:c>
      <x:c r="L318" s="28" t="n">
        <x:v>65</x:v>
      </x:c>
      <x:c r="M318" s="25" t="str">
        <x:v>低</x:v>
      </x:c>
      <x:c r="N318" s="26" t="str">
        <x:v>摄影、编辑、编剧、导演、美术、视觉、品牌、视频</x:v>
      </x:c>
      <x:c r="O318" s="26" t="str">
        <x:v>岗位名称/描述出现“摄影、编辑、编剧、导演、美术”，工作环节更贴近“视觉、品牌、视频、摄影、编辑”，因此关联到该节点。</x:v>
      </x:c>
      <x:c r="P318" s="26" t="str">
        <x:v>建议复核</x:v>
      </x:c>
    </x:row>
    <x:row r="319" ht="44" customHeight="1">
      <x:c r="A319" s="27" t="str">
        <x:v>REL000316</x:v>
      </x:c>
      <x:c r="B319" s="25" t="n">
        <x:v>11407</x:v>
      </x:c>
      <x:c r="C319" s="27" t="str">
        <x:v>IC-L3-664</x:v>
      </x:c>
      <x:c r="D319" s="25" t="str">
        <x:v>导演/编导</x:v>
      </x:c>
      <x:c r="E319" s="27" t="str">
        <x:v>2-09-06-01</x:v>
      </x:c>
      <x:c r="F319" s="25" t="str">
        <x:v>视觉传达设计人员</x:v>
      </x:c>
      <x:c r="G319" s="27" t="str">
        <x:v>IC01</x:v>
      </x:c>
      <x:c r="H319" s="25" t="str">
        <x:v>数据要素与数字经济产业链</x:v>
      </x:c>
      <x:c r="I319" s="25" t="str">
        <x:v>下游</x:v>
      </x:c>
      <x:c r="J319" s="27" t="str">
        <x:v>ICN003</x:v>
      </x:c>
      <x:c r="K319" s="25" t="str">
        <x:v>数字经济场景应用与内容创意</x:v>
      </x:c>
      <x:c r="L319" s="28" t="n">
        <x:v>73</x:v>
      </x:c>
      <x:c r="M319" s="25" t="str">
        <x:v>中</x:v>
      </x:c>
      <x:c r="N319" s="26" t="str">
        <x:v>导演、摄影、编剧、美术、视觉、品牌</x:v>
      </x:c>
      <x:c r="O319" s="26" t="str">
        <x:v>岗位名称/描述出现“导演、摄影、编剧、美术”，工作环节更贴近“视觉、品牌、摄影”，因此关联到该节点。</x:v>
      </x:c>
      <x:c r="P319" s="26" t="str">
        <x:v>自动通过</x:v>
      </x:c>
    </x:row>
    <x:row r="320" ht="44" customHeight="1">
      <x:c r="A320" s="27" t="str">
        <x:v>REL000317</x:v>
      </x:c>
      <x:c r="B320" s="25" t="n">
        <x:v>11409</x:v>
      </x:c>
      <x:c r="C320" s="27" t="str">
        <x:v>IC-L3-666</x:v>
      </x:c>
      <x:c r="D320" s="25" t="str">
        <x:v>摄影师/摄像师</x:v>
      </x:c>
      <x:c r="E320" s="27" t="str">
        <x:v>2-09-06-01</x:v>
      </x:c>
      <x:c r="F320" s="25" t="str">
        <x:v>视觉传达设计人员</x:v>
      </x:c>
      <x:c r="G320" s="27" t="str">
        <x:v>IC01</x:v>
      </x:c>
      <x:c r="H320" s="25" t="str">
        <x:v>数据要素与数字经济产业链</x:v>
      </x:c>
      <x:c r="I320" s="25" t="str">
        <x:v>下游</x:v>
      </x:c>
      <x:c r="J320" s="27" t="str">
        <x:v>ICN003</x:v>
      </x:c>
      <x:c r="K320" s="25" t="str">
        <x:v>数字经济场景应用与内容创意</x:v>
      </x:c>
      <x:c r="L320" s="28" t="n">
        <x:v>81</x:v>
      </x:c>
      <x:c r="M320" s="25" t="str">
        <x:v>中</x:v>
      </x:c>
      <x:c r="N320" s="26" t="str">
        <x:v>摄影、视觉设计、编辑、导演、美术、视觉</x:v>
      </x:c>
      <x:c r="O320" s="26" t="str">
        <x:v>岗位名称/描述出现“摄影、视觉设计、编辑、导演、美术”，工作环节更贴近“摄影、视觉、编辑”，因此关联到该节点。</x:v>
      </x:c>
      <x:c r="P320" s="26" t="str">
        <x:v>自动通过</x:v>
      </x:c>
    </x:row>
    <x:row r="321" ht="44" customHeight="1">
      <x:c r="A321" s="27" t="str">
        <x:v>REL000318</x:v>
      </x:c>
      <x:c r="B321" s="25" t="n">
        <x:v>11413</x:v>
      </x:c>
      <x:c r="C321" s="27" t="str">
        <x:v>IC-L3-670</x:v>
      </x:c>
      <x:c r="D321" s="25" t="str">
        <x:v>直播助理</x:v>
      </x:c>
      <x:c r="E321" s="27" t="str">
        <x:v>2-09-06-01</x:v>
      </x:c>
      <x:c r="F321" s="25" t="str">
        <x:v>视觉传达设计人员</x:v>
      </x:c>
      <x:c r="G321" s="27" t="str">
        <x:v>IC01</x:v>
      </x:c>
      <x:c r="H321" s="25" t="str">
        <x:v>数据要素与数字经济产业链</x:v>
      </x:c>
      <x:c r="I321" s="25" t="str">
        <x:v>下游</x:v>
      </x:c>
      <x:c r="J321" s="27" t="str">
        <x:v>ICN003</x:v>
      </x:c>
      <x:c r="K321" s="25" t="str">
        <x:v>数字经济场景应用与内容创意</x:v>
      </x:c>
      <x:c r="L321" s="28" t="n">
        <x:v>75</x:v>
      </x:c>
      <x:c r="M321" s="25" t="str">
        <x:v>中</x:v>
      </x:c>
      <x:c r="N321" s="26" t="str">
        <x:v>直播、导演、视觉、增长、品牌</x:v>
      </x:c>
      <x:c r="O321" s="26" t="str">
        <x:v>岗位名称/描述出现“直播、导演”，工作环节更贴近“直播、视觉、增长、品牌”，因此关联到该节点。</x:v>
      </x:c>
      <x:c r="P321" s="26" t="str">
        <x:v>自动通过</x:v>
      </x:c>
    </x:row>
    <x:row r="322" ht="44" customHeight="1">
      <x:c r="A322" s="27" t="str">
        <x:v>REL000319</x:v>
      </x:c>
      <x:c r="B322" s="25" t="n">
        <x:v>11414</x:v>
      </x:c>
      <x:c r="C322" s="27" t="str">
        <x:v>IC-L3-671</x:v>
      </x:c>
      <x:c r="D322" s="25" t="str">
        <x:v>直播场控</x:v>
      </x:c>
      <x:c r="E322" s="27" t="str">
        <x:v>2-09-06-01</x:v>
      </x:c>
      <x:c r="F322" s="25" t="str">
        <x:v>视觉传达设计人员</x:v>
      </x:c>
      <x:c r="G322" s="27" t="str">
        <x:v>IC01</x:v>
      </x:c>
      <x:c r="H322" s="25" t="str">
        <x:v>数据要素与数字经济产业链</x:v>
      </x:c>
      <x:c r="I322" s="25" t="str">
        <x:v>下游</x:v>
      </x:c>
      <x:c r="J322" s="27" t="str">
        <x:v>ICN003</x:v>
      </x:c>
      <x:c r="K322" s="25" t="str">
        <x:v>数字经济场景应用与内容创意</x:v>
      </x:c>
      <x:c r="L322" s="28" t="n">
        <x:v>74</x:v>
      </x:c>
      <x:c r="M322" s="25" t="str">
        <x:v>中</x:v>
      </x:c>
      <x:c r="N322" s="26" t="str">
        <x:v>直播、音效、视觉、品牌</x:v>
      </x:c>
      <x:c r="O322" s="26" t="str">
        <x:v>岗位名称/描述出现“直播、音效”，工作环节更贴近“直播、视觉、品牌”，因此关联到该节点。</x:v>
      </x:c>
      <x:c r="P322" s="26" t="str">
        <x:v>自动通过</x:v>
      </x:c>
    </x:row>
    <x:row r="323" ht="44" customHeight="1">
      <x:c r="A323" s="27" t="str">
        <x:v>REL000320</x:v>
      </x:c>
      <x:c r="B323" s="25" t="n">
        <x:v>11415</x:v>
      </x:c>
      <x:c r="C323" s="27" t="str">
        <x:v>IC-L3-672</x:v>
      </x:c>
      <x:c r="D323" s="25" t="str">
        <x:v>编剧</x:v>
      </x:c>
      <x:c r="E323" s="27" t="str">
        <x:v>2-09-06-01</x:v>
      </x:c>
      <x:c r="F323" s="25" t="str">
        <x:v>视觉传达设计人员</x:v>
      </x:c>
      <x:c r="G323" s="27" t="str">
        <x:v>IC01</x:v>
      </x:c>
      <x:c r="H323" s="25" t="str">
        <x:v>数据要素与数字经济产业链</x:v>
      </x:c>
      <x:c r="I323" s="25" t="str">
        <x:v>中游</x:v>
      </x:c>
      <x:c r="J323" s="27" t="str">
        <x:v>ICN002</x:v>
      </x:c>
      <x:c r="K323" s="25" t="str">
        <x:v>数据治理、流通与服务</x:v>
      </x:c>
      <x:c r="L323" s="28" t="n">
        <x:v>68</x:v>
      </x:c>
      <x:c r="M323" s="25" t="str">
        <x:v>中</x:v>
      </x:c>
      <x:c r="N323" s="26" t="str">
        <x:v>编剧、导演</x:v>
      </x:c>
      <x:c r="O323" s="26" t="str">
        <x:v>岗位名称/描述出现“编剧、导演”，工作环节更贴近“中游”，因此关联到该节点。</x:v>
      </x:c>
      <x:c r="P323" s="26" t="str">
        <x:v>自动通过</x:v>
      </x:c>
    </x:row>
    <x:row r="324" ht="44" customHeight="1">
      <x:c r="A324" s="27" t="str">
        <x:v>REL000321</x:v>
      </x:c>
      <x:c r="B324" s="25" t="n">
        <x:v>11417</x:v>
      </x:c>
      <x:c r="C324" s="27" t="str">
        <x:v>IC-L3-674</x:v>
      </x:c>
      <x:c r="D324" s="25" t="str">
        <x:v>艺术指导/舞台美术设计</x:v>
      </x:c>
      <x:c r="E324" s="27" t="str">
        <x:v>2-09-06-01</x:v>
      </x:c>
      <x:c r="F324" s="25" t="str">
        <x:v>视觉传达设计人员</x:v>
      </x:c>
      <x:c r="G324" s="27" t="str">
        <x:v>IC01</x:v>
      </x:c>
      <x:c r="H324" s="25" t="str">
        <x:v>数据要素与数字经济产业链</x:v>
      </x:c>
      <x:c r="I324" s="25" t="str">
        <x:v>中游</x:v>
      </x:c>
      <x:c r="J324" s="27" t="str">
        <x:v>ICN002</x:v>
      </x:c>
      <x:c r="K324" s="25" t="str">
        <x:v>数据治理、流通与服务</x:v>
      </x:c>
      <x:c r="L324" s="28" t="n">
        <x:v>72</x:v>
      </x:c>
      <x:c r="M324" s="25" t="str">
        <x:v>中</x:v>
      </x:c>
      <x:c r="N324" s="26" t="str">
        <x:v>美术、摄影、编剧、导演</x:v>
      </x:c>
      <x:c r="O324" s="26" t="str">
        <x:v>岗位名称/描述出现“美术、摄影、编剧、导演”，工作环节更贴近“中游”，因此关联到该节点。</x:v>
      </x:c>
      <x:c r="P324" s="26" t="str">
        <x:v>自动通过</x:v>
      </x:c>
    </x:row>
    <x:row r="325" ht="44" customHeight="1">
      <x:c r="A325" s="27" t="str">
        <x:v>REL000322</x:v>
      </x:c>
      <x:c r="B325" s="25" t="n">
        <x:v>11418</x:v>
      </x:c>
      <x:c r="C325" s="27" t="str">
        <x:v>IC-L3-675</x:v>
      </x:c>
      <x:c r="D325" s="25" t="str">
        <x:v>视频剪辑</x:v>
      </x:c>
      <x:c r="E325" s="27" t="str">
        <x:v>2-09-06-01</x:v>
      </x:c>
      <x:c r="F325" s="25" t="str">
        <x:v>视觉传达设计人员</x:v>
      </x:c>
      <x:c r="G325" s="27" t="str">
        <x:v>IC01</x:v>
      </x:c>
      <x:c r="H325" s="25" t="str">
        <x:v>数据要素与数字经济产业链</x:v>
      </x:c>
      <x:c r="I325" s="25" t="str">
        <x:v>下游</x:v>
      </x:c>
      <x:c r="J325" s="27" t="str">
        <x:v>ICN003</x:v>
      </x:c>
      <x:c r="K325" s="25" t="str">
        <x:v>数字经济场景应用与内容创意</x:v>
      </x:c>
      <x:c r="L325" s="28" t="n">
        <x:v>82</x:v>
      </x:c>
      <x:c r="M325" s="25" t="str">
        <x:v>高</x:v>
      </x:c>
      <x:c r="N325" s="26" t="str">
        <x:v>视频剪辑、编辑、编剧、导演、音效、视频、视觉、品牌</x:v>
      </x:c>
      <x:c r="O325" s="26" t="str">
        <x:v>岗位名称/描述出现“视频剪辑、编辑、编剧、导演、音效”，工作环节更贴近“视频、视觉、品牌、编辑”，因此关联到该节点。</x:v>
      </x:c>
      <x:c r="P325" s="26" t="str">
        <x:v>自动通过</x:v>
      </x:c>
    </x:row>
    <x:row r="326" ht="44" customHeight="1">
      <x:c r="A326" s="27" t="str">
        <x:v>REL000323</x:v>
      </x:c>
      <x:c r="B326" s="25" t="n">
        <x:v>11420</x:v>
      </x:c>
      <x:c r="C326" s="27" t="str">
        <x:v>IC-L3-677</x:v>
      </x:c>
      <x:c r="D326" s="25" t="str">
        <x:v>音效师</x:v>
      </x:c>
      <x:c r="E326" s="27" t="str">
        <x:v>2-09-06-01</x:v>
      </x:c>
      <x:c r="F326" s="25" t="str">
        <x:v>视觉传达设计人员</x:v>
      </x:c>
      <x:c r="G326" s="27" t="str">
        <x:v>IC01</x:v>
      </x:c>
      <x:c r="H326" s="25" t="str">
        <x:v>数据要素与数字经济产业链</x:v>
      </x:c>
      <x:c r="I326" s="25" t="str">
        <x:v>下游</x:v>
      </x:c>
      <x:c r="J326" s="27" t="str">
        <x:v>ICN003</x:v>
      </x:c>
      <x:c r="K326" s="25" t="str">
        <x:v>数字经济场景应用与内容创意</x:v>
      </x:c>
      <x:c r="L326" s="28" t="n">
        <x:v>79</x:v>
      </x:c>
      <x:c r="M326" s="25" t="str">
        <x:v>中</x:v>
      </x:c>
      <x:c r="N326" s="26" t="str">
        <x:v>音效、广告、多媒体、编辑、出版、视觉、视频</x:v>
      </x:c>
      <x:c r="O326" s="26" t="str">
        <x:v>岗位名称/描述出现“音效、广告、多媒体、编辑、出版”，工作环节更贴近“视觉、广告、多媒体、视频、编辑”，因此关联到该节点。</x:v>
      </x:c>
      <x:c r="P326" s="26" t="str">
        <x:v>自动通过</x:v>
      </x:c>
    </x:row>
    <x:row r="327" ht="44" customHeight="1">
      <x:c r="A327" s="27" t="str">
        <x:v>REL000324</x:v>
      </x:c>
      <x:c r="B327" s="25" t="n">
        <x:v>11421</x:v>
      </x:c>
      <x:c r="C327" s="27" t="str">
        <x:v>IC-L3-678</x:v>
      </x:c>
      <x:c r="D327" s="25" t="str">
        <x:v>编辑</x:v>
      </x:c>
      <x:c r="E327" s="27" t="str">
        <x:v>2-09-06-01</x:v>
      </x:c>
      <x:c r="F327" s="25" t="str">
        <x:v>视觉传达设计人员</x:v>
      </x:c>
      <x:c r="G327" s="27" t="str">
        <x:v>IC01</x:v>
      </x:c>
      <x:c r="H327" s="25" t="str">
        <x:v>数据要素与数字经济产业链</x:v>
      </x:c>
      <x:c r="I327" s="25" t="str">
        <x:v>下游</x:v>
      </x:c>
      <x:c r="J327" s="27" t="str">
        <x:v>ICN003</x:v>
      </x:c>
      <x:c r="K327" s="25" t="str">
        <x:v>数字经济场景应用与内容创意</x:v>
      </x:c>
      <x:c r="L327" s="28" t="n">
        <x:v>71</x:v>
      </x:c>
      <x:c r="M327" s="25" t="str">
        <x:v>中</x:v>
      </x:c>
      <x:c r="N327" s="26" t="str">
        <x:v>编辑、视觉</x:v>
      </x:c>
      <x:c r="O327" s="26" t="str">
        <x:v>岗位名称/描述出现“编辑”，工作环节更贴近“编辑、视觉”，因此关联到该节点。</x:v>
      </x:c>
      <x:c r="P327" s="26" t="str">
        <x:v>自动通过</x:v>
      </x:c>
    </x:row>
    <x:row r="328" ht="44" customHeight="1">
      <x:c r="A328" s="27" t="str">
        <x:v>REL000325</x:v>
      </x:c>
      <x:c r="B328" s="25" t="n">
        <x:v>11422</x:v>
      </x:c>
      <x:c r="C328" s="27" t="str">
        <x:v>IC-L3-679</x:v>
      </x:c>
      <x:c r="D328" s="25" t="str">
        <x:v>作家/撰稿人</x:v>
      </x:c>
      <x:c r="E328" s="27" t="str">
        <x:v>2-09-06-01</x:v>
      </x:c>
      <x:c r="F328" s="25" t="str">
        <x:v>视觉传达设计人员</x:v>
      </x:c>
      <x:c r="G328" s="27" t="str">
        <x:v>IC01</x:v>
      </x:c>
      <x:c r="H328" s="25" t="str">
        <x:v>数据要素与数字经济产业链</x:v>
      </x:c>
      <x:c r="I328" s="25" t="str">
        <x:v>中游</x:v>
      </x:c>
      <x:c r="J328" s="27" t="str">
        <x:v>ICN002</x:v>
      </x:c>
      <x:c r="K328" s="25" t="str">
        <x:v>数据治理、流通与服务</x:v>
      </x:c>
      <x:c r="L328" s="28" t="n">
        <x:v>86</x:v>
      </x:c>
      <x:c r="M328" s="25" t="str">
        <x:v>高</x:v>
      </x:c>
      <x:c r="N328" s="26" t="str">
        <x:v>撰稿、作家、文案、内容创意</x:v>
      </x:c>
      <x:c r="O328" s="26" t="str">
        <x:v>岗位名称/描述出现“撰稿、作家、文案、内容创意”，工作环节更贴近“中游”，因此关联到该节点。</x:v>
      </x:c>
      <x:c r="P328" s="26" t="str">
        <x:v>自动通过</x:v>
      </x:c>
    </x:row>
    <x:row r="329" ht="44" customHeight="1">
      <x:c r="A329" s="27" t="str">
        <x:v>REL000326</x:v>
      </x:c>
      <x:c r="B329" s="25" t="n">
        <x:v>11424</x:v>
      </x:c>
      <x:c r="C329" s="27" t="str">
        <x:v>IC-L3-681</x:v>
      </x:c>
      <x:c r="D329" s="25" t="str">
        <x:v>记者</x:v>
      </x:c>
      <x:c r="E329" s="27" t="str">
        <x:v>2-09-06-01</x:v>
      </x:c>
      <x:c r="F329" s="25" t="str">
        <x:v>视觉传达设计人员</x:v>
      </x:c>
      <x:c r="G329" s="27" t="str">
        <x:v>IC01</x:v>
      </x:c>
      <x:c r="H329" s="25" t="str">
        <x:v>数据要素与数字经济产业链</x:v>
      </x:c>
      <x:c r="I329" s="25" t="str">
        <x:v>下游</x:v>
      </x:c>
      <x:c r="J329" s="27" t="str">
        <x:v>ICN003</x:v>
      </x:c>
      <x:c r="K329" s="25" t="str">
        <x:v>数字经济场景应用与内容创意</x:v>
      </x:c>
      <x:c r="L329" s="28" t="n">
        <x:v>75</x:v>
      </x:c>
      <x:c r="M329" s="25" t="str">
        <x:v>中</x:v>
      </x:c>
      <x:c r="N329" s="26" t="str">
        <x:v>记者、编辑、视觉、视频</x:v>
      </x:c>
      <x:c r="O329" s="26" t="str">
        <x:v>岗位名称/描述出现“记者、编辑”，工作环节更贴近“记者、视觉、视频、编辑”，因此关联到该节点。</x:v>
      </x:c>
      <x:c r="P329" s="26" t="str">
        <x:v>自动通过</x:v>
      </x:c>
    </x:row>
    <x:row r="330" ht="44" customHeight="1">
      <x:c r="A330" s="27" t="str">
        <x:v>REL000327</x:v>
      </x:c>
      <x:c r="B330" s="25" t="n">
        <x:v>11425</x:v>
      </x:c>
      <x:c r="C330" s="27" t="str">
        <x:v>IC-L3-682</x:v>
      </x:c>
      <x:c r="D330" s="25" t="str">
        <x:v>美术编辑</x:v>
      </x:c>
      <x:c r="E330" s="27" t="str">
        <x:v>2-09-06-01</x:v>
      </x:c>
      <x:c r="F330" s="25" t="str">
        <x:v>视觉传达设计人员</x:v>
      </x:c>
      <x:c r="G330" s="27" t="str">
        <x:v>IC01</x:v>
      </x:c>
      <x:c r="H330" s="25" t="str">
        <x:v>数据要素与数字经济产业链</x:v>
      </x:c>
      <x:c r="I330" s="25" t="str">
        <x:v>下游</x:v>
      </x:c>
      <x:c r="J330" s="27" t="str">
        <x:v>ICN003</x:v>
      </x:c>
      <x:c r="K330" s="25" t="str">
        <x:v>数字经济场景应用与内容创意</x:v>
      </x:c>
      <x:c r="L330" s="28" t="n">
        <x:v>90</x:v>
      </x:c>
      <x:c r="M330" s="25" t="str">
        <x:v>高</x:v>
      </x:c>
      <x:c r="N330" s="26" t="str">
        <x:v>编辑、美术、视觉、品牌、视频</x:v>
      </x:c>
      <x:c r="O330" s="26" t="str">
        <x:v>岗位名称/描述出现“编辑、美术”，工作环节更贴近“编辑、视觉、品牌、视频”，因此关联到该节点。</x:v>
      </x:c>
      <x:c r="P330" s="26" t="str">
        <x:v>自动通过</x:v>
      </x:c>
    </x:row>
    <x:row r="331" ht="44" customHeight="1">
      <x:c r="A331" s="27" t="str">
        <x:v>REL000328</x:v>
      </x:c>
      <x:c r="B331" s="25" t="n">
        <x:v>11430</x:v>
      </x:c>
      <x:c r="C331" s="27" t="str">
        <x:v>IC-L3-687</x:v>
      </x:c>
      <x:c r="D331" s="25" t="str">
        <x:v>模特</x:v>
      </x:c>
      <x:c r="E331" s="27" t="str">
        <x:v>2-09-04-01</x:v>
      </x:c>
      <x:c r="F331" s="25" t="str">
        <x:v>灯光师</x:v>
      </x:c>
      <x:c r="G331" s="27" t="str">
        <x:v>IC01</x:v>
      </x:c>
      <x:c r="H331" s="25" t="str">
        <x:v>数据要素与数字经济产业链</x:v>
      </x:c>
      <x:c r="I331" s="25" t="str">
        <x:v>下游</x:v>
      </x:c>
      <x:c r="J331" s="27" t="str">
        <x:v>ICN003</x:v>
      </x:c>
      <x:c r="K331" s="25" t="str">
        <x:v>数字经济场景应用与内容创意</x:v>
      </x:c>
      <x:c r="L331" s="28" t="n">
        <x:v>57</x:v>
      </x:c>
      <x:c r="M331" s="25" t="str">
        <x:v>低</x:v>
      </x:c>
      <x:c r="N331" s="26" t="str">
        <x:v>广告、摄影、导演、品牌</x:v>
      </x:c>
      <x:c r="O331" s="26" t="str">
        <x:v>岗位名称/描述出现“广告、摄影、导演”，工作环节更贴近“广告、品牌、摄影”，因此关联到该节点。</x:v>
      </x:c>
      <x:c r="P331" s="26" t="str">
        <x:v>建议复核</x:v>
      </x:c>
    </x:row>
    <x:row r="332" ht="44" customHeight="1">
      <x:c r="A332" s="27" t="str">
        <x:v>REL000329</x:v>
      </x:c>
      <x:c r="B332" s="25" t="n">
        <x:v>11436</x:v>
      </x:c>
      <x:c r="C332" s="27" t="str">
        <x:v>IC-L3-693</x:v>
      </x:c>
      <x:c r="D332" s="25" t="str">
        <x:v>作家/撰稿人</x:v>
      </x:c>
      <x:c r="E332" s="27" t="str">
        <x:v>2-09-06-01</x:v>
      </x:c>
      <x:c r="F332" s="25" t="str">
        <x:v>视觉传达设计人员</x:v>
      </x:c>
      <x:c r="G332" s="27" t="str">
        <x:v>IC01</x:v>
      </x:c>
      <x:c r="H332" s="25" t="str">
        <x:v>数据要素与数字经济产业链</x:v>
      </x:c>
      <x:c r="I332" s="25" t="str">
        <x:v>下游</x:v>
      </x:c>
      <x:c r="J332" s="27" t="str">
        <x:v>ICN003</x:v>
      </x:c>
      <x:c r="K332" s="25" t="str">
        <x:v>数字经济场景应用与内容创意</x:v>
      </x:c>
      <x:c r="L332" s="28" t="n">
        <x:v>87</x:v>
      </x:c>
      <x:c r="M332" s="25" t="str">
        <x:v>高</x:v>
      </x:c>
      <x:c r="N332" s="26" t="str">
        <x:v>撰稿、作家、编辑、排版、视觉、品牌</x:v>
      </x:c>
      <x:c r="O332" s="26" t="str">
        <x:v>岗位名称/描述出现“撰稿、作家、编辑、排版”，工作环节更贴近“视觉、品牌、编辑”，因此关联到该节点。</x:v>
      </x:c>
      <x:c r="P332" s="26" t="str">
        <x:v>自动通过</x:v>
      </x:c>
    </x:row>
    <x:row r="333" ht="44" customHeight="1">
      <x:c r="A333" s="27" t="str">
        <x:v>REL000330</x:v>
      </x:c>
      <x:c r="B333" s="25" t="n">
        <x:v>11437</x:v>
      </x:c>
      <x:c r="C333" s="27" t="str">
        <x:v>IC-L3-694</x:v>
      </x:c>
      <x:c r="D333" s="25" t="str">
        <x:v>出版/发行</x:v>
      </x:c>
      <x:c r="E333" s="27" t="str">
        <x:v>2-09-06-01</x:v>
      </x:c>
      <x:c r="F333" s="25" t="str">
        <x:v>视觉传达设计人员</x:v>
      </x:c>
      <x:c r="G333" s="27" t="str">
        <x:v>IC01</x:v>
      </x:c>
      <x:c r="H333" s="25" t="str">
        <x:v>数据要素与数字经济产业链</x:v>
      </x:c>
      <x:c r="I333" s="25" t="str">
        <x:v>下游</x:v>
      </x:c>
      <x:c r="J333" s="27" t="str">
        <x:v>ICN003</x:v>
      </x:c>
      <x:c r="K333" s="25" t="str">
        <x:v>数字经济场景应用与内容创意</x:v>
      </x:c>
      <x:c r="L333" s="28" t="n">
        <x:v>75</x:v>
      </x:c>
      <x:c r="M333" s="25" t="str">
        <x:v>中</x:v>
      </x:c>
      <x:c r="N333" s="26" t="str">
        <x:v>出版、编辑、视觉、品牌</x:v>
      </x:c>
      <x:c r="O333" s="26" t="str">
        <x:v>岗位名称/描述出现“出版、编辑”，工作环节更贴近“出版、视觉、品牌、编辑”，因此关联到该节点。</x:v>
      </x:c>
      <x:c r="P333" s="26" t="str">
        <x:v>自动通过</x:v>
      </x:c>
    </x:row>
    <x:row r="334" ht="44" customHeight="1">
      <x:c r="A334" s="27" t="str">
        <x:v>REL000331</x:v>
      </x:c>
      <x:c r="B334" s="25" t="n">
        <x:v>11439</x:v>
      </x:c>
      <x:c r="C334" s="27" t="str">
        <x:v>IC-L3-696</x:v>
      </x:c>
      <x:c r="D334" s="25" t="str">
        <x:v>排版设计</x:v>
      </x:c>
      <x:c r="E334" s="27" t="str">
        <x:v>2-09-06-01</x:v>
      </x:c>
      <x:c r="F334" s="25" t="str">
        <x:v>视觉传达设计人员</x:v>
      </x:c>
      <x:c r="G334" s="27" t="str">
        <x:v>IC01</x:v>
      </x:c>
      <x:c r="H334" s="25" t="str">
        <x:v>数据要素与数字经济产业链</x:v>
      </x:c>
      <x:c r="I334" s="25" t="str">
        <x:v>下游</x:v>
      </x:c>
      <x:c r="J334" s="27" t="str">
        <x:v>ICN003</x:v>
      </x:c>
      <x:c r="K334" s="25" t="str">
        <x:v>数字经济场景应用与内容创意</x:v>
      </x:c>
      <x:c r="L334" s="28" t="n">
        <x:v>75</x:v>
      </x:c>
      <x:c r="M334" s="25" t="str">
        <x:v>中</x:v>
      </x:c>
      <x:c r="N334" s="26" t="str">
        <x:v>排版、编辑、出版、美术、视觉、品牌、交互</x:v>
      </x:c>
      <x:c r="O334" s="26" t="str">
        <x:v>岗位名称/描述出现“排版、编辑、出版、美术”，工作环节更贴近“视觉、品牌、交互、编辑、出版”，因此关联到该节点。</x:v>
      </x:c>
      <x:c r="P334" s="26" t="str">
        <x:v>自动通过</x:v>
      </x:c>
    </x:row>
    <x:row r="335" ht="44" customHeight="1">
      <x:c r="A335" s="27" t="str">
        <x:v>REL000332</x:v>
      </x:c>
      <x:c r="B335" s="25" t="n">
        <x:v>11440</x:v>
      </x:c>
      <x:c r="C335" s="27" t="str">
        <x:v>IC-L3-697</x:v>
      </x:c>
      <x:c r="D335" s="25" t="str">
        <x:v>编辑</x:v>
      </x:c>
      <x:c r="E335" s="27" t="str">
        <x:v>2-09-06-01</x:v>
      </x:c>
      <x:c r="F335" s="25" t="str">
        <x:v>视觉传达设计人员</x:v>
      </x:c>
      <x:c r="G335" s="27" t="str">
        <x:v>IC01</x:v>
      </x:c>
      <x:c r="H335" s="25" t="str">
        <x:v>数据要素与数字经济产业链</x:v>
      </x:c>
      <x:c r="I335" s="25" t="str">
        <x:v>下游</x:v>
      </x:c>
      <x:c r="J335" s="27" t="str">
        <x:v>ICN003</x:v>
      </x:c>
      <x:c r="K335" s="25" t="str">
        <x:v>数字经济场景应用与内容创意</x:v>
      </x:c>
      <x:c r="L335" s="28" t="n">
        <x:v>76</x:v>
      </x:c>
      <x:c r="M335" s="25" t="str">
        <x:v>中</x:v>
      </x:c>
      <x:c r="N335" s="26" t="str">
        <x:v>编辑、出版、视觉、增长、品牌</x:v>
      </x:c>
      <x:c r="O335" s="26" t="str">
        <x:v>岗位名称/描述出现“编辑、出版”，工作环节更贴近“编辑、视觉、增长、品牌、出版”，因此关联到该节点。</x:v>
      </x:c>
      <x:c r="P335" s="26" t="str">
        <x:v>自动通过</x:v>
      </x:c>
    </x:row>
    <x:row r="336" ht="44" customHeight="1">
      <x:c r="A336" s="27" t="str">
        <x:v>REL000333</x:v>
      </x:c>
      <x:c r="B336" s="25" t="n">
        <x:v>11441</x:v>
      </x:c>
      <x:c r="C336" s="27" t="str">
        <x:v>IC-L3-698</x:v>
      </x:c>
      <x:c r="D336" s="25" t="str">
        <x:v>美术编辑</x:v>
      </x:c>
      <x:c r="E336" s="27" t="str">
        <x:v>2-09-06-01</x:v>
      </x:c>
      <x:c r="F336" s="25" t="str">
        <x:v>视觉传达设计人员</x:v>
      </x:c>
      <x:c r="G336" s="27" t="str">
        <x:v>IC01</x:v>
      </x:c>
      <x:c r="H336" s="25" t="str">
        <x:v>数据要素与数字经济产业链</x:v>
      </x:c>
      <x:c r="I336" s="25" t="str">
        <x:v>下游</x:v>
      </x:c>
      <x:c r="J336" s="27" t="str">
        <x:v>ICN003</x:v>
      </x:c>
      <x:c r="K336" s="25" t="str">
        <x:v>数字经济场景应用与内容创意</x:v>
      </x:c>
      <x:c r="L336" s="28" t="n">
        <x:v>96</x:v>
      </x:c>
      <x:c r="M336" s="25" t="str">
        <x:v>高</x:v>
      </x:c>
      <x:c r="N336" s="26" t="str">
        <x:v>编辑、美术、视觉设计、记者、出版、视觉、品牌</x:v>
      </x:c>
      <x:c r="O336" s="26" t="str">
        <x:v>岗位名称/描述出现“编辑、美术、视觉设计、记者、出版”，工作环节更贴近“编辑、视觉、品牌、记者、出版”，因此关联到该节点。</x:v>
      </x:c>
      <x:c r="P336" s="26" t="str">
        <x:v>自动通过</x:v>
      </x:c>
    </x:row>
    <x:row r="337" ht="44" customHeight="1">
      <x:c r="A337" s="27" t="str">
        <x:v>REL000334</x:v>
      </x:c>
      <x:c r="B337" s="25" t="n">
        <x:v>11442</x:v>
      </x:c>
      <x:c r="C337" s="27" t="str">
        <x:v>IC-L3-699</x:v>
      </x:c>
      <x:c r="D337" s="25" t="str">
        <x:v>记者</x:v>
      </x:c>
      <x:c r="E337" s="27" t="str">
        <x:v>2-09-06-01</x:v>
      </x:c>
      <x:c r="F337" s="25" t="str">
        <x:v>视觉传达设计人员</x:v>
      </x:c>
      <x:c r="G337" s="27" t="str">
        <x:v>IC01</x:v>
      </x:c>
      <x:c r="H337" s="25" t="str">
        <x:v>数据要素与数字经济产业链</x:v>
      </x:c>
      <x:c r="I337" s="25" t="str">
        <x:v>下游</x:v>
      </x:c>
      <x:c r="J337" s="27" t="str">
        <x:v>ICN003</x:v>
      </x:c>
      <x:c r="K337" s="25" t="str">
        <x:v>数字经济场景应用与内容创意</x:v>
      </x:c>
      <x:c r="L337" s="28" t="n">
        <x:v>79</x:v>
      </x:c>
      <x:c r="M337" s="25" t="str">
        <x:v>中</x:v>
      </x:c>
      <x:c r="N337" s="26" t="str">
        <x:v>记者、编辑、新媒体、视觉、品牌、视频</x:v>
      </x:c>
      <x:c r="O337" s="26" t="str">
        <x:v>岗位名称/描述出现“记者、编辑、新媒体”，工作环节更贴近“记者、视觉、品牌、视频、编辑”，因此关联到该节点。</x:v>
      </x:c>
      <x:c r="P337" s="26" t="str">
        <x:v>自动通过</x:v>
      </x:c>
    </x:row>
    <x:row r="338" ht="44" customHeight="1">
      <x:c r="A338" s="27" t="str">
        <x:v>REL000335</x:v>
      </x:c>
      <x:c r="B338" s="25" t="n">
        <x:v>11446</x:v>
      </x:c>
      <x:c r="C338" s="27" t="str">
        <x:v>IC-L3-703</x:v>
      </x:c>
      <x:c r="D338" s="25" t="str">
        <x:v>编剧</x:v>
      </x:c>
      <x:c r="E338" s="27" t="str">
        <x:v>2-09-06-01</x:v>
      </x:c>
      <x:c r="F338" s="25" t="str">
        <x:v>视觉传达设计人员</x:v>
      </x:c>
      <x:c r="G338" s="27" t="str">
        <x:v>IC01</x:v>
      </x:c>
      <x:c r="H338" s="25" t="str">
        <x:v>数据要素与数字经济产业链</x:v>
      </x:c>
      <x:c r="I338" s="25" t="str">
        <x:v>中游</x:v>
      </x:c>
      <x:c r="J338" s="27" t="str">
        <x:v>ICN002</x:v>
      </x:c>
      <x:c r="K338" s="25" t="str">
        <x:v>数据治理、流通与服务</x:v>
      </x:c>
      <x:c r="L338" s="28" t="n">
        <x:v>70</x:v>
      </x:c>
      <x:c r="M338" s="25" t="str">
        <x:v>中</x:v>
      </x:c>
      <x:c r="N338" s="26" t="str">
        <x:v>编剧、编辑、出版</x:v>
      </x:c>
      <x:c r="O338" s="26" t="str">
        <x:v>岗位名称/描述出现“编剧、编辑、出版”，工作环节更贴近“中游”，因此关联到该节点。</x:v>
      </x:c>
      <x:c r="P338" s="26" t="str">
        <x:v>自动通过</x:v>
      </x:c>
    </x:row>
    <x:row r="339" ht="44" customHeight="1">
      <x:c r="A339" s="27" t="str">
        <x:v>REL000336</x:v>
      </x:c>
      <x:c r="B339" s="25" t="n">
        <x:v>11449</x:v>
      </x:c>
      <x:c r="C339" s="27" t="str">
        <x:v>IC-L3-706</x:v>
      </x:c>
      <x:c r="D339" s="25" t="str">
        <x:v>新能源电控工程师</x:v>
      </x:c>
      <x:c r="E339" s="27" t="str">
        <x:v>2-02-38-05</x:v>
      </x:c>
      <x:c r="F339" s="25" t="str">
        <x:v>智能制造工程技术人员</x:v>
      </x:c>
      <x:c r="G339" s="27" t="str">
        <x:v>IC05</x:v>
      </x:c>
      <x:c r="H339" s="25" t="str">
        <x:v>新能源与电力装备产业链</x:v>
      </x:c>
      <x:c r="I339" s="25" t="str">
        <x:v>上游</x:v>
      </x:c>
      <x:c r="J339" s="27" t="str">
        <x:v>ICN013</x:v>
      </x:c>
      <x:c r="K339" s="25" t="str">
        <x:v>新能源材料、电芯与发电设备</x:v>
      </x:c>
      <x:c r="L339" s="28" t="n">
        <x:v>84</x:v>
      </x:c>
      <x:c r="M339" s="25" t="str">
        <x:v>高</x:v>
      </x:c>
      <x:c r="N339" s="26" t="str">
        <x:v>新能源、能源、电池、研发、设计</x:v>
      </x:c>
      <x:c r="O339" s="26" t="str">
        <x:v>岗位名称/描述出现“新能源、能源、电池”，工作环节更贴近“研发、设计”，因此关联到该节点。</x:v>
      </x:c>
      <x:c r="P339" s="26" t="str">
        <x:v>自动通过</x:v>
      </x:c>
    </x:row>
    <x:row r="340" ht="44" customHeight="1">
      <x:c r="A340" s="27" t="str">
        <x:v>REL000337</x:v>
      </x:c>
      <x:c r="B340" s="25" t="n">
        <x:v>11450</x:v>
      </x:c>
      <x:c r="C340" s="27" t="str">
        <x:v>IC-L3-707</x:v>
      </x:c>
      <x:c r="D340" s="25" t="str">
        <x:v>新能源电机工程师</x:v>
      </x:c>
      <x:c r="E340" s="27" t="str">
        <x:v>2-02-38-05</x:v>
      </x:c>
      <x:c r="F340" s="25" t="str">
        <x:v>智能制造工程技术人员</x:v>
      </x:c>
      <x:c r="G340" s="27" t="str">
        <x:v>IC05</x:v>
      </x:c>
      <x:c r="H340" s="25" t="str">
        <x:v>新能源与电力装备产业链</x:v>
      </x:c>
      <x:c r="I340" s="25" t="str">
        <x:v>中游</x:v>
      </x:c>
      <x:c r="J340" s="27" t="str">
        <x:v>ICN014</x:v>
      </x:c>
      <x:c r="K340" s="25" t="str">
        <x:v>发电、储能与输配电装备</x:v>
      </x:c>
      <x:c r="L340" s="28" t="n">
        <x:v>84</x:v>
      </x:c>
      <x:c r="M340" s="25" t="str">
        <x:v>高</x:v>
      </x:c>
      <x:c r="N340" s="26" t="str">
        <x:v>新能源、能源、制造、生产</x:v>
      </x:c>
      <x:c r="O340" s="26" t="str">
        <x:v>岗位名称/描述出现“新能源、能源”，工作环节更贴近“制造、生产”，因此关联到该节点。</x:v>
      </x:c>
      <x:c r="P340" s="26" t="str">
        <x:v>自动通过</x:v>
      </x:c>
    </x:row>
    <x:row r="341" ht="44" customHeight="1">
      <x:c r="A341" s="27" t="str">
        <x:v>REL000338</x:v>
      </x:c>
      <x:c r="B341" s="25" t="n">
        <x:v>11451</x:v>
      </x:c>
      <x:c r="C341" s="27" t="str">
        <x:v>IC-L3-708</x:v>
      </x:c>
      <x:c r="D341" s="25" t="str">
        <x:v>新能源电池工程师</x:v>
      </x:c>
      <x:c r="E341" s="27" t="str">
        <x:v>2-02-38-05</x:v>
      </x:c>
      <x:c r="F341" s="25" t="str">
        <x:v>智能制造工程技术人员</x:v>
      </x:c>
      <x:c r="G341" s="27" t="str">
        <x:v>IC05</x:v>
      </x:c>
      <x:c r="H341" s="25" t="str">
        <x:v>新能源与电力装备产业链</x:v>
      </x:c>
      <x:c r="I341" s="25" t="str">
        <x:v>上游</x:v>
      </x:c>
      <x:c r="J341" s="27" t="str">
        <x:v>ICN013</x:v>
      </x:c>
      <x:c r="K341" s="25" t="str">
        <x:v>新能源材料、电芯与发电设备</x:v>
      </x:c>
      <x:c r="L341" s="28" t="n">
        <x:v>87</x:v>
      </x:c>
      <x:c r="M341" s="25" t="str">
        <x:v>高</x:v>
      </x:c>
      <x:c r="N341" s="26" t="str">
        <x:v>新能源、电池、能源、材料、研发、设计</x:v>
      </x:c>
      <x:c r="O341" s="26" t="str">
        <x:v>岗位名称/描述出现“新能源、电池、能源”，工作环节更贴近“材料、研发、设计”，因此关联到该节点。</x:v>
      </x:c>
      <x:c r="P341" s="26" t="str">
        <x:v>自动通过</x:v>
      </x:c>
    </x:row>
    <x:row r="342" ht="44" customHeight="1">
      <x:c r="A342" s="27" t="str">
        <x:v>REL000339</x:v>
      </x:c>
      <x:c r="B342" s="25" t="n">
        <x:v>11452</x:v>
      </x:c>
      <x:c r="C342" s="27" t="str">
        <x:v>IC-L3-709</x:v>
      </x:c>
      <x:c r="D342" s="25" t="str">
        <x:v>冲压工艺工程师</x:v>
      </x:c>
      <x:c r="E342" s="27" t="str">
        <x:v>6-25-01-01</x:v>
      </x:c>
      <x:c r="F342" s="25" t="str">
        <x:v>电容器制造工</x:v>
      </x:c>
      <x:c r="G342" s="27" t="str">
        <x:v>IC02</x:v>
      </x:c>
      <x:c r="H342" s="25" t="str">
        <x:v>高端装备与智能制造产业链</x:v>
      </x:c>
      <x:c r="I342" s="25" t="str">
        <x:v>中游</x:v>
      </x:c>
      <x:c r="J342" s="27" t="str">
        <x:v>ICN005</x:v>
      </x:c>
      <x:c r="K342" s="25" t="str">
        <x:v>高端装备制造与激光加工</x:v>
      </x:c>
      <x:c r="L342" s="28" t="n">
        <x:v>74</x:v>
      </x:c>
      <x:c r="M342" s="25" t="str">
        <x:v>中</x:v>
      </x:c>
      <x:c r="N342" s="26" t="str">
        <x:v>冲压、工艺、生产</x:v>
      </x:c>
      <x:c r="O342" s="26" t="str">
        <x:v>岗位名称/描述出现“冲压”，工作环节更贴近“工艺、生产”，因此关联到该节点。</x:v>
      </x:c>
      <x:c r="P342" s="26" t="str">
        <x:v>自动通过</x:v>
      </x:c>
    </x:row>
    <x:row r="343" ht="44" customHeight="1">
      <x:c r="A343" s="27" t="str">
        <x:v>REL000340</x:v>
      </x:c>
      <x:c r="B343" s="25" t="n">
        <x:v>11455</x:v>
      </x:c>
      <x:c r="C343" s="27" t="str">
        <x:v>IC-L3-712</x:v>
      </x:c>
      <x:c r="D343" s="25" t="str">
        <x:v>总装工程师</x:v>
      </x:c>
      <x:c r="E343" s="27" t="str">
        <x:v>2-02-07-11</x:v>
      </x:c>
      <x:c r="F343" s="25" t="str">
        <x:v>汽车工程技术人员</x:v>
      </x:c>
      <x:c r="G343" s="27" t="str">
        <x:v>IC08</x:v>
      </x:c>
      <x:c r="H343" s="25" t="str">
        <x:v>汽车与智能网联汽车产业链</x:v>
      </x:c>
      <x:c r="I343" s="25" t="str">
        <x:v>中游</x:v>
      </x:c>
      <x:c r="J343" s="27" t="str">
        <x:v>ICN023</x:v>
      </x:c>
      <x:c r="K343" s="25" t="str">
        <x:v>整车制造与智能网联系统集成</x:v>
      </x:c>
      <x:c r="L343" s="28" t="n">
        <x:v>63</x:v>
      </x:c>
      <x:c r="M343" s="25" t="str">
        <x:v>低</x:v>
      </x:c>
      <x:c r="N343" s="26" t="str">
        <x:v>汽车、整车、汽车制造、装配、生产、工艺</x:v>
      </x:c>
      <x:c r="O343" s="26" t="str">
        <x:v>岗位名称/描述出现“汽车、整车”，工作环节更贴近“整车、汽车制造、装配、生产、工艺”，因此关联到该节点。</x:v>
      </x:c>
      <x:c r="P343" s="26" t="str">
        <x:v>建议复核</x:v>
      </x:c>
    </x:row>
    <x:row r="344" ht="44" customHeight="1">
      <x:c r="A344" s="27" t="str">
        <x:v>REL000341</x:v>
      </x:c>
      <x:c r="B344" s="25" t="n">
        <x:v>11456</x:v>
      </x:c>
      <x:c r="C344" s="27" t="str">
        <x:v>IC-L3-713</x:v>
      </x:c>
      <x:c r="D344" s="25" t="str">
        <x:v>汽车装配工艺工程师</x:v>
      </x:c>
      <x:c r="E344" s="27" t="str">
        <x:v>2-02-07-11</x:v>
      </x:c>
      <x:c r="F344" s="25" t="str">
        <x:v>汽车工程技术人员</x:v>
      </x:c>
      <x:c r="G344" s="27" t="str">
        <x:v>IC08</x:v>
      </x:c>
      <x:c r="H344" s="25" t="str">
        <x:v>汽车与智能网联汽车产业链</x:v>
      </x:c>
      <x:c r="I344" s="25" t="str">
        <x:v>中游</x:v>
      </x:c>
      <x:c r="J344" s="27" t="str">
        <x:v>ICN023</x:v>
      </x:c>
      <x:c r="K344" s="25" t="str">
        <x:v>整车制造与智能网联系统集成</x:v>
      </x:c>
      <x:c r="L344" s="28" t="n">
        <x:v>82</x:v>
      </x:c>
      <x:c r="M344" s="25" t="str">
        <x:v>高</x:v>
      </x:c>
      <x:c r="N344" s="26" t="str">
        <x:v>汽车、装配、工艺、汽车制造、生产</x:v>
      </x:c>
      <x:c r="O344" s="26" t="str">
        <x:v>岗位名称/描述出现“汽车”，工作环节更贴近“装配、工艺、汽车制造、生产”，因此关联到该节点。</x:v>
      </x:c>
      <x:c r="P344" s="26" t="str">
        <x:v>自动通过</x:v>
      </x:c>
    </x:row>
    <x:row r="345" ht="44" customHeight="1">
      <x:c r="A345" s="27" t="str">
        <x:v>REL000342</x:v>
      </x:c>
      <x:c r="B345" s="25" t="n">
        <x:v>11456</x:v>
      </x:c>
      <x:c r="C345" s="27" t="str">
        <x:v>IC-L3-713</x:v>
      </x:c>
      <x:c r="D345" s="25" t="str">
        <x:v>汽车装配工艺工程师</x:v>
      </x:c>
      <x:c r="E345" s="27" t="str">
        <x:v>2-02-07-11</x:v>
      </x:c>
      <x:c r="F345" s="25" t="str">
        <x:v>汽车工程技术人员</x:v>
      </x:c>
      <x:c r="G345" s="27" t="str">
        <x:v>IC02</x:v>
      </x:c>
      <x:c r="H345" s="25" t="str">
        <x:v>高端装备与智能制造产业链</x:v>
      </x:c>
      <x:c r="I345" s="25" t="str">
        <x:v>中游</x:v>
      </x:c>
      <x:c r="J345" s="27" t="str">
        <x:v>ICN005</x:v>
      </x:c>
      <x:c r="K345" s="25" t="str">
        <x:v>高端装备制造与激光加工</x:v>
      </x:c>
      <x:c r="L345" s="28" t="n">
        <x:v>80</x:v>
      </x:c>
      <x:c r="M345" s="25" t="str">
        <x:v>中</x:v>
      </x:c>
      <x:c r="N345" s="26" t="str">
        <x:v>装配、车工、机械、工艺、生产</x:v>
      </x:c>
      <x:c r="O345" s="26" t="str">
        <x:v>岗位名称/描述出现“装配、车工、机械”，工作环节更贴近“装配、工艺、生产”，因此关联到该节点。</x:v>
      </x:c>
      <x:c r="P345" s="26" t="str">
        <x:v>自动通过</x:v>
      </x:c>
    </x:row>
    <x:row r="346" ht="44" customHeight="1">
      <x:c r="A346" s="27" t="str">
        <x:v>REL000343</x:v>
      </x:c>
      <x:c r="B346" s="25" t="n">
        <x:v>11457</x:v>
      </x:c>
      <x:c r="C346" s="27" t="str">
        <x:v>IC-L3-714</x:v>
      </x:c>
      <x:c r="D346" s="25" t="str">
        <x:v>汽车质量工程师</x:v>
      </x:c>
      <x:c r="E346" s="27" t="str">
        <x:v>2-02-07-11</x:v>
      </x:c>
      <x:c r="F346" s="25" t="str">
        <x:v>汽车工程技术人员</x:v>
      </x:c>
      <x:c r="G346" s="27" t="str">
        <x:v>IC08</x:v>
      </x:c>
      <x:c r="H346" s="25" t="str">
        <x:v>汽车与智能网联汽车产业链</x:v>
      </x:c>
      <x:c r="I346" s="25" t="str">
        <x:v>中游</x:v>
      </x:c>
      <x:c r="J346" s="27" t="str">
        <x:v>ICN023</x:v>
      </x:c>
      <x:c r="K346" s="25" t="str">
        <x:v>整车制造与智能网联系统集成</x:v>
      </x:c>
      <x:c r="L346" s="28" t="n">
        <x:v>72</x:v>
      </x:c>
      <x:c r="M346" s="25" t="str">
        <x:v>中</x:v>
      </x:c>
      <x:c r="N346" s="26" t="str">
        <x:v>汽车、汽车制造、生产</x:v>
      </x:c>
      <x:c r="O346" s="26" t="str">
        <x:v>岗位名称/描述出现“汽车”，工作环节更贴近“汽车制造、生产”，因此关联到该节点。</x:v>
      </x:c>
      <x:c r="P346" s="26" t="str">
        <x:v>自动通过</x:v>
      </x:c>
    </x:row>
    <x:row r="347" ht="44" customHeight="1">
      <x:c r="A347" s="27" t="str">
        <x:v>REL000344</x:v>
      </x:c>
      <x:c r="B347" s="25" t="n">
        <x:v>11459</x:v>
      </x:c>
      <x:c r="C347" s="27" t="str">
        <x:v>IC-L3-716</x:v>
      </x:c>
      <x:c r="D347" s="25" t="str">
        <x:v>焊接工艺工程师</x:v>
      </x:c>
      <x:c r="E347" s="27" t="str">
        <x:v>2-02-07-11</x:v>
      </x:c>
      <x:c r="F347" s="25" t="str">
        <x:v>汽车工程技术人员</x:v>
      </x:c>
      <x:c r="G347" s="27" t="str">
        <x:v>IC02</x:v>
      </x:c>
      <x:c r="H347" s="25" t="str">
        <x:v>高端装备与智能制造产业链</x:v>
      </x:c>
      <x:c r="I347" s="25" t="str">
        <x:v>中游</x:v>
      </x:c>
      <x:c r="J347" s="27" t="str">
        <x:v>ICN005</x:v>
      </x:c>
      <x:c r="K347" s="25" t="str">
        <x:v>高端装备制造与激光加工</x:v>
      </x:c>
      <x:c r="L347" s="28" t="n">
        <x:v>78</x:v>
      </x:c>
      <x:c r="M347" s="25" t="str">
        <x:v>中</x:v>
      </x:c>
      <x:c r="N347" s="26" t="str">
        <x:v>焊接、车工、工艺、生产</x:v>
      </x:c>
      <x:c r="O347" s="26" t="str">
        <x:v>岗位名称/描述出现“焊接、车工”，工作环节更贴近“焊接、工艺、生产”，因此关联到该节点。</x:v>
      </x:c>
      <x:c r="P347" s="26" t="str">
        <x:v>自动通过</x:v>
      </x:c>
    </x:row>
    <x:row r="348" ht="44" customHeight="1">
      <x:c r="A348" s="27" t="str">
        <x:v>REL000345</x:v>
      </x:c>
      <x:c r="B348" s="25" t="n">
        <x:v>11459</x:v>
      </x:c>
      <x:c r="C348" s="27" t="str">
        <x:v>IC-L3-716</x:v>
      </x:c>
      <x:c r="D348" s="25" t="str">
        <x:v>焊接工艺工程师</x:v>
      </x:c>
      <x:c r="E348" s="27" t="str">
        <x:v>2-02-07-11</x:v>
      </x:c>
      <x:c r="F348" s="25" t="str">
        <x:v>汽车工程技术人员</x:v>
      </x:c>
      <x:c r="G348" s="27" t="str">
        <x:v>IC08</x:v>
      </x:c>
      <x:c r="H348" s="25" t="str">
        <x:v>汽车与智能网联汽车产业链</x:v>
      </x:c>
      <x:c r="I348" s="25" t="str">
        <x:v>中游</x:v>
      </x:c>
      <x:c r="J348" s="27" t="str">
        <x:v>ICN023</x:v>
      </x:c>
      <x:c r="K348" s="25" t="str">
        <x:v>整车制造与智能网联系统集成</x:v>
      </x:c>
      <x:c r="L348" s="28" t="n">
        <x:v>69</x:v>
      </x:c>
      <x:c r="M348" s="25" t="str">
        <x:v>中</x:v>
      </x:c>
      <x:c r="N348" s="26" t="str">
        <x:v>汽车、整车、工艺、汽车制造、生产、测试</x:v>
      </x:c>
      <x:c r="O348" s="26" t="str">
        <x:v>岗位名称/描述出现“汽车、整车”，工作环节更贴近“工艺、整车、汽车制造、生产、测试”，因此关联到该节点。</x:v>
      </x:c>
      <x:c r="P348" s="26" t="str">
        <x:v>自动通过</x:v>
      </x:c>
    </x:row>
    <x:row r="349" ht="44" customHeight="1">
      <x:c r="A349" s="27" t="str">
        <x:v>REL000346</x:v>
      </x:c>
      <x:c r="B349" s="25" t="n">
        <x:v>11461</x:v>
      </x:c>
      <x:c r="C349" s="27" t="str">
        <x:v>IC-L3-718</x:v>
      </x:c>
      <x:c r="D349" s="25" t="str">
        <x:v>汽车试验工程师</x:v>
      </x:c>
      <x:c r="E349" s="27" t="str">
        <x:v>2-02-07-11</x:v>
      </x:c>
      <x:c r="F349" s="25" t="str">
        <x:v>汽车工程技术人员</x:v>
      </x:c>
      <x:c r="G349" s="27" t="str">
        <x:v>IC08</x:v>
      </x:c>
      <x:c r="H349" s="25" t="str">
        <x:v>汽车与智能网联汽车产业链</x:v>
      </x:c>
      <x:c r="I349" s="25" t="str">
        <x:v>中游</x:v>
      </x:c>
      <x:c r="J349" s="27" t="str">
        <x:v>ICN023</x:v>
      </x:c>
      <x:c r="K349" s="25" t="str">
        <x:v>整车制造与智能网联系统集成</x:v>
      </x:c>
      <x:c r="L349" s="28" t="n">
        <x:v>74</x:v>
      </x:c>
      <x:c r="M349" s="25" t="str">
        <x:v>中</x:v>
      </x:c>
      <x:c r="N349" s="26" t="str">
        <x:v>汽车、整车、测试</x:v>
      </x:c>
      <x:c r="O349" s="26" t="str">
        <x:v>岗位名称/描述出现“汽车、整车”，工作环节更贴近“整车、测试”，因此关联到该节点。</x:v>
      </x:c>
      <x:c r="P349" s="26" t="str">
        <x:v>自动通过</x:v>
      </x:c>
    </x:row>
    <x:row r="350" ht="44" customHeight="1">
      <x:c r="A350" s="27" t="str">
        <x:v>REL000347</x:v>
      </x:c>
      <x:c r="B350" s="25" t="n">
        <x:v>11462</x:v>
      </x:c>
      <x:c r="C350" s="27" t="str">
        <x:v>IC-L3-719</x:v>
      </x:c>
      <x:c r="D350" s="25" t="str">
        <x:v>汽车标定工程师</x:v>
      </x:c>
      <x:c r="E350" s="27" t="str">
        <x:v>2-02-07-11</x:v>
      </x:c>
      <x:c r="F350" s="25" t="str">
        <x:v>汽车工程技术人员</x:v>
      </x:c>
      <x:c r="G350" s="27" t="str">
        <x:v>IC08</x:v>
      </x:c>
      <x:c r="H350" s="25" t="str">
        <x:v>汽车与智能网联汽车产业链</x:v>
      </x:c>
      <x:c r="I350" s="25" t="str">
        <x:v>中游</x:v>
      </x:c>
      <x:c r="J350" s="27" t="str">
        <x:v>ICN023</x:v>
      </x:c>
      <x:c r="K350" s="25" t="str">
        <x:v>整车制造与智能网联系统集成</x:v>
      </x:c>
      <x:c r="L350" s="28" t="n">
        <x:v>74</x:v>
      </x:c>
      <x:c r="M350" s="25" t="str">
        <x:v>中</x:v>
      </x:c>
      <x:c r="N350" s="26" t="str">
        <x:v>汽车、整车、测试</x:v>
      </x:c>
      <x:c r="O350" s="26" t="str">
        <x:v>岗位名称/描述出现“汽车、整车”，工作环节更贴近“整车、测试”，因此关联到该节点。</x:v>
      </x:c>
      <x:c r="P350" s="26" t="str">
        <x:v>自动通过</x:v>
      </x:c>
    </x:row>
    <x:row r="351" ht="44" customHeight="1">
      <x:c r="A351" s="27" t="str">
        <x:v>REL000348</x:v>
      </x:c>
      <x:c r="B351" s="25" t="n">
        <x:v>11463</x:v>
      </x:c>
      <x:c r="C351" s="27" t="str">
        <x:v>IC-L3-720</x:v>
      </x:c>
      <x:c r="D351" s="25" t="str">
        <x:v>汽车电子工程师</x:v>
      </x:c>
      <x:c r="E351" s="27" t="str">
        <x:v>2-02-09-02</x:v>
      </x:c>
      <x:c r="F351" s="25" t="str">
        <x:v>电子元器件工程技术人员</x:v>
      </x:c>
      <x:c r="G351" s="27" t="str">
        <x:v>IC08</x:v>
      </x:c>
      <x:c r="H351" s="25" t="str">
        <x:v>汽车与智能网联汽车产业链</x:v>
      </x:c>
      <x:c r="I351" s="25" t="str">
        <x:v>上游</x:v>
      </x:c>
      <x:c r="J351" s="27" t="str">
        <x:v>ICN022</x:v>
      </x:c>
      <x:c r="K351" s="25" t="str">
        <x:v>汽车材料、零部件与电子电气</x:v>
      </x:c>
      <x:c r="L351" s="28" t="n">
        <x:v>91</x:v>
      </x:c>
      <x:c r="M351" s="25" t="str">
        <x:v>高</x:v>
      </x:c>
      <x:c r="N351" s="26" t="str">
        <x:v>汽车、汽车电子、零部件、电气、研发、设计</x:v>
      </x:c>
      <x:c r="O351" s="26" t="str">
        <x:v>岗位名称/描述出现“汽车、汽车电子”，工作环节更贴近“汽车电子、零部件、电气、研发、设计”，因此关联到该节点。</x:v>
      </x:c>
      <x:c r="P351" s="26" t="str">
        <x:v>自动通过</x:v>
      </x:c>
    </x:row>
    <x:row r="352" ht="44" customHeight="1">
      <x:c r="A352" s="27" t="str">
        <x:v>REL000349</x:v>
      </x:c>
      <x:c r="B352" s="25" t="n">
        <x:v>11464</x:v>
      </x:c>
      <x:c r="C352" s="27" t="str">
        <x:v>IC-L3-721</x:v>
      </x:c>
      <x:c r="D352" s="25" t="str">
        <x:v>汽车结构工程师</x:v>
      </x:c>
      <x:c r="E352" s="27" t="str">
        <x:v>2-02-07-11</x:v>
      </x:c>
      <x:c r="F352" s="25" t="str">
        <x:v>汽车工程技术人员</x:v>
      </x:c>
      <x:c r="G352" s="27" t="str">
        <x:v>IC08</x:v>
      </x:c>
      <x:c r="H352" s="25" t="str">
        <x:v>汽车与智能网联汽车产业链</x:v>
      </x:c>
      <x:c r="I352" s="25" t="str">
        <x:v>上游</x:v>
      </x:c>
      <x:c r="J352" s="27" t="str">
        <x:v>ICN022</x:v>
      </x:c>
      <x:c r="K352" s="25" t="str">
        <x:v>汽车材料、零部件与电子电气</x:v>
      </x:c>
      <x:c r="L352" s="28" t="n">
        <x:v>72</x:v>
      </x:c>
      <x:c r="M352" s="25" t="str">
        <x:v>中</x:v>
      </x:c>
      <x:c r="N352" s="26" t="str">
        <x:v>汽车、零部件、轻量化、底盘、设计</x:v>
      </x:c>
      <x:c r="O352" s="26" t="str">
        <x:v>岗位名称/描述出现“汽车”，工作环节更贴近“零部件、轻量化、底盘、设计”，因此关联到该节点。</x:v>
      </x:c>
      <x:c r="P352" s="26" t="str">
        <x:v>自动通过</x:v>
      </x:c>
    </x:row>
    <x:row r="353" ht="44" customHeight="1">
      <x:c r="A353" s="27" t="str">
        <x:v>REL000350</x:v>
      </x:c>
      <x:c r="B353" s="25" t="n">
        <x:v>11465</x:v>
      </x:c>
      <x:c r="C353" s="27" t="str">
        <x:v>IC-L3-722</x:v>
      </x:c>
      <x:c r="D353" s="25" t="str">
        <x:v>车联网工程师</x:v>
      </x:c>
      <x:c r="E353" s="27" t="str">
        <x:v>6-25-01-01</x:v>
      </x:c>
      <x:c r="F353" s="25" t="str">
        <x:v>电容器制造工</x:v>
      </x:c>
      <x:c r="G353" s="27" t="str">
        <x:v>IC08</x:v>
      </x:c>
      <x:c r="H353" s="25" t="str">
        <x:v>汽车与智能网联汽车产业链</x:v>
      </x:c>
      <x:c r="I353" s="25" t="str">
        <x:v>中游</x:v>
      </x:c>
      <x:c r="J353" s="27" t="str">
        <x:v>ICN023</x:v>
      </x:c>
      <x:c r="K353" s="25" t="str">
        <x:v>整车制造与智能网联系统集成</x:v>
      </x:c>
      <x:c r="L353" s="28" t="n">
        <x:v>69</x:v>
      </x:c>
      <x:c r="M353" s="25" t="str">
        <x:v>中</x:v>
      </x:c>
      <x:c r="N353" s="26" t="str">
        <x:v>车联网、智能网联、系统集成、测试</x:v>
      </x:c>
      <x:c r="O353" s="26" t="str">
        <x:v>岗位名称/描述出现“车联网”，工作环节更贴近“智能网联、系统集成、测试”，因此关联到该节点。</x:v>
      </x:c>
      <x:c r="P353" s="26" t="str">
        <x:v>自动通过</x:v>
      </x:c>
    </x:row>
    <x:row r="354" ht="44" customHeight="1">
      <x:c r="A354" s="27" t="str">
        <x:v>REL000351</x:v>
      </x:c>
      <x:c r="B354" s="25" t="n">
        <x:v>11466</x:v>
      </x:c>
      <x:c r="C354" s="27" t="str">
        <x:v>IC-L3-723</x:v>
      </x:c>
      <x:c r="D354" s="25" t="str">
        <x:v>车工</x:v>
      </x:c>
      <x:c r="E354" s="27" t="str">
        <x:v>2-02-07-11</x:v>
      </x:c>
      <x:c r="F354" s="25" t="str">
        <x:v>汽车工程技术人员</x:v>
      </x:c>
      <x:c r="G354" s="27" t="str">
        <x:v>IC02</x:v>
      </x:c>
      <x:c r="H354" s="25" t="str">
        <x:v>高端装备与智能制造产业链</x:v>
      </x:c>
      <x:c r="I354" s="25" t="str">
        <x:v>上游</x:v>
      </x:c>
      <x:c r="J354" s="27" t="str">
        <x:v>ICN004</x:v>
      </x:c>
      <x:c r="K354" s="25" t="str">
        <x:v>关键基础件与工业母机</x:v>
      </x:c>
      <x:c r="L354" s="28" t="n">
        <x:v>66</x:v>
      </x:c>
      <x:c r="M354" s="25" t="str">
        <x:v>低</x:v>
      </x:c>
      <x:c r="N354" s="26" t="str">
        <x:v>车工、零部件、刀具</x:v>
      </x:c>
      <x:c r="O354" s="26" t="str">
        <x:v>岗位名称/描述出现“车工”，工作环节更贴近“零部件、刀具”，因此关联到该节点。</x:v>
      </x:c>
      <x:c r="P354" s="26" t="str">
        <x:v>建议复核</x:v>
      </x:c>
    </x:row>
    <x:row r="355" ht="44" customHeight="1">
      <x:c r="A355" s="27" t="str">
        <x:v>REL000352</x:v>
      </x:c>
      <x:c r="B355" s="25" t="n">
        <x:v>11466</x:v>
      </x:c>
      <x:c r="C355" s="27" t="str">
        <x:v>IC-L3-723</x:v>
      </x:c>
      <x:c r="D355" s="25" t="str">
        <x:v>车工</x:v>
      </x:c>
      <x:c r="E355" s="27" t="str">
        <x:v>2-02-07-11</x:v>
      </x:c>
      <x:c r="F355" s="25" t="str">
        <x:v>汽车工程技术人员</x:v>
      </x:c>
      <x:c r="G355" s="27" t="str">
        <x:v>IC08</x:v>
      </x:c>
      <x:c r="H355" s="25" t="str">
        <x:v>汽车与智能网联汽车产业链</x:v>
      </x:c>
      <x:c r="I355" s="25" t="str">
        <x:v>中游</x:v>
      </x:c>
      <x:c r="J355" s="27" t="str">
        <x:v>ICN023</x:v>
      </x:c>
      <x:c r="K355" s="25" t="str">
        <x:v>整车制造与智能网联系统集成</x:v>
      </x:c>
      <x:c r="L355" s="28" t="n">
        <x:v>58</x:v>
      </x:c>
      <x:c r="M355" s="25" t="str">
        <x:v>低</x:v>
      </x:c>
      <x:c r="N355" s="26" t="str">
        <x:v>汽车、汽车零部件</x:v>
      </x:c>
      <x:c r="O355" s="26" t="str">
        <x:v>岗位名称/描述出现“汽车、汽车零部件”，工作环节更贴近“中游”，因此关联到该节点。</x:v>
      </x:c>
      <x:c r="P355" s="26" t="str">
        <x:v>建议复核</x:v>
      </x:c>
    </x:row>
    <x:row r="356" ht="44" customHeight="1">
      <x:c r="A356" s="27" t="str">
        <x:v>REL000353</x:v>
      </x:c>
      <x:c r="B356" s="25" t="n">
        <x:v>11468</x:v>
      </x:c>
      <x:c r="C356" s="27" t="str">
        <x:v>IC-L3-725</x:v>
      </x:c>
      <x:c r="D356" s="25" t="str">
        <x:v>动力总成工程师</x:v>
      </x:c>
      <x:c r="E356" s="27" t="str">
        <x:v>2-02-07-11</x:v>
      </x:c>
      <x:c r="F356" s="25" t="str">
        <x:v>汽车工程技术人员</x:v>
      </x:c>
      <x:c r="G356" s="27" t="str">
        <x:v>IC08</x:v>
      </x:c>
      <x:c r="H356" s="25" t="str">
        <x:v>汽车与智能网联汽车产业链</x:v>
      </x:c>
      <x:c r="I356" s="25" t="str">
        <x:v>上游</x:v>
      </x:c>
      <x:c r="J356" s="27" t="str">
        <x:v>ICN022</x:v>
      </x:c>
      <x:c r="K356" s="25" t="str">
        <x:v>汽车材料、零部件与电子电气</x:v>
      </x:c>
      <x:c r="L356" s="28" t="n">
        <x:v>67</x:v>
      </x:c>
      <x:c r="M356" s="25" t="str">
        <x:v>低</x:v>
      </x:c>
      <x:c r="N356" s="26" t="str">
        <x:v>汽车、新能源汽车、动力总成、零部件、电气、研发、设计</x:v>
      </x:c>
      <x:c r="O356" s="26" t="str">
        <x:v>岗位名称/描述出现“汽车、新能源汽车”，工作环节更贴近“动力总成、零部件、电气、研发、设计”，因此关联到该节点。</x:v>
      </x:c>
      <x:c r="P356" s="26" t="str">
        <x:v>建议复核</x:v>
      </x:c>
    </x:row>
    <x:row r="357" ht="44" customHeight="1">
      <x:c r="A357" s="27" t="str">
        <x:v>REL000354</x:v>
      </x:c>
      <x:c r="B357" s="25" t="n">
        <x:v>11469</x:v>
      </x:c>
      <x:c r="C357" s="27" t="str">
        <x:v>IC-L3-726</x:v>
      </x:c>
      <x:c r="D357" s="25" t="str">
        <x:v>发动机匹配工程师</x:v>
      </x:c>
      <x:c r="E357" s="27" t="str">
        <x:v>2-02-07-11</x:v>
      </x:c>
      <x:c r="F357" s="25" t="str">
        <x:v>汽车工程技术人员</x:v>
      </x:c>
      <x:c r="G357" s="27" t="str">
        <x:v>IC08</x:v>
      </x:c>
      <x:c r="H357" s="25" t="str">
        <x:v>汽车与智能网联汽车产业链</x:v>
      </x:c>
      <x:c r="I357" s="25" t="str">
        <x:v>上游</x:v>
      </x:c>
      <x:c r="J357" s="27" t="str">
        <x:v>ICN022</x:v>
      </x:c>
      <x:c r="K357" s="25" t="str">
        <x:v>汽车材料、零部件与电子电气</x:v>
      </x:c>
      <x:c r="L357" s="28" t="n">
        <x:v>61</x:v>
      </x:c>
      <x:c r="M357" s="25" t="str">
        <x:v>低</x:v>
      </x:c>
      <x:c r="N357" s="26" t="str">
        <x:v>汽车、整车、底盘、动力总成、电气、研发、设计</x:v>
      </x:c>
      <x:c r="O357" s="26" t="str">
        <x:v>岗位名称/描述出现“汽车、整车”，工作环节更贴近“底盘、动力总成、电气、研发、设计”，因此关联到该节点。</x:v>
      </x:c>
      <x:c r="P357" s="26" t="str">
        <x:v>建议复核</x:v>
      </x:c>
    </x:row>
    <x:row r="358" ht="44" customHeight="1">
      <x:c r="A358" s="27" t="str">
        <x:v>REL000355</x:v>
      </x:c>
      <x:c r="B358" s="25" t="n">
        <x:v>11472</x:v>
      </x:c>
      <x:c r="C358" s="27" t="str">
        <x:v>IC-L3-729</x:v>
      </x:c>
      <x:c r="D358" s="25" t="str">
        <x:v>新能源电控工程师</x:v>
      </x:c>
      <x:c r="E358" s="27" t="str">
        <x:v>2-02-07-11</x:v>
      </x:c>
      <x:c r="F358" s="25" t="str">
        <x:v>汽车工程技术人员</x:v>
      </x:c>
      <x:c r="G358" s="27" t="str">
        <x:v>IC05</x:v>
      </x:c>
      <x:c r="H358" s="25" t="str">
        <x:v>新能源与电力装备产业链</x:v>
      </x:c>
      <x:c r="I358" s="25" t="str">
        <x:v>上游</x:v>
      </x:c>
      <x:c r="J358" s="27" t="str">
        <x:v>ICN013</x:v>
      </x:c>
      <x:c r="K358" s="25" t="str">
        <x:v>新能源材料、电芯与发电设备</x:v>
      </x:c>
      <x:c r="L358" s="28" t="n">
        <x:v>84</x:v>
      </x:c>
      <x:c r="M358" s="25" t="str">
        <x:v>高</x:v>
      </x:c>
      <x:c r="N358" s="26" t="str">
        <x:v>新能源、能源、电池、研发、设计</x:v>
      </x:c>
      <x:c r="O358" s="26" t="str">
        <x:v>岗位名称/描述出现“新能源、能源、电池”，工作环节更贴近“研发、设计”，因此关联到该节点。</x:v>
      </x:c>
      <x:c r="P358" s="26" t="str">
        <x:v>自动通过</x:v>
      </x:c>
    </x:row>
    <x:row r="359" ht="44" customHeight="1">
      <x:c r="A359" s="27" t="str">
        <x:v>REL000356</x:v>
      </x:c>
      <x:c r="B359" s="25" t="n">
        <x:v>11472</x:v>
      </x:c>
      <x:c r="C359" s="27" t="str">
        <x:v>IC-L3-729</x:v>
      </x:c>
      <x:c r="D359" s="25" t="str">
        <x:v>新能源电控工程师</x:v>
      </x:c>
      <x:c r="E359" s="27" t="str">
        <x:v>2-02-07-11</x:v>
      </x:c>
      <x:c r="F359" s="25" t="str">
        <x:v>汽车工程技术人员</x:v>
      </x:c>
      <x:c r="G359" s="27" t="str">
        <x:v>IC08</x:v>
      </x:c>
      <x:c r="H359" s="25" t="str">
        <x:v>汽车与智能网联汽车产业链</x:v>
      </x:c>
      <x:c r="I359" s="25" t="str">
        <x:v>中游</x:v>
      </x:c>
      <x:c r="J359" s="27" t="str">
        <x:v>ICN023</x:v>
      </x:c>
      <x:c r="K359" s="25" t="str">
        <x:v>整车制造与智能网联系统集成</x:v>
      </x:c>
      <x:c r="L359" s="28" t="n">
        <x:v>62</x:v>
      </x:c>
      <x:c r="M359" s="25" t="str">
        <x:v>低</x:v>
      </x:c>
      <x:c r="N359" s="26" t="str">
        <x:v>汽车、整车、新能源汽车、测试</x:v>
      </x:c>
      <x:c r="O359" s="26" t="str">
        <x:v>岗位名称/描述出现“汽车、整车、新能源汽车”，工作环节更贴近“整车、测试”，因此关联到该节点。</x:v>
      </x:c>
      <x:c r="P359" s="26" t="str">
        <x:v>建议复核</x:v>
      </x:c>
    </x:row>
    <x:row r="360" ht="44" customHeight="1">
      <x:c r="A360" s="27" t="str">
        <x:v>REL000357</x:v>
      </x:c>
      <x:c r="B360" s="25" t="n">
        <x:v>11473</x:v>
      </x:c>
      <x:c r="C360" s="27" t="str">
        <x:v>IC-L3-730</x:v>
      </x:c>
      <x:c r="D360" s="25" t="str">
        <x:v>新能源电机工程师</x:v>
      </x:c>
      <x:c r="E360" s="27" t="str">
        <x:v>2-02-07-11</x:v>
      </x:c>
      <x:c r="F360" s="25" t="str">
        <x:v>汽车工程技术人员</x:v>
      </x:c>
      <x:c r="G360" s="27" t="str">
        <x:v>IC05</x:v>
      </x:c>
      <x:c r="H360" s="25" t="str">
        <x:v>新能源与电力装备产业链</x:v>
      </x:c>
      <x:c r="I360" s="25" t="str">
        <x:v>中游</x:v>
      </x:c>
      <x:c r="J360" s="27" t="str">
        <x:v>ICN014</x:v>
      </x:c>
      <x:c r="K360" s="25" t="str">
        <x:v>发电、储能与输配电装备</x:v>
      </x:c>
      <x:c r="L360" s="28" t="n">
        <x:v>87</x:v>
      </x:c>
      <x:c r="M360" s="25" t="str">
        <x:v>高</x:v>
      </x:c>
      <x:c r="N360" s="26" t="str">
        <x:v>新能源、能源、电力、生产、制造、调试</x:v>
      </x:c>
      <x:c r="O360" s="26" t="str">
        <x:v>岗位名称/描述出现“新能源、能源、电力”，工作环节更贴近“生产、制造、调试”，因此关联到该节点。</x:v>
      </x:c>
      <x:c r="P360" s="26" t="str">
        <x:v>自动通过</x:v>
      </x:c>
    </x:row>
    <x:row r="361" ht="44" customHeight="1">
      <x:c r="A361" s="27" t="str">
        <x:v>REL000358</x:v>
      </x:c>
      <x:c r="B361" s="25" t="n">
        <x:v>11473</x:v>
      </x:c>
      <x:c r="C361" s="27" t="str">
        <x:v>IC-L3-730</x:v>
      </x:c>
      <x:c r="D361" s="25" t="str">
        <x:v>新能源电机工程师</x:v>
      </x:c>
      <x:c r="E361" s="27" t="str">
        <x:v>2-02-07-11</x:v>
      </x:c>
      <x:c r="F361" s="25" t="str">
        <x:v>汽车工程技术人员</x:v>
      </x:c>
      <x:c r="G361" s="27" t="str">
        <x:v>IC08</x:v>
      </x:c>
      <x:c r="H361" s="25" t="str">
        <x:v>汽车与智能网联汽车产业链</x:v>
      </x:c>
      <x:c r="I361" s="25" t="str">
        <x:v>中游</x:v>
      </x:c>
      <x:c r="J361" s="27" t="str">
        <x:v>ICN023</x:v>
      </x:c>
      <x:c r="K361" s="25" t="str">
        <x:v>整车制造与智能网联系统集成</x:v>
      </x:c>
      <x:c r="L361" s="28" t="n">
        <x:v>63</x:v>
      </x:c>
      <x:c r="M361" s="25" t="str">
        <x:v>低</x:v>
      </x:c>
      <x:c r="N361" s="26" t="str">
        <x:v>汽车、整车、新能源汽车、生产、测试</x:v>
      </x:c>
      <x:c r="O361" s="26" t="str">
        <x:v>岗位名称/描述出现“汽车、整车、新能源汽车”，工作环节更贴近“整车、生产、测试”，因此关联到该节点。</x:v>
      </x:c>
      <x:c r="P361" s="26" t="str">
        <x:v>建议复核</x:v>
      </x:c>
    </x:row>
    <x:row r="362" ht="44" customHeight="1">
      <x:c r="A362" s="27" t="str">
        <x:v>REL000359</x:v>
      </x:c>
      <x:c r="B362" s="25" t="n">
        <x:v>11474</x:v>
      </x:c>
      <x:c r="C362" s="27" t="str">
        <x:v>IC-L3-731</x:v>
      </x:c>
      <x:c r="D362" s="25" t="str">
        <x:v>新能源电池工程师</x:v>
      </x:c>
      <x:c r="E362" s="27" t="str">
        <x:v>2-02-07-11</x:v>
      </x:c>
      <x:c r="F362" s="25" t="str">
        <x:v>汽车工程技术人员</x:v>
      </x:c>
      <x:c r="G362" s="27" t="str">
        <x:v>IC05</x:v>
      </x:c>
      <x:c r="H362" s="25" t="str">
        <x:v>新能源与电力装备产业链</x:v>
      </x:c>
      <x:c r="I362" s="25" t="str">
        <x:v>上游</x:v>
      </x:c>
      <x:c r="J362" s="27" t="str">
        <x:v>ICN013</x:v>
      </x:c>
      <x:c r="K362" s="25" t="str">
        <x:v>新能源材料、电芯与发电设备</x:v>
      </x:c>
      <x:c r="L362" s="28" t="n">
        <x:v>88</x:v>
      </x:c>
      <x:c r="M362" s="25" t="str">
        <x:v>高</x:v>
      </x:c>
      <x:c r="N362" s="26" t="str">
        <x:v>新能源、电池、能源、电气工程、材料、电池材料、研发、设计</x:v>
      </x:c>
      <x:c r="O362" s="26" t="str">
        <x:v>岗位名称/描述出现“新能源、电池、能源、电气工程”，工作环节更贴近“材料、电池材料、研发、设计”，因此关联到该节点。</x:v>
      </x:c>
      <x:c r="P362" s="26" t="str">
        <x:v>自动通过</x:v>
      </x:c>
    </x:row>
    <x:row r="363" ht="44" customHeight="1">
      <x:c r="A363" s="27" t="str">
        <x:v>REL000360</x:v>
      </x:c>
      <x:c r="B363" s="25" t="n">
        <x:v>11474</x:v>
      </x:c>
      <x:c r="C363" s="27" t="str">
        <x:v>IC-L3-731</x:v>
      </x:c>
      <x:c r="D363" s="25" t="str">
        <x:v>新能源电池工程师</x:v>
      </x:c>
      <x:c r="E363" s="27" t="str">
        <x:v>2-02-07-11</x:v>
      </x:c>
      <x:c r="F363" s="25" t="str">
        <x:v>汽车工程技术人员</x:v>
      </x:c>
      <x:c r="G363" s="27" t="str">
        <x:v>IC08</x:v>
      </x:c>
      <x:c r="H363" s="25" t="str">
        <x:v>汽车与智能网联汽车产业链</x:v>
      </x:c>
      <x:c r="I363" s="25" t="str">
        <x:v>中游</x:v>
      </x:c>
      <x:c r="J363" s="27" t="str">
        <x:v>ICN023</x:v>
      </x:c>
      <x:c r="K363" s="25" t="str">
        <x:v>整车制造与智能网联系统集成</x:v>
      </x:c>
      <x:c r="L363" s="28" t="n">
        <x:v>61</x:v>
      </x:c>
      <x:c r="M363" s="25" t="str">
        <x:v>低</x:v>
      </x:c>
      <x:c r="N363" s="26" t="str">
        <x:v>汽车、新能源汽车、生产、测试、工艺</x:v>
      </x:c>
      <x:c r="O363" s="26" t="str">
        <x:v>岗位名称/描述出现“汽车、新能源汽车”，工作环节更贴近“生产、测试、工艺”，因此关联到该节点。</x:v>
      </x:c>
      <x:c r="P363" s="26" t="str">
        <x:v>建议复核</x:v>
      </x:c>
    </x:row>
    <x:row r="364" ht="44" customHeight="1">
      <x:c r="A364" s="27" t="str">
        <x:v>REL000361</x:v>
      </x:c>
      <x:c r="B364" s="25" t="n">
        <x:v>11475</x:v>
      </x:c>
      <x:c r="C364" s="27" t="str">
        <x:v>IC-L3-732</x:v>
      </x:c>
      <x:c r="D364" s="25" t="str">
        <x:v>智能驾驶工程师</x:v>
      </x:c>
      <x:c r="E364" s="27" t="str">
        <x:v>2-02-38-01</x:v>
      </x:c>
      <x:c r="F364" s="25" t="str">
        <x:v>人工智能工程技术人员</x:v>
      </x:c>
      <x:c r="G364" s="27" t="str">
        <x:v>IC08</x:v>
      </x:c>
      <x:c r="H364" s="25" t="str">
        <x:v>汽车与智能网联汽车产业链</x:v>
      </x:c>
      <x:c r="I364" s="25" t="str">
        <x:v>下游</x:v>
      </x:c>
      <x:c r="J364" s="27" t="str">
        <x:v>ICN024</x:v>
      </x:c>
      <x:c r="K364" s="25" t="str">
        <x:v>出行服务、后市场与自动驾驶应用</x:v>
      </x:c>
      <x:c r="L364" s="28" t="n">
        <x:v>76</x:v>
      </x:c>
      <x:c r="M364" s="25" t="str">
        <x:v>中</x:v>
      </x:c>
      <x:c r="N364" s="26" t="str">
        <x:v>智能驾驶、汽车、自动驾驶、出行</x:v>
      </x:c>
      <x:c r="O364" s="26" t="str">
        <x:v>岗位名称/描述出现“智能驾驶、汽车、自动驾驶”，工作环节更贴近“智能驾驶、出行”，因此关联到该节点。</x:v>
      </x:c>
      <x:c r="P364" s="26" t="str">
        <x:v>自动通过</x:v>
      </x:c>
    </x:row>
    <x:row r="365" ht="44" customHeight="1">
      <x:c r="A365" s="27" t="str">
        <x:v>REL000362</x:v>
      </x:c>
      <x:c r="B365" s="25" t="n">
        <x:v>11475</x:v>
      </x:c>
      <x:c r="C365" s="27" t="str">
        <x:v>IC-L3-732</x:v>
      </x:c>
      <x:c r="D365" s="25" t="str">
        <x:v>智能驾驶工程师</x:v>
      </x:c>
      <x:c r="E365" s="27" t="str">
        <x:v>2-02-38-01</x:v>
      </x:c>
      <x:c r="F365" s="25" t="str">
        <x:v>人工智能工程技术人员</x:v>
      </x:c>
      <x:c r="G365" s="27" t="str">
        <x:v>IC15</x:v>
      </x:c>
      <x:c r="H365" s="25" t="str">
        <x:v>人工智能产业链</x:v>
      </x:c>
      <x:c r="I365" s="25" t="str">
        <x:v>下游</x:v>
      </x:c>
      <x:c r="J365" s="27" t="str">
        <x:v>ICN045</x:v>
      </x:c>
      <x:c r="K365" s="25" t="str">
        <x:v>行业智能化应用与AI服务</x:v>
      </x:c>
      <x:c r="L365" s="28" t="n">
        <x:v>76</x:v>
      </x:c>
      <x:c r="M365" s="25" t="str">
        <x:v>中</x:v>
      </x:c>
      <x:c r="N365" s="26" t="str">
        <x:v>智能驾驶、人工智能、解决方案</x:v>
      </x:c>
      <x:c r="O365" s="26" t="str">
        <x:v>岗位名称/描述出现“智能驾驶、人工智能”，工作环节更贴近“智能驾驶、解决方案”，因此关联到该节点。</x:v>
      </x:c>
      <x:c r="P365" s="26" t="str">
        <x:v>自动通过</x:v>
      </x:c>
    </x:row>
    <x:row r="366" ht="44" customHeight="1">
      <x:c r="A366" s="27" t="str">
        <x:v>REL000363</x:v>
      </x:c>
      <x:c r="B366" s="25" t="n">
        <x:v>11476</x:v>
      </x:c>
      <x:c r="C366" s="27" t="str">
        <x:v>IC-L3-733</x:v>
      </x:c>
      <x:c r="D366" s="25" t="str">
        <x:v>智能驾驶测试工程师</x:v>
      </x:c>
      <x:c r="E366" s="27" t="str">
        <x:v>2-02-38-05</x:v>
      </x:c>
      <x:c r="F366" s="25" t="str">
        <x:v>智能制造工程技术人员</x:v>
      </x:c>
      <x:c r="G366" s="27" t="str">
        <x:v>IC08</x:v>
      </x:c>
      <x:c r="H366" s="25" t="str">
        <x:v>汽车与智能网联汽车产业链</x:v>
      </x:c>
      <x:c r="I366" s="25" t="str">
        <x:v>中游</x:v>
      </x:c>
      <x:c r="J366" s="27" t="str">
        <x:v>ICN023</x:v>
      </x:c>
      <x:c r="K366" s="25" t="str">
        <x:v>整车制造与智能网联系统集成</x:v>
      </x:c>
      <x:c r="L366" s="28" t="n">
        <x:v>77</x:v>
      </x:c>
      <x:c r="M366" s="25" t="str">
        <x:v>中</x:v>
      </x:c>
      <x:c r="N366" s="26" t="str">
        <x:v>智能驾驶、汽车、自动驾驶、测试</x:v>
      </x:c>
      <x:c r="O366" s="26" t="str">
        <x:v>岗位名称/描述出现“智能驾驶、汽车、自动驾驶”，工作环节更贴近“测试”，因此关联到该节点。</x:v>
      </x:c>
      <x:c r="P366" s="26" t="str">
        <x:v>自动通过</x:v>
      </x:c>
    </x:row>
    <x:row r="367" ht="44" customHeight="1">
      <x:c r="A367" s="27" t="str">
        <x:v>REL000364</x:v>
      </x:c>
      <x:c r="B367" s="25" t="n">
        <x:v>11476</x:v>
      </x:c>
      <x:c r="C367" s="27" t="str">
        <x:v>IC-L3-733</x:v>
      </x:c>
      <x:c r="D367" s="25" t="str">
        <x:v>智能驾驶测试工程师</x:v>
      </x:c>
      <x:c r="E367" s="27" t="str">
        <x:v>2-02-38-05</x:v>
      </x:c>
      <x:c r="F367" s="25" t="str">
        <x:v>智能制造工程技术人员</x:v>
      </x:c>
      <x:c r="G367" s="27" t="str">
        <x:v>IC08</x:v>
      </x:c>
      <x:c r="H367" s="25" t="str">
        <x:v>汽车与智能网联汽车产业链</x:v>
      </x:c>
      <x:c r="I367" s="25" t="str">
        <x:v>下游</x:v>
      </x:c>
      <x:c r="J367" s="27" t="str">
        <x:v>ICN024</x:v>
      </x:c>
      <x:c r="K367" s="25" t="str">
        <x:v>出行服务、后市场与自动驾驶应用</x:v>
      </x:c>
      <x:c r="L367" s="28" t="n">
        <x:v>75</x:v>
      </x:c>
      <x:c r="M367" s="25" t="str">
        <x:v>中</x:v>
      </x:c>
      <x:c r="N367" s="26" t="str">
        <x:v>智能驾驶、汽车、自动驾驶</x:v>
      </x:c>
      <x:c r="O367" s="26" t="str">
        <x:v>岗位名称/描述出现“智能驾驶、汽车、自动驾驶”，工作环节更贴近“智能驾驶”，因此关联到该节点。</x:v>
      </x:c>
      <x:c r="P367" s="26" t="str">
        <x:v>自动通过</x:v>
      </x:c>
    </x:row>
    <x:row r="368" ht="44" customHeight="1">
      <x:c r="A368" s="27" t="str">
        <x:v>REL000365</x:v>
      </x:c>
      <x:c r="B368" s="25" t="n">
        <x:v>11476</x:v>
      </x:c>
      <x:c r="C368" s="27" t="str">
        <x:v>IC-L3-733</x:v>
      </x:c>
      <x:c r="D368" s="25" t="str">
        <x:v>智能驾驶测试工程师</x:v>
      </x:c>
      <x:c r="E368" s="27" t="str">
        <x:v>2-02-38-05</x:v>
      </x:c>
      <x:c r="F368" s="25" t="str">
        <x:v>智能制造工程技术人员</x:v>
      </x:c>
      <x:c r="G368" s="27" t="str">
        <x:v>IC15</x:v>
      </x:c>
      <x:c r="H368" s="25" t="str">
        <x:v>人工智能产业链</x:v>
      </x:c>
      <x:c r="I368" s="25" t="str">
        <x:v>下游</x:v>
      </x:c>
      <x:c r="J368" s="27" t="str">
        <x:v>ICN045</x:v>
      </x:c>
      <x:c r="K368" s="25" t="str">
        <x:v>行业智能化应用与AI服务</x:v>
      </x:c>
      <x:c r="L368" s="28" t="n">
        <x:v>72</x:v>
      </x:c>
      <x:c r="M368" s="25" t="str">
        <x:v>中</x:v>
      </x:c>
      <x:c r="N368" s="26" t="str">
        <x:v>智能驾驶、产品</x:v>
      </x:c>
      <x:c r="O368" s="26" t="str">
        <x:v>岗位名称/描述出现“智能驾驶”，工作环节更贴近“智能驾驶、产品”，因此关联到该节点。</x:v>
      </x:c>
      <x:c r="P368" s="26" t="str">
        <x:v>自动通过</x:v>
      </x:c>
    </x:row>
    <x:row r="369" ht="44" customHeight="1">
      <x:c r="A369" s="27" t="str">
        <x:v>REL000366</x:v>
      </x:c>
      <x:c r="B369" s="25" t="n">
        <x:v>11477</x:v>
      </x:c>
      <x:c r="C369" s="27" t="str">
        <x:v>IC-L3-734</x:v>
      </x:c>
      <x:c r="D369" s="25" t="str">
        <x:v>汽车/摩托车工程师</x:v>
      </x:c>
      <x:c r="E369" s="27" t="str">
        <x:v>2-02-07-11</x:v>
      </x:c>
      <x:c r="F369" s="25" t="str">
        <x:v>汽车工程技术人员</x:v>
      </x:c>
      <x:c r="G369" s="27" t="str">
        <x:v>IC08</x:v>
      </x:c>
      <x:c r="H369" s="25" t="str">
        <x:v>汽车与智能网联汽车产业链</x:v>
      </x:c>
      <x:c r="I369" s="25" t="str">
        <x:v>中游</x:v>
      </x:c>
      <x:c r="J369" s="27" t="str">
        <x:v>ICN023</x:v>
      </x:c>
      <x:c r="K369" s="25" t="str">
        <x:v>整车制造与智能网联系统集成</x:v>
      </x:c>
      <x:c r="L369" s="28" t="n">
        <x:v>75</x:v>
      </x:c>
      <x:c r="M369" s="25" t="str">
        <x:v>中</x:v>
      </x:c>
      <x:c r="N369" s="26" t="str">
        <x:v>汽车、整车、生产、测试</x:v>
      </x:c>
      <x:c r="O369" s="26" t="str">
        <x:v>岗位名称/描述出现“汽车、整车”，工作环节更贴近“整车、生产、测试”，因此关联到该节点。</x:v>
      </x:c>
      <x:c r="P369" s="26" t="str">
        <x:v>自动通过</x:v>
      </x:c>
    </x:row>
    <x:row r="370" ht="44" customHeight="1">
      <x:c r="A370" s="27" t="str">
        <x:v>REL000367</x:v>
      </x:c>
      <x:c r="B370" s="25" t="n">
        <x:v>11477</x:v>
      </x:c>
      <x:c r="C370" s="27" t="str">
        <x:v>IC-L3-734</x:v>
      </x:c>
      <x:c r="D370" s="25" t="str">
        <x:v>汽车/摩托车工程师</x:v>
      </x:c>
      <x:c r="E370" s="27" t="str">
        <x:v>2-02-07-11</x:v>
      </x:c>
      <x:c r="F370" s="25" t="str">
        <x:v>汽车工程技术人员</x:v>
      </x:c>
      <x:c r="G370" s="27" t="str">
        <x:v>IC02</x:v>
      </x:c>
      <x:c r="H370" s="25" t="str">
        <x:v>高端装备与智能制造产业链</x:v>
      </x:c>
      <x:c r="I370" s="25" t="str">
        <x:v>中游</x:v>
      </x:c>
      <x:c r="J370" s="27" t="str">
        <x:v>ICN005</x:v>
      </x:c>
      <x:c r="K370" s="25" t="str">
        <x:v>高端装备制造与激光加工</x:v>
      </x:c>
      <x:c r="L370" s="28" t="n">
        <x:v>67</x:v>
      </x:c>
      <x:c r="M370" s="25" t="str">
        <x:v>低</x:v>
      </x:c>
      <x:c r="N370" s="26" t="str">
        <x:v>车工、生产</x:v>
      </x:c>
      <x:c r="O370" s="26" t="str">
        <x:v>岗位名称/描述出现“车工”，工作环节更贴近“生产”，因此关联到该节点。</x:v>
      </x:c>
      <x:c r="P370" s="26" t="str">
        <x:v>建议复核</x:v>
      </x:c>
    </x:row>
    <x:row r="371" ht="44" customHeight="1">
      <x:c r="A371" s="27" t="str">
        <x:v>REL000368</x:v>
      </x:c>
      <x:c r="B371" s="25" t="n">
        <x:v>11478</x:v>
      </x:c>
      <x:c r="C371" s="27" t="str">
        <x:v>IC-L3-735</x:v>
      </x:c>
      <x:c r="D371" s="25" t="str">
        <x:v>汽车安全性能工程师</x:v>
      </x:c>
      <x:c r="E371" s="27" t="str">
        <x:v>2-02-07-11</x:v>
      </x:c>
      <x:c r="F371" s="25" t="str">
        <x:v>汽车工程技术人员</x:v>
      </x:c>
      <x:c r="G371" s="27" t="str">
        <x:v>IC08</x:v>
      </x:c>
      <x:c r="H371" s="25" t="str">
        <x:v>汽车与智能网联汽车产业链</x:v>
      </x:c>
      <x:c r="I371" s="25" t="str">
        <x:v>中游</x:v>
      </x:c>
      <x:c r="J371" s="27" t="str">
        <x:v>ICN023</x:v>
      </x:c>
      <x:c r="K371" s="25" t="str">
        <x:v>整车制造与智能网联系统集成</x:v>
      </x:c>
      <x:c r="L371" s="28" t="n">
        <x:v>77</x:v>
      </x:c>
      <x:c r="M371" s="25" t="str">
        <x:v>中</x:v>
      </x:c>
      <x:c r="N371" s="26" t="str">
        <x:v>汽车、自动驾驶、新能源汽车、生产、智能网联、测试</x:v>
      </x:c>
      <x:c r="O371" s="26" t="str">
        <x:v>岗位名称/描述出现“汽车、自动驾驶、新能源汽车”，工作环节更贴近“生产、智能网联、测试”，因此关联到该节点。</x:v>
      </x:c>
      <x:c r="P371" s="26" t="str">
        <x:v>自动通过</x:v>
      </x:c>
    </x:row>
    <x:row r="372" ht="44" customHeight="1">
      <x:c r="A372" s="27" t="str">
        <x:v>REL000369</x:v>
      </x:c>
      <x:c r="B372" s="25" t="n">
        <x:v>11479</x:v>
      </x:c>
      <x:c r="C372" s="27" t="str">
        <x:v>IC-L3-736</x:v>
      </x:c>
      <x:c r="D372" s="25" t="str">
        <x:v>汽车标定工程师</x:v>
      </x:c>
      <x:c r="E372" s="27" t="str">
        <x:v>2-02-07-11</x:v>
      </x:c>
      <x:c r="F372" s="25" t="str">
        <x:v>汽车工程技术人员</x:v>
      </x:c>
      <x:c r="G372" s="27" t="str">
        <x:v>IC08</x:v>
      </x:c>
      <x:c r="H372" s="25" t="str">
        <x:v>汽车与智能网联汽车产业链</x:v>
      </x:c>
      <x:c r="I372" s="25" t="str">
        <x:v>中游</x:v>
      </x:c>
      <x:c r="J372" s="27" t="str">
        <x:v>ICN023</x:v>
      </x:c>
      <x:c r="K372" s="25" t="str">
        <x:v>整车制造与智能网联系统集成</x:v>
      </x:c>
      <x:c r="L372" s="28" t="n">
        <x:v>76</x:v>
      </x:c>
      <x:c r="M372" s="25" t="str">
        <x:v>中</x:v>
      </x:c>
      <x:c r="N372" s="26" t="str">
        <x:v>汽车、整车、新能源汽车、测试</x:v>
      </x:c>
      <x:c r="O372" s="26" t="str">
        <x:v>岗位名称/描述出现“汽车、整车、新能源汽车”，工作环节更贴近“整车、测试”，因此关联到该节点。</x:v>
      </x:c>
      <x:c r="P372" s="26" t="str">
        <x:v>自动通过</x:v>
      </x:c>
    </x:row>
    <x:row r="373" ht="44" customHeight="1">
      <x:c r="A373" s="27" t="str">
        <x:v>REL000370</x:v>
      </x:c>
      <x:c r="B373" s="25" t="n">
        <x:v>11480</x:v>
      </x:c>
      <x:c r="C373" s="27" t="str">
        <x:v>IC-L3-737</x:v>
      </x:c>
      <x:c r="D373" s="25" t="str">
        <x:v>汽车电子工程师</x:v>
      </x:c>
      <x:c r="E373" s="27" t="str">
        <x:v>2-02-09-02</x:v>
      </x:c>
      <x:c r="F373" s="25" t="str">
        <x:v>电子元器件工程技术人员</x:v>
      </x:c>
      <x:c r="G373" s="27" t="str">
        <x:v>IC08</x:v>
      </x:c>
      <x:c r="H373" s="25" t="str">
        <x:v>汽车与智能网联汽车产业链</x:v>
      </x:c>
      <x:c r="I373" s="25" t="str">
        <x:v>上游</x:v>
      </x:c>
      <x:c r="J373" s="27" t="str">
        <x:v>ICN022</x:v>
      </x:c>
      <x:c r="K373" s="25" t="str">
        <x:v>汽车材料、零部件与电子电气</x:v>
      </x:c>
      <x:c r="L373" s="28" t="n">
        <x:v>88</x:v>
      </x:c>
      <x:c r="M373" s="25" t="str">
        <x:v>高</x:v>
      </x:c>
      <x:c r="N373" s="26" t="str">
        <x:v>汽车、汽车电子、设计</x:v>
      </x:c>
      <x:c r="O373" s="26" t="str">
        <x:v>岗位名称/描述出现“汽车、汽车电子”，工作环节更贴近“汽车电子、设计”，因此关联到该节点。</x:v>
      </x:c>
      <x:c r="P373" s="26" t="str">
        <x:v>自动通过</x:v>
      </x:c>
    </x:row>
    <x:row r="374" ht="44" customHeight="1">
      <x:c r="A374" s="27" t="str">
        <x:v>REL000371</x:v>
      </x:c>
      <x:c r="B374" s="25" t="n">
        <x:v>11481</x:v>
      </x:c>
      <x:c r="C374" s="27" t="str">
        <x:v>IC-L3-738</x:v>
      </x:c>
      <x:c r="D374" s="25" t="str">
        <x:v>汽车结构工程师</x:v>
      </x:c>
      <x:c r="E374" s="27" t="str">
        <x:v>2-02-07-11</x:v>
      </x:c>
      <x:c r="F374" s="25" t="str">
        <x:v>汽车工程技术人员</x:v>
      </x:c>
      <x:c r="G374" s="27" t="str">
        <x:v>IC08</x:v>
      </x:c>
      <x:c r="H374" s="25" t="str">
        <x:v>汽车与智能网联汽车产业链</x:v>
      </x:c>
      <x:c r="I374" s="25" t="str">
        <x:v>中游</x:v>
      </x:c>
      <x:c r="J374" s="27" t="str">
        <x:v>ICN023</x:v>
      </x:c>
      <x:c r="K374" s="25" t="str">
        <x:v>整车制造与智能网联系统集成</x:v>
      </x:c>
      <x:c r="L374" s="28" t="n">
        <x:v>74</x:v>
      </x:c>
      <x:c r="M374" s="25" t="str">
        <x:v>中</x:v>
      </x:c>
      <x:c r="N374" s="26" t="str">
        <x:v>汽车、汽车零部件、生产、测试</x:v>
      </x:c>
      <x:c r="O374" s="26" t="str">
        <x:v>岗位名称/描述出现“汽车、汽车零部件”，工作环节更贴近“生产、测试”，因此关联到该节点。</x:v>
      </x:c>
      <x:c r="P374" s="26" t="str">
        <x:v>自动通过</x:v>
      </x:c>
    </x:row>
    <x:row r="375" ht="44" customHeight="1">
      <x:c r="A375" s="27" t="str">
        <x:v>REL000372</x:v>
      </x:c>
      <x:c r="B375" s="25" t="n">
        <x:v>11482</x:v>
      </x:c>
      <x:c r="C375" s="27" t="str">
        <x:v>IC-L3-739</x:v>
      </x:c>
      <x:c r="D375" s="25" t="str">
        <x:v>汽车设计工程师</x:v>
      </x:c>
      <x:c r="E375" s="27" t="str">
        <x:v>2-02-07-11</x:v>
      </x:c>
      <x:c r="F375" s="25" t="str">
        <x:v>汽车工程技术人员</x:v>
      </x:c>
      <x:c r="G375" s="27" t="str">
        <x:v>IC08</x:v>
      </x:c>
      <x:c r="H375" s="25" t="str">
        <x:v>汽车与智能网联汽车产业链</x:v>
      </x:c>
      <x:c r="I375" s="25" t="str">
        <x:v>上游</x:v>
      </x:c>
      <x:c r="J375" s="27" t="str">
        <x:v>ICN022</x:v>
      </x:c>
      <x:c r="K375" s="25" t="str">
        <x:v>汽车材料、零部件与电子电气</x:v>
      </x:c>
      <x:c r="L375" s="28" t="n">
        <x:v>76</x:v>
      </x:c>
      <x:c r="M375" s="25" t="str">
        <x:v>中</x:v>
      </x:c>
      <x:c r="N375" s="26" t="str">
        <x:v>汽车、设计、研发</x:v>
      </x:c>
      <x:c r="O375" s="26" t="str">
        <x:v>岗位名称/描述出现“汽车”，工作环节更贴近“设计、研发”，因此关联到该节点。</x:v>
      </x:c>
      <x:c r="P375" s="26" t="str">
        <x:v>自动通过</x:v>
      </x:c>
    </x:row>
    <x:row r="376" ht="44" customHeight="1">
      <x:c r="A376" s="27" t="str">
        <x:v>REL000373</x:v>
      </x:c>
      <x:c r="B376" s="25" t="n">
        <x:v>11483</x:v>
      </x:c>
      <x:c r="C376" s="27" t="str">
        <x:v>IC-L3-740</x:v>
      </x:c>
      <x:c r="D376" s="25" t="str">
        <x:v>汽车试验工程师</x:v>
      </x:c>
      <x:c r="E376" s="27" t="str">
        <x:v>2-02-07-11</x:v>
      </x:c>
      <x:c r="F376" s="25" t="str">
        <x:v>汽车工程技术人员</x:v>
      </x:c>
      <x:c r="G376" s="27" t="str">
        <x:v>IC08</x:v>
      </x:c>
      <x:c r="H376" s="25" t="str">
        <x:v>汽车与智能网联汽车产业链</x:v>
      </x:c>
      <x:c r="I376" s="25" t="str">
        <x:v>中游</x:v>
      </x:c>
      <x:c r="J376" s="27" t="str">
        <x:v>ICN023</x:v>
      </x:c>
      <x:c r="K376" s="25" t="str">
        <x:v>整车制造与智能网联系统集成</x:v>
      </x:c>
      <x:c r="L376" s="28" t="n">
        <x:v>74</x:v>
      </x:c>
      <x:c r="M376" s="25" t="str">
        <x:v>中</x:v>
      </x:c>
      <x:c r="N376" s="26" t="str">
        <x:v>汽车、整车、测试</x:v>
      </x:c>
      <x:c r="O376" s="26" t="str">
        <x:v>岗位名称/描述出现“汽车、整车”，工作环节更贴近“整车、测试”，因此关联到该节点。</x:v>
      </x:c>
      <x:c r="P376" s="26" t="str">
        <x:v>自动通过</x:v>
      </x:c>
    </x:row>
    <x:row r="377" ht="44" customHeight="1">
      <x:c r="A377" s="27" t="str">
        <x:v>REL000374</x:v>
      </x:c>
      <x:c r="B377" s="25" t="n">
        <x:v>11484</x:v>
      </x:c>
      <x:c r="C377" s="27" t="str">
        <x:v>IC-L3-741</x:v>
      </x:c>
      <x:c r="D377" s="25" t="str">
        <x:v>汽车项目管理</x:v>
      </x:c>
      <x:c r="E377" s="27" t="str">
        <x:v>2-02-07-11</x:v>
      </x:c>
      <x:c r="F377" s="25" t="str">
        <x:v>汽车工程技术人员</x:v>
      </x:c>
      <x:c r="G377" s="27" t="str">
        <x:v>IC08</x:v>
      </x:c>
      <x:c r="H377" s="25" t="str">
        <x:v>汽车与智能网联汽车产业链</x:v>
      </x:c>
      <x:c r="I377" s="25" t="str">
        <x:v>上游</x:v>
      </x:c>
      <x:c r="J377" s="27" t="str">
        <x:v>ICN022</x:v>
      </x:c>
      <x:c r="K377" s="25" t="str">
        <x:v>汽车材料、零部件与电子电气</x:v>
      </x:c>
      <x:c r="L377" s="28" t="n">
        <x:v>70</x:v>
      </x:c>
      <x:c r="M377" s="25" t="str">
        <x:v>中</x:v>
      </x:c>
      <x:c r="N377" s="26" t="str">
        <x:v>汽车、研发、设计</x:v>
      </x:c>
      <x:c r="O377" s="26" t="str">
        <x:v>岗位名称/描述出现“汽车”，工作环节更贴近“研发、设计”，因此关联到该节点。</x:v>
      </x:c>
      <x:c r="P377" s="26" t="str">
        <x:v>自动通过</x:v>
      </x:c>
    </x:row>
    <x:row r="378" ht="44" customHeight="1">
      <x:c r="A378" s="27" t="str">
        <x:v>REL000375</x:v>
      </x:c>
      <x:c r="B378" s="25" t="n">
        <x:v>11485</x:v>
      </x:c>
      <x:c r="C378" s="27" t="str">
        <x:v>IC-L3-742</x:v>
      </x:c>
      <x:c r="D378" s="25" t="str">
        <x:v>电气/电器工程师</x:v>
      </x:c>
      <x:c r="E378" s="27" t="str">
        <x:v>2-02-07-11</x:v>
      </x:c>
      <x:c r="F378" s="25" t="str">
        <x:v>汽车工程技术人员</x:v>
      </x:c>
      <x:c r="G378" s="27" t="str">
        <x:v>IC06</x:v>
      </x:c>
      <x:c r="H378" s="25" t="str">
        <x:v>智能物联与消费电子产业链</x:v>
      </x:c>
      <x:c r="I378" s="25" t="str">
        <x:v>上游</x:v>
      </x:c>
      <x:c r="J378" s="27" t="str">
        <x:v>ICN016</x:v>
      </x:c>
      <x:c r="K378" s="25" t="str">
        <x:v>传感器、芯片模组与基础器件</x:v>
      </x:c>
      <x:c r="L378" s="28" t="n">
        <x:v>66</x:v>
      </x:c>
      <x:c r="M378" s="25" t="str">
        <x:v>低</x:v>
      </x:c>
      <x:c r="N378" s="26" t="str">
        <x:v>电器</x:v>
      </x:c>
      <x:c r="O378" s="26" t="str">
        <x:v>岗位名称/描述出现“电器”，工作环节更贴近“上游”，因此关联到该节点。</x:v>
      </x:c>
      <x:c r="P378" s="26" t="str">
        <x:v>建议复核</x:v>
      </x:c>
    </x:row>
    <x:row r="379" ht="44" customHeight="1">
      <x:c r="A379" s="27" t="str">
        <x:v>REL000376</x:v>
      </x:c>
      <x:c r="B379" s="25" t="n">
        <x:v>11485</x:v>
      </x:c>
      <x:c r="C379" s="27" t="str">
        <x:v>IC-L3-742</x:v>
      </x:c>
      <x:c r="D379" s="25" t="str">
        <x:v>电气/电器工程师</x:v>
      </x:c>
      <x:c r="E379" s="27" t="str">
        <x:v>2-02-07-11</x:v>
      </x:c>
      <x:c r="F379" s="25" t="str">
        <x:v>汽车工程技术人员</x:v>
      </x:c>
      <x:c r="G379" s="27" t="str">
        <x:v>IC08</x:v>
      </x:c>
      <x:c r="H379" s="25" t="str">
        <x:v>汽车与智能网联汽车产业链</x:v>
      </x:c>
      <x:c r="I379" s="25" t="str">
        <x:v>上游</x:v>
      </x:c>
      <x:c r="J379" s="27" t="str">
        <x:v>ICN022</x:v>
      </x:c>
      <x:c r="K379" s="25" t="str">
        <x:v>汽车材料、零部件与电子电气</x:v>
      </x:c>
      <x:c r="L379" s="28" t="n">
        <x:v>66</x:v>
      </x:c>
      <x:c r="M379" s="25" t="str">
        <x:v>低</x:v>
      </x:c>
      <x:c r="N379" s="26" t="str">
        <x:v>汽车、整车、新能源汽车、电气、设计</x:v>
      </x:c>
      <x:c r="O379" s="26" t="str">
        <x:v>岗位名称/描述出现“汽车、整车、新能源汽车”，工作环节更贴近“电气、设计”，因此关联到该节点。</x:v>
      </x:c>
      <x:c r="P379" s="26" t="str">
        <x:v>建议复核</x:v>
      </x:c>
    </x:row>
    <x:row r="380" ht="44" customHeight="1">
      <x:c r="A380" s="27" t="str">
        <x:v>REL000377</x:v>
      </x:c>
      <x:c r="B380" s="25" t="n">
        <x:v>11487</x:v>
      </x:c>
      <x:c r="C380" s="27" t="str">
        <x:v>IC-L3-744</x:v>
      </x:c>
      <x:c r="D380" s="25" t="str">
        <x:v>车联网工程师</x:v>
      </x:c>
      <x:c r="E380" s="27" t="str">
        <x:v>2-02-07-11</x:v>
      </x:c>
      <x:c r="F380" s="25" t="str">
        <x:v>汽车工程技术人员</x:v>
      </x:c>
      <x:c r="G380" s="27" t="str">
        <x:v>IC08</x:v>
      </x:c>
      <x:c r="H380" s="25" t="str">
        <x:v>汽车与智能网联汽车产业链</x:v>
      </x:c>
      <x:c r="I380" s="25" t="str">
        <x:v>中游</x:v>
      </x:c>
      <x:c r="J380" s="27" t="str">
        <x:v>ICN023</x:v>
      </x:c>
      <x:c r="K380" s="25" t="str">
        <x:v>整车制造与智能网联系统集成</x:v>
      </x:c>
      <x:c r="L380" s="28" t="n">
        <x:v>74</x:v>
      </x:c>
      <x:c r="M380" s="25" t="str">
        <x:v>中</x:v>
      </x:c>
      <x:c r="N380" s="26" t="str">
        <x:v>车联网、汽车、自动驾驶</x:v>
      </x:c>
      <x:c r="O380" s="26" t="str">
        <x:v>岗位名称/描述出现“车联网、汽车、自动驾驶”，工作环节更贴近“中游”，因此关联到该节点。</x:v>
      </x:c>
      <x:c r="P380" s="26" t="str">
        <x:v>自动通过</x:v>
      </x:c>
    </x:row>
    <x:row r="381" ht="44" customHeight="1">
      <x:c r="A381" s="27" t="str">
        <x:v>REL000378</x:v>
      </x:c>
      <x:c r="B381" s="25" t="n">
        <x:v>11491</x:v>
      </x:c>
      <x:c r="C381" s="27" t="str">
        <x:v>IC-L3-748</x:v>
      </x:c>
      <x:c r="D381" s="25" t="str">
        <x:v>4S店经理/维修站经理</x:v>
      </x:c>
      <x:c r="E381" s="27" t="str">
        <x:v>4-02-02-01</x:v>
      </x:c>
      <x:c r="F381" s="25" t="str">
        <x:v>客运车辆驾驶员</x:v>
      </x:c>
      <x:c r="G381" s="27" t="str">
        <x:v>IC08</x:v>
      </x:c>
      <x:c r="H381" s="25" t="str">
        <x:v>汽车与智能网联汽车产业链</x:v>
      </x:c>
      <x:c r="I381" s="25" t="str">
        <x:v>下游</x:v>
      </x:c>
      <x:c r="J381" s="27" t="str">
        <x:v>ICN024</x:v>
      </x:c>
      <x:c r="K381" s="25" t="str">
        <x:v>出行服务、后市场与自动驾驶应用</x:v>
      </x:c>
      <x:c r="L381" s="28" t="n">
        <x:v>59</x:v>
      </x:c>
      <x:c r="M381" s="25" t="str">
        <x:v>低</x:v>
      </x:c>
      <x:c r="N381" s="26" t="str">
        <x:v>驾驶员、汽车、汽车销售、售后、运营</x:v>
      </x:c>
      <x:c r="O381" s="26" t="str">
        <x:v>岗位名称/描述出现“驾驶员、汽车、汽车销售”，工作环节更贴近“驾驶员、汽车销售、售后、运营”，因此关联到该节点。</x:v>
      </x:c>
      <x:c r="P381" s="26" t="str">
        <x:v>建议复核</x:v>
      </x:c>
    </x:row>
    <x:row r="382" ht="44" customHeight="1">
      <x:c r="A382" s="27" t="str">
        <x:v>REL000379</x:v>
      </x:c>
      <x:c r="B382" s="25" t="n">
        <x:v>11492</x:v>
      </x:c>
      <x:c r="C382" s="27" t="str">
        <x:v>IC-L3-749</x:v>
      </x:c>
      <x:c r="D382" s="25" t="str">
        <x:v>二手车评估师</x:v>
      </x:c>
      <x:c r="E382" s="27" t="str">
        <x:v>4-02-02-01</x:v>
      </x:c>
      <x:c r="F382" s="25" t="str">
        <x:v>客运车辆驾驶员</x:v>
      </x:c>
      <x:c r="G382" s="27" t="str">
        <x:v>IC08</x:v>
      </x:c>
      <x:c r="H382" s="25" t="str">
        <x:v>汽车与智能网联汽车产业链</x:v>
      </x:c>
      <x:c r="I382" s="25" t="str">
        <x:v>下游</x:v>
      </x:c>
      <x:c r="J382" s="27" t="str">
        <x:v>ICN024</x:v>
      </x:c>
      <x:c r="K382" s="25" t="str">
        <x:v>出行服务、后市场与自动驾驶应用</x:v>
      </x:c>
      <x:c r="L382" s="28" t="n">
        <x:v>77</x:v>
      </x:c>
      <x:c r="M382" s="25" t="str">
        <x:v>中</x:v>
      </x:c>
      <x:c r="N382" s="26" t="str">
        <x:v>二手车、驾驶员、汽车</x:v>
      </x:c>
      <x:c r="O382" s="26" t="str">
        <x:v>岗位名称/描述出现“二手车、驾驶员、汽车”，工作环节更贴近“二手车、驾驶员”，因此关联到该节点。</x:v>
      </x:c>
      <x:c r="P382" s="26" t="str">
        <x:v>自动通过</x:v>
      </x:c>
    </x:row>
    <x:row r="383" ht="44" customHeight="1">
      <x:c r="A383" s="27" t="str">
        <x:v>REL000380</x:v>
      </x:c>
      <x:c r="B383" s="25" t="n">
        <x:v>11494</x:v>
      </x:c>
      <x:c r="C383" s="27" t="str">
        <x:v>IC-L3-751</x:v>
      </x:c>
      <x:c r="D383" s="25" t="str">
        <x:v>汽车喷漆</x:v>
      </x:c>
      <x:c r="E383" s="27" t="str">
        <x:v>2-02-07-11</x:v>
      </x:c>
      <x:c r="F383" s="25" t="str">
        <x:v>汽车工程技术人员</x:v>
      </x:c>
      <x:c r="G383" s="27" t="str">
        <x:v>IC08</x:v>
      </x:c>
      <x:c r="H383" s="25" t="str">
        <x:v>汽车与智能网联汽车产业链</x:v>
      </x:c>
      <x:c r="I383" s="25" t="str">
        <x:v>中游</x:v>
      </x:c>
      <x:c r="J383" s="27" t="str">
        <x:v>ICN023</x:v>
      </x:c>
      <x:c r="K383" s="25" t="str">
        <x:v>整车制造与智能网联系统集成</x:v>
      </x:c>
      <x:c r="L383" s="28" t="n">
        <x:v>73</x:v>
      </x:c>
      <x:c r="M383" s="25" t="str">
        <x:v>中</x:v>
      </x:c>
      <x:c r="N383" s="26" t="str">
        <x:v>汽车、汽车销售、工艺</x:v>
      </x:c>
      <x:c r="O383" s="26" t="str">
        <x:v>岗位名称/描述出现“汽车、汽车销售”，工作环节更贴近“工艺”，因此关联到该节点。</x:v>
      </x:c>
      <x:c r="P383" s="26" t="str">
        <x:v>自动通过</x:v>
      </x:c>
    </x:row>
    <x:row r="384" ht="44" customHeight="1">
      <x:c r="A384" s="27" t="str">
        <x:v>REL000381</x:v>
      </x:c>
      <x:c r="B384" s="25" t="n">
        <x:v>11495</x:v>
      </x:c>
      <x:c r="C384" s="27" t="str">
        <x:v>IC-L3-752</x:v>
      </x:c>
      <x:c r="D384" s="25" t="str">
        <x:v>汽车改装</x:v>
      </x:c>
      <x:c r="E384" s="27" t="str">
        <x:v>2-02-07-11</x:v>
      </x:c>
      <x:c r="F384" s="25" t="str">
        <x:v>汽车工程技术人员</x:v>
      </x:c>
      <x:c r="G384" s="27" t="str">
        <x:v>IC08</x:v>
      </x:c>
      <x:c r="H384" s="25" t="str">
        <x:v>汽车与智能网联汽车产业链</x:v>
      </x:c>
      <x:c r="I384" s="25" t="str">
        <x:v>上游</x:v>
      </x:c>
      <x:c r="J384" s="27" t="str">
        <x:v>ICN022</x:v>
      </x:c>
      <x:c r="K384" s="25" t="str">
        <x:v>汽车材料、零部件与电子电气</x:v>
      </x:c>
      <x:c r="L384" s="28" t="n">
        <x:v>71</x:v>
      </x:c>
      <x:c r="M384" s="25" t="str">
        <x:v>中</x:v>
      </x:c>
      <x:c r="N384" s="26" t="str">
        <x:v>汽车、零部件、研发、设计</x:v>
      </x:c>
      <x:c r="O384" s="26" t="str">
        <x:v>岗位名称/描述出现“汽车”，工作环节更贴近“零部件、研发、设计”，因此关联到该节点。</x:v>
      </x:c>
      <x:c r="P384" s="26" t="str">
        <x:v>自动通过</x:v>
      </x:c>
    </x:row>
    <x:row r="385" ht="44" customHeight="1">
      <x:c r="A385" s="27" t="str">
        <x:v>REL000382</x:v>
      </x:c>
      <x:c r="B385" s="25" t="n">
        <x:v>11496</x:v>
      </x:c>
      <x:c r="C385" s="27" t="str">
        <x:v>IC-L3-753</x:v>
      </x:c>
      <x:c r="D385" s="25" t="str">
        <x:v>汽车服务顾问</x:v>
      </x:c>
      <x:c r="E385" s="27" t="str">
        <x:v>2-02-07-11</x:v>
      </x:c>
      <x:c r="F385" s="25" t="str">
        <x:v>汽车工程技术人员</x:v>
      </x:c>
      <x:c r="G385" s="27" t="str">
        <x:v>IC08</x:v>
      </x:c>
      <x:c r="H385" s="25" t="str">
        <x:v>汽车与智能网联汽车产业链</x:v>
      </x:c>
      <x:c r="I385" s="25" t="str">
        <x:v>中游</x:v>
      </x:c>
      <x:c r="J385" s="27" t="str">
        <x:v>ICN023</x:v>
      </x:c>
      <x:c r="K385" s="25" t="str">
        <x:v>整车制造与智能网联系统集成</x:v>
      </x:c>
      <x:c r="L385" s="28" t="n">
        <x:v>70</x:v>
      </x:c>
      <x:c r="M385" s="25" t="str">
        <x:v>中</x:v>
      </x:c>
      <x:c r="N385" s="26" t="str">
        <x:v>汽车</x:v>
      </x:c>
      <x:c r="O385" s="26" t="str">
        <x:v>岗位名称/描述出现“汽车”，工作环节更贴近“中游”，因此关联到该节点。</x:v>
      </x:c>
      <x:c r="P385" s="26" t="str">
        <x:v>自动通过</x:v>
      </x:c>
    </x:row>
    <x:row r="386" ht="44" customHeight="1">
      <x:c r="A386" s="27" t="str">
        <x:v>REL000383</x:v>
      </x:c>
      <x:c r="B386" s="25" t="n">
        <x:v>11497</x:v>
      </x:c>
      <x:c r="C386" s="27" t="str">
        <x:v>IC-L3-754</x:v>
      </x:c>
      <x:c r="D386" s="25" t="str">
        <x:v>汽车检验/检测</x:v>
      </x:c>
      <x:c r="E386" s="27" t="str">
        <x:v>2-02-07-11</x:v>
      </x:c>
      <x:c r="F386" s="25" t="str">
        <x:v>汽车工程技术人员</x:v>
      </x:c>
      <x:c r="G386" s="27" t="str">
        <x:v>IC08</x:v>
      </x:c>
      <x:c r="H386" s="25" t="str">
        <x:v>汽车与智能网联汽车产业链</x:v>
      </x:c>
      <x:c r="I386" s="25" t="str">
        <x:v>中游</x:v>
      </x:c>
      <x:c r="J386" s="27" t="str">
        <x:v>ICN023</x:v>
      </x:c>
      <x:c r="K386" s="25" t="str">
        <x:v>整车制造与智能网联系统集成</x:v>
      </x:c>
      <x:c r="L386" s="28" t="n">
        <x:v>75</x:v>
      </x:c>
      <x:c r="M386" s="25" t="str">
        <x:v>中</x:v>
      </x:c>
      <x:c r="N386" s="26" t="str">
        <x:v>汽车、二手车、汽车销售、测试</x:v>
      </x:c>
      <x:c r="O386" s="26" t="str">
        <x:v>岗位名称/描述出现“汽车、二手车、汽车销售”，工作环节更贴近“测试”，因此关联到该节点。</x:v>
      </x:c>
      <x:c r="P386" s="26" t="str">
        <x:v>自动通过</x:v>
      </x:c>
    </x:row>
    <x:row r="387" ht="44" customHeight="1">
      <x:c r="A387" s="27" t="str">
        <x:v>REL000384</x:v>
      </x:c>
      <x:c r="B387" s="25" t="n">
        <x:v>11498</x:v>
      </x:c>
      <x:c r="C387" s="27" t="str">
        <x:v>IC-L3-755</x:v>
      </x:c>
      <x:c r="D387" s="25" t="str">
        <x:v>汽车电工</x:v>
      </x:c>
      <x:c r="E387" s="27" t="str">
        <x:v>2-02-07-11</x:v>
      </x:c>
      <x:c r="F387" s="25" t="str">
        <x:v>汽车工程技术人员</x:v>
      </x:c>
      <x:c r="G387" s="27" t="str">
        <x:v>IC08</x:v>
      </x:c>
      <x:c r="H387" s="25" t="str">
        <x:v>汽车与智能网联汽车产业链</x:v>
      </x:c>
      <x:c r="I387" s="25" t="str">
        <x:v>中游</x:v>
      </x:c>
      <x:c r="J387" s="27" t="str">
        <x:v>ICN023</x:v>
      </x:c>
      <x:c r="K387" s="25" t="str">
        <x:v>整车制造与智能网联系统集成</x:v>
      </x:c>
      <x:c r="L387" s="28" t="n">
        <x:v>72</x:v>
      </x:c>
      <x:c r="M387" s="25" t="str">
        <x:v>中</x:v>
      </x:c>
      <x:c r="N387" s="26" t="str">
        <x:v>汽车、汽车销售</x:v>
      </x:c>
      <x:c r="O387" s="26" t="str">
        <x:v>岗位名称/描述出现“汽车、汽车销售”，工作环节更贴近“中游”，因此关联到该节点。</x:v>
      </x:c>
      <x:c r="P387" s="26" t="str">
        <x:v>自动通过</x:v>
      </x:c>
    </x:row>
    <x:row r="388" ht="44" customHeight="1">
      <x:c r="A388" s="27" t="str">
        <x:v>REL000385</x:v>
      </x:c>
      <x:c r="B388" s="25" t="n">
        <x:v>11499</x:v>
      </x:c>
      <x:c r="C388" s="27" t="str">
        <x:v>IC-L3-756</x:v>
      </x:c>
      <x:c r="D388" s="25" t="str">
        <x:v>汽车维修</x:v>
      </x:c>
      <x:c r="E388" s="27" t="str">
        <x:v>2-02-07-11</x:v>
      </x:c>
      <x:c r="F388" s="25" t="str">
        <x:v>汽车工程技术人员</x:v>
      </x:c>
      <x:c r="G388" s="27" t="str">
        <x:v>IC08</x:v>
      </x:c>
      <x:c r="H388" s="25" t="str">
        <x:v>汽车与智能网联汽车产业链</x:v>
      </x:c>
      <x:c r="I388" s="25" t="str">
        <x:v>下游</x:v>
      </x:c>
      <x:c r="J388" s="27" t="str">
        <x:v>ICN024</x:v>
      </x:c>
      <x:c r="K388" s="25" t="str">
        <x:v>出行服务、后市场与自动驾驶应用</x:v>
      </x:c>
      <x:c r="L388" s="28" t="n">
        <x:v>92</x:v>
      </x:c>
      <x:c r="M388" s="25" t="str">
        <x:v>高</x:v>
      </x:c>
      <x:c r="N388" s="26" t="str">
        <x:v>汽车、汽车维修、汽车销售</x:v>
      </x:c>
      <x:c r="O388" s="26" t="str">
        <x:v>岗位名称/描述出现“汽车、汽车维修、汽车销售”，工作环节更贴近“汽车维修、汽车销售”，因此关联到该节点。</x:v>
      </x:c>
      <x:c r="P388" s="26" t="str">
        <x:v>自动通过</x:v>
      </x:c>
    </x:row>
    <x:row r="389" ht="44" customHeight="1">
      <x:c r="A389" s="27" t="str">
        <x:v>REL000386</x:v>
      </x:c>
      <x:c r="B389" s="25" t="n">
        <x:v>11500</x:v>
      </x:c>
      <x:c r="C389" s="27" t="str">
        <x:v>IC-L3-757</x:v>
      </x:c>
      <x:c r="D389" s="25" t="str">
        <x:v>汽车金融专员</x:v>
      </x:c>
      <x:c r="E389" s="27" t="str">
        <x:v>2-06-11-04</x:v>
      </x:c>
      <x:c r="F389" s="25" t="str">
        <x:v>金融产品销售专业人员</x:v>
      </x:c>
      <x:c r="G389" s="27" t="str">
        <x:v>IC08</x:v>
      </x:c>
      <x:c r="H389" s="25" t="str">
        <x:v>汽车与智能网联汽车产业链</x:v>
      </x:c>
      <x:c r="I389" s="25" t="str">
        <x:v>中游</x:v>
      </x:c>
      <x:c r="J389" s="27" t="str">
        <x:v>ICN023</x:v>
      </x:c>
      <x:c r="K389" s="25" t="str">
        <x:v>整车制造与智能网联系统集成</x:v>
      </x:c>
      <x:c r="L389" s="28" t="n">
        <x:v>68</x:v>
      </x:c>
      <x:c r="M389" s="25" t="str">
        <x:v>中</x:v>
      </x:c>
      <x:c r="N389" s="26" t="str">
        <x:v>汽车、汽车销售</x:v>
      </x:c>
      <x:c r="O389" s="26" t="str">
        <x:v>岗位名称/描述出现“汽车、汽车销售”，工作环节更贴近“中游”，因此关联到该节点。</x:v>
      </x:c>
      <x:c r="P389" s="26" t="str">
        <x:v>自动通过</x:v>
      </x:c>
    </x:row>
    <x:row r="390" ht="44" customHeight="1">
      <x:c r="A390" s="27" t="str">
        <x:v>REL000387</x:v>
      </x:c>
      <x:c r="B390" s="25" t="n">
        <x:v>11501</x:v>
      </x:c>
      <x:c r="C390" s="27" t="str">
        <x:v>IC-L3-758</x:v>
      </x:c>
      <x:c r="D390" s="25" t="str">
        <x:v>汽车金融经理</x:v>
      </x:c>
      <x:c r="E390" s="27" t="str">
        <x:v>2-06-11-04</x:v>
      </x:c>
      <x:c r="F390" s="25" t="str">
        <x:v>金融产品销售专业人员</x:v>
      </x:c>
      <x:c r="G390" s="27" t="str">
        <x:v>IC08</x:v>
      </x:c>
      <x:c r="H390" s="25" t="str">
        <x:v>汽车与智能网联汽车产业链</x:v>
      </x:c>
      <x:c r="I390" s="25" t="str">
        <x:v>中游</x:v>
      </x:c>
      <x:c r="J390" s="27" t="str">
        <x:v>ICN023</x:v>
      </x:c>
      <x:c r="K390" s="25" t="str">
        <x:v>整车制造与智能网联系统集成</x:v>
      </x:c>
      <x:c r="L390" s="28" t="n">
        <x:v>68</x:v>
      </x:c>
      <x:c r="M390" s="25" t="str">
        <x:v>中</x:v>
      </x:c>
      <x:c r="N390" s="26" t="str">
        <x:v>汽车、汽车销售</x:v>
      </x:c>
      <x:c r="O390" s="26" t="str">
        <x:v>岗位名称/描述出现“汽车、汽车销售”，工作环节更贴近“中游”，因此关联到该节点。</x:v>
      </x:c>
      <x:c r="P390" s="26" t="str">
        <x:v>自动通过</x:v>
      </x:c>
    </x:row>
    <x:row r="391" ht="44" customHeight="1">
      <x:c r="A391" s="27" t="str">
        <x:v>REL000388</x:v>
      </x:c>
      <x:c r="B391" s="25" t="n">
        <x:v>11502</x:v>
      </x:c>
      <x:c r="C391" s="27" t="str">
        <x:v>IC-L3-759</x:v>
      </x:c>
      <x:c r="D391" s="25" t="str">
        <x:v>汽车钣金</x:v>
      </x:c>
      <x:c r="E391" s="27" t="str">
        <x:v>2-02-07-11</x:v>
      </x:c>
      <x:c r="F391" s="25" t="str">
        <x:v>汽车工程技术人员</x:v>
      </x:c>
      <x:c r="G391" s="27" t="str">
        <x:v>IC08</x:v>
      </x:c>
      <x:c r="H391" s="25" t="str">
        <x:v>汽车与智能网联汽车产业链</x:v>
      </x:c>
      <x:c r="I391" s="25" t="str">
        <x:v>中游</x:v>
      </x:c>
      <x:c r="J391" s="27" t="str">
        <x:v>ICN023</x:v>
      </x:c>
      <x:c r="K391" s="25" t="str">
        <x:v>整车制造与智能网联系统集成</x:v>
      </x:c>
      <x:c r="L391" s="28" t="n">
        <x:v>72</x:v>
      </x:c>
      <x:c r="M391" s="25" t="str">
        <x:v>中</x:v>
      </x:c>
      <x:c r="N391" s="26" t="str">
        <x:v>汽车、汽车销售</x:v>
      </x:c>
      <x:c r="O391" s="26" t="str">
        <x:v>岗位名称/描述出现“汽车、汽车销售”，工作环节更贴近“中游”，因此关联到该节点。</x:v>
      </x:c>
      <x:c r="P391" s="26" t="str">
        <x:v>自动通过</x:v>
      </x:c>
    </x:row>
    <x:row r="392" ht="44" customHeight="1">
      <x:c r="A392" s="27" t="str">
        <x:v>REL000389</x:v>
      </x:c>
      <x:c r="B392" s="25" t="n">
        <x:v>11503</x:v>
      </x:c>
      <x:c r="C392" s="27" t="str">
        <x:v>IC-L3-760</x:v>
      </x:c>
      <x:c r="D392" s="25" t="str">
        <x:v>汽车销售/经纪人</x:v>
      </x:c>
      <x:c r="E392" s="27" t="str">
        <x:v>2-02-07-11</x:v>
      </x:c>
      <x:c r="F392" s="25" t="str">
        <x:v>汽车工程技术人员</x:v>
      </x:c>
      <x:c r="G392" s="27" t="str">
        <x:v>IC08</x:v>
      </x:c>
      <x:c r="H392" s="25" t="str">
        <x:v>汽车与智能网联汽车产业链</x:v>
      </x:c>
      <x:c r="I392" s="25" t="str">
        <x:v>下游</x:v>
      </x:c>
      <x:c r="J392" s="27" t="str">
        <x:v>ICN024</x:v>
      </x:c>
      <x:c r="K392" s="25" t="str">
        <x:v>出行服务、后市场与自动驾驶应用</x:v>
      </x:c>
      <x:c r="L392" s="28" t="n">
        <x:v>92</x:v>
      </x:c>
      <x:c r="M392" s="25" t="str">
        <x:v>高</x:v>
      </x:c>
      <x:c r="N392" s="26" t="str">
        <x:v>汽车、汽车销售、售后</x:v>
      </x:c>
      <x:c r="O392" s="26" t="str">
        <x:v>岗位名称/描述出现“汽车、汽车销售”，工作环节更贴近“汽车销售、售后”，因此关联到该节点。</x:v>
      </x:c>
      <x:c r="P392" s="26" t="str">
        <x:v>自动通过</x:v>
      </x:c>
    </x:row>
    <x:row r="393" ht="44" customHeight="1">
      <x:c r="A393" s="27" t="str">
        <x:v>REL000390</x:v>
      </x:c>
      <x:c r="B393" s="25" t="n">
        <x:v>11504</x:v>
      </x:c>
      <x:c r="C393" s="27" t="str">
        <x:v>IC-L3-761</x:v>
      </x:c>
      <x:c r="D393" s="25" t="str">
        <x:v>车险定损/理赔</x:v>
      </x:c>
      <x:c r="E393" s="27" t="str">
        <x:v>4-02-02-01</x:v>
      </x:c>
      <x:c r="F393" s="25" t="str">
        <x:v>客运车辆驾驶员</x:v>
      </x:c>
      <x:c r="G393" s="27" t="str">
        <x:v>IC08</x:v>
      </x:c>
      <x:c r="H393" s="25" t="str">
        <x:v>汽车与智能网联汽车产业链</x:v>
      </x:c>
      <x:c r="I393" s="25" t="str">
        <x:v>中游</x:v>
      </x:c>
      <x:c r="J393" s="27" t="str">
        <x:v>ICN023</x:v>
      </x:c>
      <x:c r="K393" s="25" t="str">
        <x:v>整车制造与智能网联系统集成</x:v>
      </x:c>
      <x:c r="L393" s="28" t="n">
        <x:v>58</x:v>
      </x:c>
      <x:c r="M393" s="25" t="str">
        <x:v>低</x:v>
      </x:c>
      <x:c r="N393" s="26" t="str">
        <x:v>驾驶员、汽车、汽车销售</x:v>
      </x:c>
      <x:c r="O393" s="26" t="str">
        <x:v>岗位名称/描述出现“驾驶员、汽车、汽车销售”，工作环节更贴近“中游”，因此关联到该节点。</x:v>
      </x:c>
      <x:c r="P393" s="26" t="str">
        <x:v>建议复核</x:v>
      </x:c>
    </x:row>
    <x:row r="394" ht="44" customHeight="1">
      <x:c r="A394" s="27" t="str">
        <x:v>REL000391</x:v>
      </x:c>
      <x:c r="B394" s="25" t="n">
        <x:v>11505</x:v>
      </x:c>
      <x:c r="C394" s="27" t="str">
        <x:v>IC-L3-762</x:v>
      </x:c>
      <x:c r="D394" s="25" t="str">
        <x:v>汽车电子工程师</x:v>
      </x:c>
      <x:c r="E394" s="27" t="str">
        <x:v>2-02-09-02</x:v>
      </x:c>
      <x:c r="F394" s="25" t="str">
        <x:v>电子元器件工程技术人员</x:v>
      </x:c>
      <x:c r="G394" s="27" t="str">
        <x:v>IC08</x:v>
      </x:c>
      <x:c r="H394" s="25" t="str">
        <x:v>汽车与智能网联汽车产业链</x:v>
      </x:c>
      <x:c r="I394" s="25" t="str">
        <x:v>上游</x:v>
      </x:c>
      <x:c r="J394" s="27" t="str">
        <x:v>ICN022</x:v>
      </x:c>
      <x:c r="K394" s="25" t="str">
        <x:v>汽车材料、零部件与电子电气</x:v>
      </x:c>
      <x:c r="L394" s="28" t="n">
        <x:v>89</x:v>
      </x:c>
      <x:c r="M394" s="25" t="str">
        <x:v>高</x:v>
      </x:c>
      <x:c r="N394" s="26" t="str">
        <x:v>汽车、汽车电子、研发、设计</x:v>
      </x:c>
      <x:c r="O394" s="26" t="str">
        <x:v>岗位名称/描述出现“汽车、汽车电子”，工作环节更贴近“汽车电子、研发、设计”，因此关联到该节点。</x:v>
      </x:c>
      <x:c r="P394" s="26" t="str">
        <x:v>自动通过</x:v>
      </x:c>
    </x:row>
    <x:row r="395" ht="44" customHeight="1">
      <x:c r="A395" s="27" t="str">
        <x:v>REL000392</x:v>
      </x:c>
      <x:c r="B395" s="25" t="n">
        <x:v>11506</x:v>
      </x:c>
      <x:c r="C395" s="27" t="str">
        <x:v>IC-L3-763</x:v>
      </x:c>
      <x:c r="D395" s="25" t="str">
        <x:v>汽车安全性能工程师</x:v>
      </x:c>
      <x:c r="E395" s="27" t="str">
        <x:v>2-02-07-11</x:v>
      </x:c>
      <x:c r="F395" s="25" t="str">
        <x:v>汽车工程技术人员</x:v>
      </x:c>
      <x:c r="G395" s="27" t="str">
        <x:v>IC08</x:v>
      </x:c>
      <x:c r="H395" s="25" t="str">
        <x:v>汽车与智能网联汽车产业链</x:v>
      </x:c>
      <x:c r="I395" s="25" t="str">
        <x:v>中游</x:v>
      </x:c>
      <x:c r="J395" s="27" t="str">
        <x:v>ICN023</x:v>
      </x:c>
      <x:c r="K395" s="25" t="str">
        <x:v>整车制造与智能网联系统集成</x:v>
      </x:c>
      <x:c r="L395" s="28" t="n">
        <x:v>71</x:v>
      </x:c>
      <x:c r="M395" s="25" t="str">
        <x:v>中</x:v>
      </x:c>
      <x:c r="N395" s="26" t="str">
        <x:v>汽车、测试</x:v>
      </x:c>
      <x:c r="O395" s="26" t="str">
        <x:v>岗位名称/描述出现“汽车”，工作环节更贴近“测试”，因此关联到该节点。</x:v>
      </x:c>
      <x:c r="P395" s="26" t="str">
        <x:v>自动通过</x:v>
      </x:c>
    </x:row>
    <x:row r="396" ht="44" customHeight="1">
      <x:c r="A396" s="27" t="str">
        <x:v>REL000393</x:v>
      </x:c>
      <x:c r="B396" s="25" t="n">
        <x:v>11507</x:v>
      </x:c>
      <x:c r="C396" s="27" t="str">
        <x:v>IC-L3-764</x:v>
      </x:c>
      <x:c r="D396" s="25" t="str">
        <x:v>汽车装配工艺工程师</x:v>
      </x:c>
      <x:c r="E396" s="27" t="str">
        <x:v>2-02-07-11</x:v>
      </x:c>
      <x:c r="F396" s="25" t="str">
        <x:v>汽车工程技术人员</x:v>
      </x:c>
      <x:c r="G396" s="27" t="str">
        <x:v>IC08</x:v>
      </x:c>
      <x:c r="H396" s="25" t="str">
        <x:v>汽车与智能网联汽车产业链</x:v>
      </x:c>
      <x:c r="I396" s="25" t="str">
        <x:v>中游</x:v>
      </x:c>
      <x:c r="J396" s="27" t="str">
        <x:v>ICN023</x:v>
      </x:c>
      <x:c r="K396" s="25" t="str">
        <x:v>整车制造与智能网联系统集成</x:v>
      </x:c>
      <x:c r="L396" s="28" t="n">
        <x:v>82</x:v>
      </x:c>
      <x:c r="M396" s="25" t="str">
        <x:v>高</x:v>
      </x:c>
      <x:c r="N396" s="26" t="str">
        <x:v>汽车、装配、工艺、生产</x:v>
      </x:c>
      <x:c r="O396" s="26" t="str">
        <x:v>岗位名称/描述出现“汽车”，工作环节更贴近“装配、工艺、生产”，因此关联到该节点。</x:v>
      </x:c>
      <x:c r="P396" s="26" t="str">
        <x:v>自动通过</x:v>
      </x:c>
    </x:row>
    <x:row r="397" ht="44" customHeight="1">
      <x:c r="A397" s="27" t="str">
        <x:v>REL000394</x:v>
      </x:c>
      <x:c r="B397" s="25" t="n">
        <x:v>11507</x:v>
      </x:c>
      <x:c r="C397" s="27" t="str">
        <x:v>IC-L3-764</x:v>
      </x:c>
      <x:c r="D397" s="25" t="str">
        <x:v>汽车装配工艺工程师</x:v>
      </x:c>
      <x:c r="E397" s="27" t="str">
        <x:v>2-02-07-11</x:v>
      </x:c>
      <x:c r="F397" s="25" t="str">
        <x:v>汽车工程技术人员</x:v>
      </x:c>
      <x:c r="G397" s="27" t="str">
        <x:v>IC02</x:v>
      </x:c>
      <x:c r="H397" s="25" t="str">
        <x:v>高端装备与智能制造产业链</x:v>
      </x:c>
      <x:c r="I397" s="25" t="str">
        <x:v>中游</x:v>
      </x:c>
      <x:c r="J397" s="27" t="str">
        <x:v>ICN005</x:v>
      </x:c>
      <x:c r="K397" s="25" t="str">
        <x:v>高端装备制造与激光加工</x:v>
      </x:c>
      <x:c r="L397" s="28" t="n">
        <x:v>78</x:v>
      </x:c>
      <x:c r="M397" s="25" t="str">
        <x:v>中</x:v>
      </x:c>
      <x:c r="N397" s="26" t="str">
        <x:v>装配、车工、工艺、生产</x:v>
      </x:c>
      <x:c r="O397" s="26" t="str">
        <x:v>岗位名称/描述出现“装配、车工”，工作环节更贴近“装配、工艺、生产”，因此关联到该节点。</x:v>
      </x:c>
      <x:c r="P397" s="26" t="str">
        <x:v>自动通过</x:v>
      </x:c>
    </x:row>
    <x:row r="398" ht="44" customHeight="1">
      <x:c r="A398" s="27" t="str">
        <x:v>REL000395</x:v>
      </x:c>
      <x:c r="B398" s="25" t="n">
        <x:v>11509</x:v>
      </x:c>
      <x:c r="C398" s="27" t="str">
        <x:v>IC-L3-766</x:v>
      </x:c>
      <x:c r="D398" s="25" t="str">
        <x:v>系统工程师</x:v>
      </x:c>
      <x:c r="E398" s="27" t="str">
        <x:v>4-02-02-01</x:v>
      </x:c>
      <x:c r="F398" s="25" t="str">
        <x:v>客运车辆驾驶员</x:v>
      </x:c>
      <x:c r="G398" s="27" t="str">
        <x:v>IC08</x:v>
      </x:c>
      <x:c r="H398" s="25" t="str">
        <x:v>汽车与智能网联汽车产业链</x:v>
      </x:c>
      <x:c r="I398" s="25" t="str">
        <x:v>中游</x:v>
      </x:c>
      <x:c r="J398" s="27" t="str">
        <x:v>ICN023</x:v>
      </x:c>
      <x:c r="K398" s="25" t="str">
        <x:v>整车制造与智能网联系统集成</x:v>
      </x:c>
      <x:c r="L398" s="28" t="n">
        <x:v>58</x:v>
      </x:c>
      <x:c r="M398" s="25" t="str">
        <x:v>低</x:v>
      </x:c>
      <x:c r="N398" s="26" t="str">
        <x:v>驾驶员、汽车、汽车销售</x:v>
      </x:c>
      <x:c r="O398" s="26" t="str">
        <x:v>岗位名称/描述出现“驾驶员、汽车、汽车销售”，工作环节更贴近“中游”，因此关联到该节点。</x:v>
      </x:c>
      <x:c r="P398" s="26" t="str">
        <x:v>建议复核</x:v>
      </x:c>
    </x:row>
    <x:row r="399" ht="44" customHeight="1">
      <x:c r="A399" s="27" t="str">
        <x:v>REL000396</x:v>
      </x:c>
      <x:c r="B399" s="25" t="n">
        <x:v>11512</x:v>
      </x:c>
      <x:c r="C399" s="27" t="str">
        <x:v>IC-L3-769</x:v>
      </x:c>
      <x:c r="D399" s="25" t="str">
        <x:v>印刷排版/制版</x:v>
      </x:c>
      <x:c r="E399" s="27" t="str">
        <x:v>6-23-01-01</x:v>
      </x:c>
      <x:c r="F399" s="25" t="str">
        <x:v>铁路机车制修工</x:v>
      </x:c>
      <x:c r="G399" s="27" t="str">
        <x:v>IC01</x:v>
      </x:c>
      <x:c r="H399" s="25" t="str">
        <x:v>数据要素与数字经济产业链</x:v>
      </x:c>
      <x:c r="I399" s="25" t="str">
        <x:v>中游</x:v>
      </x:c>
      <x:c r="J399" s="27" t="str">
        <x:v>ICN002</x:v>
      </x:c>
      <x:c r="K399" s="25" t="str">
        <x:v>数据治理、流通与服务</x:v>
      </x:c>
      <x:c r="L399" s="28" t="n">
        <x:v>66</x:v>
      </x:c>
      <x:c r="M399" s="25" t="str">
        <x:v>低</x:v>
      </x:c>
      <x:c r="N399" s="26" t="str">
        <x:v>排版</x:v>
      </x:c>
      <x:c r="O399" s="26" t="str">
        <x:v>岗位名称/描述出现“排版”，工作环节更贴近“中游”，因此关联到该节点。</x:v>
      </x:c>
      <x:c r="P399" s="26" t="str">
        <x:v>建议复核</x:v>
      </x:c>
    </x:row>
    <x:row r="400" ht="44" customHeight="1">
      <x:c r="A400" s="27" t="str">
        <x:v>REL000397</x:v>
      </x:c>
      <x:c r="B400" s="25" t="n">
        <x:v>11513</x:v>
      </x:c>
      <x:c r="C400" s="27" t="str">
        <x:v>IC-L3-770</x:v>
      </x:c>
      <x:c r="D400" s="25" t="str">
        <x:v>印刷机械机长</x:v>
      </x:c>
      <x:c r="E400" s="27" t="str">
        <x:v>6-23-01-01</x:v>
      </x:c>
      <x:c r="F400" s="25" t="str">
        <x:v>铁路机车制修工</x:v>
      </x:c>
      <x:c r="G400" s="27" t="str">
        <x:v>IC02</x:v>
      </x:c>
      <x:c r="H400" s="25" t="str">
        <x:v>高端装备与智能制造产业链</x:v>
      </x:c>
      <x:c r="I400" s="25" t="str">
        <x:v>中游</x:v>
      </x:c>
      <x:c r="J400" s="27" t="str">
        <x:v>ICN005</x:v>
      </x:c>
      <x:c r="K400" s="25" t="str">
        <x:v>高端装备制造与激光加工</x:v>
      </x:c>
      <x:c r="L400" s="28" t="n">
        <x:v>74</x:v>
      </x:c>
      <x:c r="M400" s="25" t="str">
        <x:v>中</x:v>
      </x:c>
      <x:c r="N400" s="26" t="str">
        <x:v>机械、机械设备、生产、工艺</x:v>
      </x:c>
      <x:c r="O400" s="26" t="str">
        <x:v>岗位名称/描述出现“机械、机械设备”，工作环节更贴近“生产、工艺”，因此关联到该节点。</x:v>
      </x:c>
      <x:c r="P400" s="26" t="str">
        <x:v>自动通过</x:v>
      </x:c>
    </x:row>
    <x:row r="401" ht="44" customHeight="1">
      <x:c r="A401" s="27" t="str">
        <x:v>REL000398</x:v>
      </x:c>
      <x:c r="B401" s="25" t="n">
        <x:v>11517</x:v>
      </x:c>
      <x:c r="C401" s="27" t="str">
        <x:v>IC-L3-774</x:v>
      </x:c>
      <x:c r="D401" s="25" t="str">
        <x:v>CNC/数控操机</x:v>
      </x:c>
      <x:c r="E401" s="27" t="str">
        <x:v>2-02-07-01</x:v>
      </x:c>
      <x:c r="F401" s="25" t="str">
        <x:v>机械设计工程技术人员</x:v>
      </x:c>
      <x:c r="G401" s="27" t="str">
        <x:v>IC02</x:v>
      </x:c>
      <x:c r="H401" s="25" t="str">
        <x:v>高端装备与智能制造产业链</x:v>
      </x:c>
      <x:c r="I401" s="25" t="str">
        <x:v>中游</x:v>
      </x:c>
      <x:c r="J401" s="27" t="str">
        <x:v>ICN005</x:v>
      </x:c>
      <x:c r="K401" s="25" t="str">
        <x:v>高端装备制造与激光加工</x:v>
      </x:c>
      <x:c r="L401" s="28" t="n">
        <x:v>80</x:v>
      </x:c>
      <x:c r="M401" s="25" t="str">
        <x:v>中</x:v>
      </x:c>
      <x:c r="N401" s="26" t="str">
        <x:v>数控、机械、机床、智能制造、生产、工艺、自动化</x:v>
      </x:c>
      <x:c r="O401" s="26" t="str">
        <x:v>岗位名称/描述出现“数控、机械、机床、智能制造”，工作环节更贴近“生产、工艺、智能制造、自动化”，因此关联到该节点。</x:v>
      </x:c>
      <x:c r="P401" s="26" t="str">
        <x:v>自动通过</x:v>
      </x:c>
    </x:row>
    <x:row r="402" ht="44" customHeight="1">
      <x:c r="A402" s="27" t="str">
        <x:v>REL000399</x:v>
      </x:c>
      <x:c r="B402" s="25" t="n">
        <x:v>11518</x:v>
      </x:c>
      <x:c r="C402" s="27" t="str">
        <x:v>IC-L3-775</x:v>
      </x:c>
      <x:c r="D402" s="25" t="str">
        <x:v>CNC/数控编程</x:v>
      </x:c>
      <x:c r="E402" s="27" t="str">
        <x:v>2-02-07-01</x:v>
      </x:c>
      <x:c r="F402" s="25" t="str">
        <x:v>机械设计工程技术人员</x:v>
      </x:c>
      <x:c r="G402" s="27" t="str">
        <x:v>IC02</x:v>
      </x:c>
      <x:c r="H402" s="25" t="str">
        <x:v>高端装备与智能制造产业链</x:v>
      </x:c>
      <x:c r="I402" s="25" t="str">
        <x:v>中游</x:v>
      </x:c>
      <x:c r="J402" s="27" t="str">
        <x:v>ICN005</x:v>
      </x:c>
      <x:c r="K402" s="25" t="str">
        <x:v>高端装备制造与激光加工</x:v>
      </x:c>
      <x:c r="L402" s="28" t="n">
        <x:v>74</x:v>
      </x:c>
      <x:c r="M402" s="25" t="str">
        <x:v>中</x:v>
      </x:c>
      <x:c r="N402" s="26" t="str">
        <x:v>数控、机械、机床、生产、工艺</x:v>
      </x:c>
      <x:c r="O402" s="26" t="str">
        <x:v>岗位名称/描述出现“数控、机械、机床”，工作环节更贴近“生产、工艺”，因此关联到该节点。</x:v>
      </x:c>
      <x:c r="P402" s="26" t="str">
        <x:v>自动通过</x:v>
      </x:c>
    </x:row>
    <x:row r="403" ht="44" customHeight="1">
      <x:c r="A403" s="27" t="str">
        <x:v>REL000400</x:v>
      </x:c>
      <x:c r="B403" s="25" t="n">
        <x:v>11520</x:v>
      </x:c>
      <x:c r="C403" s="27" t="str">
        <x:v>IC-L3-777</x:v>
      </x:c>
      <x:c r="D403" s="25" t="str">
        <x:v>冲压工程师</x:v>
      </x:c>
      <x:c r="E403" s="27" t="str">
        <x:v>2-02-07-01</x:v>
      </x:c>
      <x:c r="F403" s="25" t="str">
        <x:v>机械设计工程技术人员</x:v>
      </x:c>
      <x:c r="G403" s="27" t="str">
        <x:v>IC02</x:v>
      </x:c>
      <x:c r="H403" s="25" t="str">
        <x:v>高端装备与智能制造产业链</x:v>
      </x:c>
      <x:c r="I403" s="25" t="str">
        <x:v>中游</x:v>
      </x:c>
      <x:c r="J403" s="27" t="str">
        <x:v>ICN005</x:v>
      </x:c>
      <x:c r="K403" s="25" t="str">
        <x:v>高端装备制造与激光加工</x:v>
      </x:c>
      <x:c r="L403" s="28" t="n">
        <x:v>74</x:v>
      </x:c>
      <x:c r="M403" s="25" t="str">
        <x:v>中</x:v>
      </x:c>
      <x:c r="N403" s="26" t="str">
        <x:v>冲压、机械、模具、生产、工艺</x:v>
      </x:c>
      <x:c r="O403" s="26" t="str">
        <x:v>岗位名称/描述出现“冲压、机械、模具”，工作环节更贴近“生产、工艺”，因此关联到该节点。</x:v>
      </x:c>
      <x:c r="P403" s="26" t="str">
        <x:v>自动通过</x:v>
      </x:c>
    </x:row>
    <x:row r="404" ht="44" customHeight="1">
      <x:c r="A404" s="27" t="str">
        <x:v>REL000401</x:v>
      </x:c>
      <x:c r="B404" s="25" t="n">
        <x:v>11523</x:v>
      </x:c>
      <x:c r="C404" s="27" t="str">
        <x:v>IC-L3-780</x:v>
      </x:c>
      <x:c r="D404" s="25" t="str">
        <x:v>工业工程师</x:v>
      </x:c>
      <x:c r="E404" s="27" t="str">
        <x:v>2-02-07-01</x:v>
      </x:c>
      <x:c r="F404" s="25" t="str">
        <x:v>机械设计工程技术人员</x:v>
      </x:c>
      <x:c r="G404" s="27" t="str">
        <x:v>IC02</x:v>
      </x:c>
      <x:c r="H404" s="25" t="str">
        <x:v>高端装备与智能制造产业链</x:v>
      </x:c>
      <x:c r="I404" s="25" t="str">
        <x:v>中游</x:v>
      </x:c>
      <x:c r="J404" s="27" t="str">
        <x:v>ICN005</x:v>
      </x:c>
      <x:c r="K404" s="25" t="str">
        <x:v>高端装备制造与激光加工</x:v>
      </x:c>
      <x:c r="L404" s="28" t="n">
        <x:v>79</x:v>
      </x:c>
      <x:c r="M404" s="25" t="str">
        <x:v>中</x:v>
      </x:c>
      <x:c r="N404" s="26" t="str">
        <x:v>工业工程、机械、生产、工艺</x:v>
      </x:c>
      <x:c r="O404" s="26" t="str">
        <x:v>岗位名称/描述出现“工业工程、机械”，工作环节更贴近“工业工程、生产、工艺”，因此关联到该节点。</x:v>
      </x:c>
      <x:c r="P404" s="26" t="str">
        <x:v>自动通过</x:v>
      </x:c>
    </x:row>
    <x:row r="405" ht="44" customHeight="1">
      <x:c r="A405" s="27" t="str">
        <x:v>REL000402</x:v>
      </x:c>
      <x:c r="B405" s="25" t="n">
        <x:v>11525</x:v>
      </x:c>
      <x:c r="C405" s="27" t="str">
        <x:v>IC-L3-782</x:v>
      </x:c>
      <x:c r="D405" s="25" t="str">
        <x:v>机械产品工程师</x:v>
      </x:c>
      <x:c r="E405" s="27" t="str">
        <x:v>2-02-07-01</x:v>
      </x:c>
      <x:c r="F405" s="25" t="str">
        <x:v>机械设计工程技术人员</x:v>
      </x:c>
      <x:c r="G405" s="27" t="str">
        <x:v>IC02</x:v>
      </x:c>
      <x:c r="H405" s="25" t="str">
        <x:v>高端装备与智能制造产业链</x:v>
      </x:c>
      <x:c r="I405" s="25" t="str">
        <x:v>中游</x:v>
      </x:c>
      <x:c r="J405" s="27" t="str">
        <x:v>ICN005</x:v>
      </x:c>
      <x:c r="K405" s="25" t="str">
        <x:v>高端装备制造与激光加工</x:v>
      </x:c>
      <x:c r="L405" s="28" t="n">
        <x:v>73</x:v>
      </x:c>
      <x:c r="M405" s="25" t="str">
        <x:v>中</x:v>
      </x:c>
      <x:c r="N405" s="26" t="str">
        <x:v>机械、机械设备、生产</x:v>
      </x:c>
      <x:c r="O405" s="26" t="str">
        <x:v>岗位名称/描述出现“机械、机械设备”，工作环节更贴近“生产”，因此关联到该节点。</x:v>
      </x:c>
      <x:c r="P405" s="26" t="str">
        <x:v>自动通过</x:v>
      </x:c>
    </x:row>
    <x:row r="406" ht="44" customHeight="1">
      <x:c r="A406" s="27" t="str">
        <x:v>REL000403</x:v>
      </x:c>
      <x:c r="B406" s="25" t="n">
        <x:v>11526</x:v>
      </x:c>
      <x:c r="C406" s="27" t="str">
        <x:v>IC-L3-783</x:v>
      </x:c>
      <x:c r="D406" s="25" t="str">
        <x:v>机械制图</x:v>
      </x:c>
      <x:c r="E406" s="27" t="str">
        <x:v>2-02-07-01</x:v>
      </x:c>
      <x:c r="F406" s="25" t="str">
        <x:v>机械设计工程技术人员</x:v>
      </x:c>
      <x:c r="G406" s="27" t="str">
        <x:v>IC02</x:v>
      </x:c>
      <x:c r="H406" s="25" t="str">
        <x:v>高端装备与智能制造产业链</x:v>
      </x:c>
      <x:c r="I406" s="25" t="str">
        <x:v>中游</x:v>
      </x:c>
      <x:c r="J406" s="27" t="str">
        <x:v>ICN005</x:v>
      </x:c>
      <x:c r="K406" s="25" t="str">
        <x:v>高端装备制造与激光加工</x:v>
      </x:c>
      <x:c r="L406" s="28" t="n">
        <x:v>76</x:v>
      </x:c>
      <x:c r="M406" s="25" t="str">
        <x:v>中</x:v>
      </x:c>
      <x:c r="N406" s="26" t="str">
        <x:v>机械、装配、机械设备、生产</x:v>
      </x:c>
      <x:c r="O406" s="26" t="str">
        <x:v>岗位名称/描述出现“机械、装配、机械设备”，工作环节更贴近“装配、生产”，因此关联到该节点。</x:v>
      </x:c>
      <x:c r="P406" s="26" t="str">
        <x:v>自动通过</x:v>
      </x:c>
    </x:row>
    <x:row r="407" ht="44" customHeight="1">
      <x:c r="A407" s="27" t="str">
        <x:v>REL000404</x:v>
      </x:c>
      <x:c r="B407" s="25" t="n">
        <x:v>11527</x:v>
      </x:c>
      <x:c r="C407" s="27" t="str">
        <x:v>IC-L3-784</x:v>
      </x:c>
      <x:c r="D407" s="25" t="str">
        <x:v>机械工程师</x:v>
      </x:c>
      <x:c r="E407" s="27" t="str">
        <x:v>2-02-07-01</x:v>
      </x:c>
      <x:c r="F407" s="25" t="str">
        <x:v>机械设计工程技术人员</x:v>
      </x:c>
      <x:c r="G407" s="27" t="str">
        <x:v>IC02</x:v>
      </x:c>
      <x:c r="H407" s="25" t="str">
        <x:v>高端装备与智能制造产业链</x:v>
      </x:c>
      <x:c r="I407" s="25" t="str">
        <x:v>上游</x:v>
      </x:c>
      <x:c r="J407" s="27" t="str">
        <x:v>ICN004</x:v>
      </x:c>
      <x:c r="K407" s="25" t="str">
        <x:v>关键基础件与工业母机</x:v>
      </x:c>
      <x:c r="L407" s="28" t="n">
        <x:v>73</x:v>
      </x:c>
      <x:c r="M407" s="25" t="str">
        <x:v>中</x:v>
      </x:c>
      <x:c r="N407" s="26" t="str">
        <x:v>机械、机械设备、机械设计、零部件、研发</x:v>
      </x:c>
      <x:c r="O407" s="26" t="str">
        <x:v>岗位名称/描述出现“机械、机械设备”，工作环节更贴近“机械设计、零部件、研发”，因此关联到该节点。</x:v>
      </x:c>
      <x:c r="P407" s="26" t="str">
        <x:v>自动通过</x:v>
      </x:c>
    </x:row>
    <x:row r="408" ht="44" customHeight="1">
      <x:c r="A408" s="27" t="str">
        <x:v>REL000405</x:v>
      </x:c>
      <x:c r="B408" s="25" t="n">
        <x:v>11528</x:v>
      </x:c>
      <x:c r="C408" s="27" t="str">
        <x:v>IC-L3-785</x:v>
      </x:c>
      <x:c r="D408" s="25" t="str">
        <x:v>机械研发工程师</x:v>
      </x:c>
      <x:c r="E408" s="27" t="str">
        <x:v>2-02-07-01</x:v>
      </x:c>
      <x:c r="F408" s="25" t="str">
        <x:v>机械设计工程技术人员</x:v>
      </x:c>
      <x:c r="G408" s="27" t="str">
        <x:v>IC02</x:v>
      </x:c>
      <x:c r="H408" s="25" t="str">
        <x:v>高端装备与智能制造产业链</x:v>
      </x:c>
      <x:c r="I408" s="25" t="str">
        <x:v>上游</x:v>
      </x:c>
      <x:c r="J408" s="27" t="str">
        <x:v>ICN004</x:v>
      </x:c>
      <x:c r="K408" s="25" t="str">
        <x:v>关键基础件与工业母机</x:v>
      </x:c>
      <x:c r="L408" s="28" t="n">
        <x:v>77</x:v>
      </x:c>
      <x:c r="M408" s="25" t="str">
        <x:v>中</x:v>
      </x:c>
      <x:c r="N408" s="26" t="str">
        <x:v>机械、机械设备、研发、机械设计</x:v>
      </x:c>
      <x:c r="O408" s="26" t="str">
        <x:v>岗位名称/描述出现“机械、机械设备”，工作环节更贴近“研发、机械设计”，因此关联到该节点。</x:v>
      </x:c>
      <x:c r="P408" s="26" t="str">
        <x:v>自动通过</x:v>
      </x:c>
    </x:row>
    <x:row r="409" ht="44" customHeight="1">
      <x:c r="A409" s="27" t="str">
        <x:v>REL000406</x:v>
      </x:c>
      <x:c r="B409" s="25" t="n">
        <x:v>11529</x:v>
      </x:c>
      <x:c r="C409" s="27" t="str">
        <x:v>IC-L3-786</x:v>
      </x:c>
      <x:c r="D409" s="25" t="str">
        <x:v>机械研发经理/主管</x:v>
      </x:c>
      <x:c r="E409" s="27" t="str">
        <x:v>2-02-07-01</x:v>
      </x:c>
      <x:c r="F409" s="25" t="str">
        <x:v>机械设计工程技术人员</x:v>
      </x:c>
      <x:c r="G409" s="27" t="str">
        <x:v>IC02</x:v>
      </x:c>
      <x:c r="H409" s="25" t="str">
        <x:v>高端装备与智能制造产业链</x:v>
      </x:c>
      <x:c r="I409" s="25" t="str">
        <x:v>上游</x:v>
      </x:c>
      <x:c r="J409" s="27" t="str">
        <x:v>ICN004</x:v>
      </x:c>
      <x:c r="K409" s="25" t="str">
        <x:v>关键基础件与工业母机</x:v>
      </x:c>
      <x:c r="L409" s="28" t="n">
        <x:v>76</x:v>
      </x:c>
      <x:c r="M409" s="25" t="str">
        <x:v>中</x:v>
      </x:c>
      <x:c r="N409" s="26" t="str">
        <x:v>机械、研发、机械设计</x:v>
      </x:c>
      <x:c r="O409" s="26" t="str">
        <x:v>岗位名称/描述出现“机械”，工作环节更贴近“研发、机械设计”，因此关联到该节点。</x:v>
      </x:c>
      <x:c r="P409" s="26" t="str">
        <x:v>自动通过</x:v>
      </x:c>
    </x:row>
    <x:row r="410" ht="44" customHeight="1">
      <x:c r="A410" s="27" t="str">
        <x:v>REL000407</x:v>
      </x:c>
      <x:c r="B410" s="25" t="n">
        <x:v>11530</x:v>
      </x:c>
      <x:c r="C410" s="27" t="str">
        <x:v>IC-L3-787</x:v>
      </x:c>
      <x:c r="D410" s="25" t="str">
        <x:v>机械结构工程师</x:v>
      </x:c>
      <x:c r="E410" s="27" t="str">
        <x:v>2-02-07-01</x:v>
      </x:c>
      <x:c r="F410" s="25" t="str">
        <x:v>机械设计工程技术人员</x:v>
      </x:c>
      <x:c r="G410" s="27" t="str">
        <x:v>IC02</x:v>
      </x:c>
      <x:c r="H410" s="25" t="str">
        <x:v>高端装备与智能制造产业链</x:v>
      </x:c>
      <x:c r="I410" s="25" t="str">
        <x:v>中游</x:v>
      </x:c>
      <x:c r="J410" s="27" t="str">
        <x:v>ICN005</x:v>
      </x:c>
      <x:c r="K410" s="25" t="str">
        <x:v>高端装备制造与激光加工</x:v>
      </x:c>
      <x:c r="L410" s="28" t="n">
        <x:v>73</x:v>
      </x:c>
      <x:c r="M410" s="25" t="str">
        <x:v>中</x:v>
      </x:c>
      <x:c r="N410" s="26" t="str">
        <x:v>机械、机械设备、生产</x:v>
      </x:c>
      <x:c r="O410" s="26" t="str">
        <x:v>岗位名称/描述出现“机械、机械设备”，工作环节更贴近“生产”，因此关联到该节点。</x:v>
      </x:c>
      <x:c r="P410" s="26" t="str">
        <x:v>自动通过</x:v>
      </x:c>
    </x:row>
    <x:row r="411" ht="44" customHeight="1">
      <x:c r="A411" s="27" t="str">
        <x:v>REL000408</x:v>
      </x:c>
      <x:c r="B411" s="25" t="n">
        <x:v>11531</x:v>
      </x:c>
      <x:c r="C411" s="27" t="str">
        <x:v>IC-L3-788</x:v>
      </x:c>
      <x:c r="D411" s="25" t="str">
        <x:v>机械维修/保养</x:v>
      </x:c>
      <x:c r="E411" s="27" t="str">
        <x:v>2-02-07-01</x:v>
      </x:c>
      <x:c r="F411" s="25" t="str">
        <x:v>机械设计工程技术人员</x:v>
      </x:c>
      <x:c r="G411" s="27" t="str">
        <x:v>IC02</x:v>
      </x:c>
      <x:c r="H411" s="25" t="str">
        <x:v>高端装备与智能制造产业链</x:v>
      </x:c>
      <x:c r="I411" s="25" t="str">
        <x:v>中游</x:v>
      </x:c>
      <x:c r="J411" s="27" t="str">
        <x:v>ICN005</x:v>
      </x:c>
      <x:c r="K411" s="25" t="str">
        <x:v>高端装备制造与激光加工</x:v>
      </x:c>
      <x:c r="L411" s="28" t="n">
        <x:v>73</x:v>
      </x:c>
      <x:c r="M411" s="25" t="str">
        <x:v>中</x:v>
      </x:c>
      <x:c r="N411" s="26" t="str">
        <x:v>机械、机械设备、生产</x:v>
      </x:c>
      <x:c r="O411" s="26" t="str">
        <x:v>岗位名称/描述出现“机械、机械设备”，工作环节更贴近“生产”，因此关联到该节点。</x:v>
      </x:c>
      <x:c r="P411" s="26" t="str">
        <x:v>自动通过</x:v>
      </x:c>
    </x:row>
    <x:row r="412" ht="44" customHeight="1">
      <x:c r="A412" s="27" t="str">
        <x:v>REL000409</x:v>
      </x:c>
      <x:c r="B412" s="25" t="n">
        <x:v>11532</x:v>
      </x:c>
      <x:c r="C412" s="27" t="str">
        <x:v>IC-L3-789</x:v>
      </x:c>
      <x:c r="D412" s="25" t="str">
        <x:v>机械装配工程师</x:v>
      </x:c>
      <x:c r="E412" s="27" t="str">
        <x:v>2-02-07-01</x:v>
      </x:c>
      <x:c r="F412" s="25" t="str">
        <x:v>机械设计工程技术人员</x:v>
      </x:c>
      <x:c r="G412" s="27" t="str">
        <x:v>IC02</x:v>
      </x:c>
      <x:c r="H412" s="25" t="str">
        <x:v>高端装备与智能制造产业链</x:v>
      </x:c>
      <x:c r="I412" s="25" t="str">
        <x:v>中游</x:v>
      </x:c>
      <x:c r="J412" s="27" t="str">
        <x:v>ICN005</x:v>
      </x:c>
      <x:c r="K412" s="25" t="str">
        <x:v>高端装备制造与激光加工</x:v>
      </x:c>
      <x:c r="L412" s="28" t="n">
        <x:v>94</x:v>
      </x:c>
      <x:c r="M412" s="25" t="str">
        <x:v>高</x:v>
      </x:c>
      <x:c r="N412" s="26" t="str">
        <x:v>机械、装配、机械设备、生产</x:v>
      </x:c>
      <x:c r="O412" s="26" t="str">
        <x:v>岗位名称/描述出现“机械、装配、机械设备”，工作环节更贴近“装配、生产”，因此关联到该节点。</x:v>
      </x:c>
      <x:c r="P412" s="26" t="str">
        <x:v>自动通过</x:v>
      </x:c>
    </x:row>
    <x:row r="413" ht="44" customHeight="1">
      <x:c r="A413" s="27" t="str">
        <x:v>REL000410</x:v>
      </x:c>
      <x:c r="B413" s="25" t="n">
        <x:v>11533</x:v>
      </x:c>
      <x:c r="C413" s="27" t="str">
        <x:v>IC-L3-790</x:v>
      </x:c>
      <x:c r="D413" s="25" t="str">
        <x:v>机械设备工程师</x:v>
      </x:c>
      <x:c r="E413" s="27" t="str">
        <x:v>2-02-07-01</x:v>
      </x:c>
      <x:c r="F413" s="25" t="str">
        <x:v>机械设计工程技术人员</x:v>
      </x:c>
      <x:c r="G413" s="27" t="str">
        <x:v>IC02</x:v>
      </x:c>
      <x:c r="H413" s="25" t="str">
        <x:v>高端装备与智能制造产业链</x:v>
      </x:c>
      <x:c r="I413" s="25" t="str">
        <x:v>中游</x:v>
      </x:c>
      <x:c r="J413" s="27" t="str">
        <x:v>ICN005</x:v>
      </x:c>
      <x:c r="K413" s="25" t="str">
        <x:v>高端装备制造与激光加工</x:v>
      </x:c>
      <x:c r="L413" s="28" t="n">
        <x:v>89</x:v>
      </x:c>
      <x:c r="M413" s="25" t="str">
        <x:v>高</x:v>
      </x:c>
      <x:c r="N413" s="26" t="str">
        <x:v>机械、机械设备、生产、工艺、自动化</x:v>
      </x:c>
      <x:c r="O413" s="26" t="str">
        <x:v>岗位名称/描述出现“机械、机械设备”，工作环节更贴近“生产、工艺、自动化”，因此关联到该节点。</x:v>
      </x:c>
      <x:c r="P413" s="26" t="str">
        <x:v>自动通过</x:v>
      </x:c>
    </x:row>
    <x:row r="414" ht="44" customHeight="1">
      <x:c r="A414" s="27" t="str">
        <x:v>REL000411</x:v>
      </x:c>
      <x:c r="B414" s="25" t="n">
        <x:v>11534</x:v>
      </x:c>
      <x:c r="C414" s="27" t="str">
        <x:v>IC-L3-791</x:v>
      </x:c>
      <x:c r="D414" s="25" t="str">
        <x:v>机械设备经理/主管</x:v>
      </x:c>
      <x:c r="E414" s="27" t="str">
        <x:v>2-02-07-01</x:v>
      </x:c>
      <x:c r="F414" s="25" t="str">
        <x:v>机械设计工程技术人员</x:v>
      </x:c>
      <x:c r="G414" s="27" t="str">
        <x:v>IC02</x:v>
      </x:c>
      <x:c r="H414" s="25" t="str">
        <x:v>高端装备与智能制造产业链</x:v>
      </x:c>
      <x:c r="I414" s="25" t="str">
        <x:v>中游</x:v>
      </x:c>
      <x:c r="J414" s="27" t="str">
        <x:v>ICN005</x:v>
      </x:c>
      <x:c r="K414" s="25" t="str">
        <x:v>高端装备制造与激光加工</x:v>
      </x:c>
      <x:c r="L414" s="28" t="n">
        <x:v>88</x:v>
      </x:c>
      <x:c r="M414" s="25" t="str">
        <x:v>高</x:v>
      </x:c>
      <x:c r="N414" s="26" t="str">
        <x:v>机械、机械设备、生产、工艺</x:v>
      </x:c>
      <x:c r="O414" s="26" t="str">
        <x:v>岗位名称/描述出现“机械、机械设备”，工作环节更贴近“生产、工艺”，因此关联到该节点。</x:v>
      </x:c>
      <x:c r="P414" s="26" t="str">
        <x:v>自动通过</x:v>
      </x:c>
    </x:row>
    <x:row r="415" ht="44" customHeight="1">
      <x:c r="A415" s="27" t="str">
        <x:v>REL000412</x:v>
      </x:c>
      <x:c r="B415" s="25" t="n">
        <x:v>11535</x:v>
      </x:c>
      <x:c r="C415" s="27" t="str">
        <x:v>IC-L3-792</x:v>
      </x:c>
      <x:c r="D415" s="25" t="str">
        <x:v>机械设计</x:v>
      </x:c>
      <x:c r="E415" s="27" t="str">
        <x:v>2-02-07-01</x:v>
      </x:c>
      <x:c r="F415" s="25" t="str">
        <x:v>机械设计工程技术人员</x:v>
      </x:c>
      <x:c r="G415" s="27" t="str">
        <x:v>IC02</x:v>
      </x:c>
      <x:c r="H415" s="25" t="str">
        <x:v>高端装备与智能制造产业链</x:v>
      </x:c>
      <x:c r="I415" s="25" t="str">
        <x:v>上游</x:v>
      </x:c>
      <x:c r="J415" s="27" t="str">
        <x:v>ICN004</x:v>
      </x:c>
      <x:c r="K415" s="25" t="str">
        <x:v>关键基础件与工业母机</x:v>
      </x:c>
      <x:c r="L415" s="28" t="n">
        <x:v>76</x:v>
      </x:c>
      <x:c r="M415" s="25" t="str">
        <x:v>中</x:v>
      </x:c>
      <x:c r="N415" s="26" t="str">
        <x:v>机械、机械设计、结构设计</x:v>
      </x:c>
      <x:c r="O415" s="26" t="str">
        <x:v>岗位名称/描述出现“机械”，工作环节更贴近“机械设计、结构设计”，因此关联到该节点。</x:v>
      </x:c>
      <x:c r="P415" s="26" t="str">
        <x:v>自动通过</x:v>
      </x:c>
    </x:row>
    <x:row r="416" ht="44" customHeight="1">
      <x:c r="A416" s="27" t="str">
        <x:v>REL000413</x:v>
      </x:c>
      <x:c r="B416" s="25" t="n">
        <x:v>11536</x:v>
      </x:c>
      <x:c r="C416" s="27" t="str">
        <x:v>IC-L3-793</x:v>
      </x:c>
      <x:c r="D416" s="25" t="str">
        <x:v>机械项目管理</x:v>
      </x:c>
      <x:c r="E416" s="27" t="str">
        <x:v>2-02-07-01</x:v>
      </x:c>
      <x:c r="F416" s="25" t="str">
        <x:v>机械设计工程技术人员</x:v>
      </x:c>
      <x:c r="G416" s="27" t="str">
        <x:v>IC02</x:v>
      </x:c>
      <x:c r="H416" s="25" t="str">
        <x:v>高端装备与智能制造产业链</x:v>
      </x:c>
      <x:c r="I416" s="25" t="str">
        <x:v>中游</x:v>
      </x:c>
      <x:c r="J416" s="27" t="str">
        <x:v>ICN005</x:v>
      </x:c>
      <x:c r="K416" s="25" t="str">
        <x:v>高端装备制造与激光加工</x:v>
      </x:c>
      <x:c r="L416" s="28" t="n">
        <x:v>71</x:v>
      </x:c>
      <x:c r="M416" s="25" t="str">
        <x:v>中</x:v>
      </x:c>
      <x:c r="N416" s="26" t="str">
        <x:v>机械、生产</x:v>
      </x:c>
      <x:c r="O416" s="26" t="str">
        <x:v>岗位名称/描述出现“机械”，工作环节更贴近“生产”，因此关联到该节点。</x:v>
      </x:c>
      <x:c r="P416" s="26" t="str">
        <x:v>自动通过</x:v>
      </x:c>
    </x:row>
    <x:row r="417" ht="44" customHeight="1">
      <x:c r="A417" s="27" t="str">
        <x:v>REL000414</x:v>
      </x:c>
      <x:c r="B417" s="25" t="n">
        <x:v>11537</x:v>
      </x:c>
      <x:c r="C417" s="27" t="str">
        <x:v>IC-L3-794</x:v>
      </x:c>
      <x:c r="D417" s="25" t="str">
        <x:v>机电工程师</x:v>
      </x:c>
      <x:c r="E417" s="27" t="str">
        <x:v>2-02-07-01</x:v>
      </x:c>
      <x:c r="F417" s="25" t="str">
        <x:v>机械设计工程技术人员</x:v>
      </x:c>
      <x:c r="G417" s="27" t="str">
        <x:v>IC02</x:v>
      </x:c>
      <x:c r="H417" s="25" t="str">
        <x:v>高端装备与智能制造产业链</x:v>
      </x:c>
      <x:c r="I417" s="25" t="str">
        <x:v>中游</x:v>
      </x:c>
      <x:c r="J417" s="27" t="str">
        <x:v>ICN005</x:v>
      </x:c>
      <x:c r="K417" s="25" t="str">
        <x:v>高端装备制造与激光加工</x:v>
      </x:c>
      <x:c r="L417" s="28" t="n">
        <x:v>77</x:v>
      </x:c>
      <x:c r="M417" s="25" t="str">
        <x:v>中</x:v>
      </x:c>
      <x:c r="N417" s="26" t="str">
        <x:v>机电、机械、机械设备、生产、工艺、自动化</x:v>
      </x:c>
      <x:c r="O417" s="26" t="str">
        <x:v>岗位名称/描述出现“机电、机械、机械设备”，工作环节更贴近“生产、工艺、自动化”，因此关联到该节点。</x:v>
      </x:c>
      <x:c r="P417" s="26" t="str">
        <x:v>自动通过</x:v>
      </x:c>
    </x:row>
    <x:row r="418" ht="44" customHeight="1">
      <x:c r="A418" s="27" t="str">
        <x:v>REL000415</x:v>
      </x:c>
      <x:c r="B418" s="25" t="n">
        <x:v>11538</x:v>
      </x:c>
      <x:c r="C418" s="27" t="str">
        <x:v>IC-L3-795</x:v>
      </x:c>
      <x:c r="D418" s="25" t="str">
        <x:v>材料工程师</x:v>
      </x:c>
      <x:c r="E418" s="27" t="str">
        <x:v>2-02-07-01</x:v>
      </x:c>
      <x:c r="F418" s="25" t="str">
        <x:v>机械设计工程技术人员</x:v>
      </x:c>
      <x:c r="G418" s="27" t="str">
        <x:v>IC12</x:v>
      </x:c>
      <x:c r="H418" s="25" t="str">
        <x:v>新材料产业链</x:v>
      </x:c>
      <x:c r="I418" s="25" t="str">
        <x:v>中游</x:v>
      </x:c>
      <x:c r="J418" s="27" t="str">
        <x:v>ICN035</x:v>
      </x:c>
      <x:c r="K418" s="25" t="str">
        <x:v>先进材料制备与加工</x:v>
      </x:c>
      <x:c r="L418" s="28" t="n">
        <x:v>70</x:v>
      </x:c>
      <x:c r="M418" s="25" t="str">
        <x:v>中</x:v>
      </x:c>
      <x:c r="N418" s="26" t="str">
        <x:v>材料工程、新材料、生产、制造</x:v>
      </x:c>
      <x:c r="O418" s="26" t="str">
        <x:v>岗位名称/描述出现“材料工程、新材料”，工作环节更贴近“生产、制造”，因此关联到该节点。</x:v>
      </x:c>
      <x:c r="P418" s="26" t="str">
        <x:v>自动通过</x:v>
      </x:c>
    </x:row>
    <x:row r="419" ht="44" customHeight="1">
      <x:c r="A419" s="27" t="str">
        <x:v>REL000416</x:v>
      </x:c>
      <x:c r="B419" s="25" t="n">
        <x:v>11539</x:v>
      </x:c>
      <x:c r="C419" s="27" t="str">
        <x:v>IC-L3-796</x:v>
      </x:c>
      <x:c r="D419" s="25" t="str">
        <x:v>模具工程师</x:v>
      </x:c>
      <x:c r="E419" s="27" t="str">
        <x:v>2-02-07-01</x:v>
      </x:c>
      <x:c r="F419" s="25" t="str">
        <x:v>机械设计工程技术人员</x:v>
      </x:c>
      <x:c r="G419" s="27" t="str">
        <x:v>IC02</x:v>
      </x:c>
      <x:c r="H419" s="25" t="str">
        <x:v>高端装备与智能制造产业链</x:v>
      </x:c>
      <x:c r="I419" s="25" t="str">
        <x:v>上游</x:v>
      </x:c>
      <x:c r="J419" s="27" t="str">
        <x:v>ICN004</x:v>
      </x:c>
      <x:c r="K419" s="25" t="str">
        <x:v>关键基础件与工业母机</x:v>
      </x:c>
      <x:c r="L419" s="28" t="n">
        <x:v>76</x:v>
      </x:c>
      <x:c r="M419" s="25" t="str">
        <x:v>中</x:v>
      </x:c>
      <x:c r="N419" s="26" t="str">
        <x:v>模具、机械、机械设计、研发</x:v>
      </x:c>
      <x:c r="O419" s="26" t="str">
        <x:v>岗位名称/描述出现“模具、机械”，工作环节更贴近“模具、机械设计、研发”，因此关联到该节点。</x:v>
      </x:c>
      <x:c r="P419" s="26" t="str">
        <x:v>自动通过</x:v>
      </x:c>
    </x:row>
    <x:row r="420" ht="44" customHeight="1">
      <x:c r="A420" s="27" t="str">
        <x:v>REL000417</x:v>
      </x:c>
      <x:c r="B420" s="25" t="n">
        <x:v>11540</x:v>
      </x:c>
      <x:c r="C420" s="27" t="str">
        <x:v>IC-L3-797</x:v>
      </x:c>
      <x:c r="D420" s="25" t="str">
        <x:v>模具设计</x:v>
      </x:c>
      <x:c r="E420" s="27" t="str">
        <x:v>2-02-07-01</x:v>
      </x:c>
      <x:c r="F420" s="25" t="str">
        <x:v>机械设计工程技术人员</x:v>
      </x:c>
      <x:c r="G420" s="27" t="str">
        <x:v>IC02</x:v>
      </x:c>
      <x:c r="H420" s="25" t="str">
        <x:v>高端装备与智能制造产业链</x:v>
      </x:c>
      <x:c r="I420" s="25" t="str">
        <x:v>上游</x:v>
      </x:c>
      <x:c r="J420" s="27" t="str">
        <x:v>ICN004</x:v>
      </x:c>
      <x:c r="K420" s="25" t="str">
        <x:v>关键基础件与工业母机</x:v>
      </x:c>
      <x:c r="L420" s="28" t="n">
        <x:v>79</x:v>
      </x:c>
      <x:c r="M420" s="25" t="str">
        <x:v>中</x:v>
      </x:c>
      <x:c r="N420" s="26" t="str">
        <x:v>模具、机械、机械设计、结构设计、研发</x:v>
      </x:c>
      <x:c r="O420" s="26" t="str">
        <x:v>岗位名称/描述出现“模具、机械”，工作环节更贴近“模具、机械设计、结构设计、研发”，因此关联到该节点。</x:v>
      </x:c>
      <x:c r="P420" s="26" t="str">
        <x:v>自动通过</x:v>
      </x:c>
    </x:row>
    <x:row r="421" ht="44" customHeight="1">
      <x:c r="A421" s="27" t="str">
        <x:v>REL000418</x:v>
      </x:c>
      <x:c r="B421" s="25" t="n">
        <x:v>11541</x:v>
      </x:c>
      <x:c r="C421" s="27" t="str">
        <x:v>IC-L3-798</x:v>
      </x:c>
      <x:c r="D421" s="25" t="str">
        <x:v>注塑工程师</x:v>
      </x:c>
      <x:c r="E421" s="27" t="str">
        <x:v>2-02-07-01</x:v>
      </x:c>
      <x:c r="F421" s="25" t="str">
        <x:v>机械设计工程技术人员</x:v>
      </x:c>
      <x:c r="G421" s="27" t="str">
        <x:v>IC02</x:v>
      </x:c>
      <x:c r="H421" s="25" t="str">
        <x:v>高端装备与智能制造产业链</x:v>
      </x:c>
      <x:c r="I421" s="25" t="str">
        <x:v>中游</x:v>
      </x:c>
      <x:c r="J421" s="27" t="str">
        <x:v>ICN005</x:v>
      </x:c>
      <x:c r="K421" s="25" t="str">
        <x:v>高端装备制造与激光加工</x:v>
      </x:c>
      <x:c r="L421" s="28" t="n">
        <x:v>74</x:v>
      </x:c>
      <x:c r="M421" s="25" t="str">
        <x:v>中</x:v>
      </x:c>
      <x:c r="N421" s="26" t="str">
        <x:v>注塑、机械、模具、生产、工艺</x:v>
      </x:c>
      <x:c r="O421" s="26" t="str">
        <x:v>岗位名称/描述出现“注塑、机械、模具”，工作环节更贴近“生产、工艺”，因此关联到该节点。</x:v>
      </x:c>
      <x:c r="P421" s="26" t="str">
        <x:v>自动通过</x:v>
      </x:c>
    </x:row>
    <x:row r="422" ht="44" customHeight="1">
      <x:c r="A422" s="27" t="str">
        <x:v>REL000419</x:v>
      </x:c>
      <x:c r="B422" s="25" t="n">
        <x:v>11543</x:v>
      </x:c>
      <x:c r="C422" s="27" t="str">
        <x:v>IC-L3-800</x:v>
      </x:c>
      <x:c r="D422" s="25" t="str">
        <x:v>焊接工程师</x:v>
      </x:c>
      <x:c r="E422" s="27" t="str">
        <x:v>2-02-07-01</x:v>
      </x:c>
      <x:c r="F422" s="25" t="str">
        <x:v>机械设计工程技术人员</x:v>
      </x:c>
      <x:c r="G422" s="27" t="str">
        <x:v>IC02</x:v>
      </x:c>
      <x:c r="H422" s="25" t="str">
        <x:v>高端装备与智能制造产业链</x:v>
      </x:c>
      <x:c r="I422" s="25" t="str">
        <x:v>中游</x:v>
      </x:c>
      <x:c r="J422" s="27" t="str">
        <x:v>ICN005</x:v>
      </x:c>
      <x:c r="K422" s="25" t="str">
        <x:v>高端装备制造与激光加工</x:v>
      </x:c>
      <x:c r="L422" s="28" t="n">
        <x:v>81</x:v>
      </x:c>
      <x:c r="M422" s="25" t="str">
        <x:v>中</x:v>
      </x:c>
      <x:c r="N422" s="26" t="str">
        <x:v>焊接、机械、生产、工艺</x:v>
      </x:c>
      <x:c r="O422" s="26" t="str">
        <x:v>岗位名称/描述出现“焊接、机械”，工作环节更贴近“焊接、生产、工艺”，因此关联到该节点。</x:v>
      </x:c>
      <x:c r="P422" s="26" t="str">
        <x:v>自动通过</x:v>
      </x:c>
    </x:row>
    <x:row r="423" ht="44" customHeight="1">
      <x:c r="A423" s="27" t="str">
        <x:v>REL000420</x:v>
      </x:c>
      <x:c r="B423" s="25" t="n">
        <x:v>11545</x:v>
      </x:c>
      <x:c r="C423" s="27" t="str">
        <x:v>IC-L3-802</x:v>
      </x:c>
      <x:c r="D423" s="25" t="str">
        <x:v>轨道交通工程师</x:v>
      </x:c>
      <x:c r="E423" s="27" t="str">
        <x:v>2-02-07-01</x:v>
      </x:c>
      <x:c r="F423" s="25" t="str">
        <x:v>机械设计工程技术人员</x:v>
      </x:c>
      <x:c r="G423" s="27" t="str">
        <x:v>IC03</x:v>
      </x:c>
      <x:c r="H423" s="25" t="str">
        <x:v>基础设施与城市建设产业链</x:v>
      </x:c>
      <x:c r="I423" s="25" t="str">
        <x:v>中游</x:v>
      </x:c>
      <x:c r="J423" s="27" t="str">
        <x:v>ICN008</x:v>
      </x:c>
      <x:c r="K423" s="25" t="str">
        <x:v>基础设施建设与房地产开发</x:v>
      </x:c>
      <x:c r="L423" s="28" t="n">
        <x:v>70</x:v>
      </x:c>
      <x:c r="M423" s="25" t="str">
        <x:v>中</x:v>
      </x:c>
      <x:c r="N423" s="26" t="str">
        <x:v>轨道交通、施工、工程项目</x:v>
      </x:c>
      <x:c r="O423" s="26" t="str">
        <x:v>岗位名称/描述出现“轨道交通、施工”，工作环节更贴近“施工、工程项目”，因此关联到该节点。</x:v>
      </x:c>
      <x:c r="P423" s="26" t="str">
        <x:v>自动通过</x:v>
      </x:c>
    </x:row>
    <x:row r="424" ht="44" customHeight="1">
      <x:c r="A424" s="27" t="str">
        <x:v>REL000421</x:v>
      </x:c>
      <x:c r="B424" s="25" t="n">
        <x:v>11547</x:v>
      </x:c>
      <x:c r="C424" s="27" t="str">
        <x:v>IC-L3-804</x:v>
      </x:c>
      <x:c r="D424" s="25" t="str">
        <x:v>飞机维修机械师</x:v>
      </x:c>
      <x:c r="E424" s="27" t="str">
        <x:v>2-02-07-01</x:v>
      </x:c>
      <x:c r="F424" s="25" t="str">
        <x:v>机械设计工程技术人员</x:v>
      </x:c>
      <x:c r="G424" s="27" t="str">
        <x:v>IC02</x:v>
      </x:c>
      <x:c r="H424" s="25" t="str">
        <x:v>高端装备与智能制造产业链</x:v>
      </x:c>
      <x:c r="I424" s="25" t="str">
        <x:v>中游</x:v>
      </x:c>
      <x:c r="J424" s="27" t="str">
        <x:v>ICN005</x:v>
      </x:c>
      <x:c r="K424" s="25" t="str">
        <x:v>高端装备制造与激光加工</x:v>
      </x:c>
      <x:c r="L424" s="28" t="n">
        <x:v>71</x:v>
      </x:c>
      <x:c r="M424" s="25" t="str">
        <x:v>中</x:v>
      </x:c>
      <x:c r="N424" s="26" t="str">
        <x:v>机械、生产</x:v>
      </x:c>
      <x:c r="O424" s="26" t="str">
        <x:v>岗位名称/描述出现“机械”，工作环节更贴近“生产”，因此关联到该节点。</x:v>
      </x:c>
      <x:c r="P424" s="26" t="str">
        <x:v>自动通过</x:v>
      </x:c>
    </x:row>
    <x:row r="425" ht="44" customHeight="1">
      <x:c r="A425" s="27" t="str">
        <x:v>REL000422</x:v>
      </x:c>
      <x:c r="B425" s="25" t="n">
        <x:v>11548</x:v>
      </x:c>
      <x:c r="C425" s="27" t="str">
        <x:v>IC-L3-805</x:v>
      </x:c>
      <x:c r="D425" s="25" t="str">
        <x:v>飞行器设计与制造</x:v>
      </x:c>
      <x:c r="E425" s="27" t="str">
        <x:v>2-02-07-01</x:v>
      </x:c>
      <x:c r="F425" s="25" t="str">
        <x:v>机械设计工程技术人员</x:v>
      </x:c>
      <x:c r="G425" s="27" t="str">
        <x:v>IC13</x:v>
      </x:c>
      <x:c r="H425" s="25" t="str">
        <x:v>空天装备与低空经济产业链</x:v>
      </x:c>
      <x:c r="I425" s="25" t="str">
        <x:v>上游</x:v>
      </x:c>
      <x:c r="J425" s="27" t="str">
        <x:v>ICN037</x:v>
      </x:c>
      <x:c r="K425" s="25" t="str">
        <x:v>航空航天材料、零部件与核心系统</x:v>
      </x:c>
      <x:c r="L425" s="28" t="n">
        <x:v>90</x:v>
      </x:c>
      <x:c r="M425" s="25" t="str">
        <x:v>高</x:v>
      </x:c>
      <x:c r="N425" s="26" t="str">
        <x:v>飞行器、飞行、航空、设计、研发</x:v>
      </x:c>
      <x:c r="O425" s="26" t="str">
        <x:v>岗位名称/描述出现“飞行器、飞行、航空”，工作环节更贴近“设计、研发”，因此关联到该节点。</x:v>
      </x:c>
      <x:c r="P425" s="26" t="str">
        <x:v>自动通过</x:v>
      </x:c>
    </x:row>
    <x:row r="426" ht="44" customHeight="1">
      <x:c r="A426" s="27" t="str">
        <x:v>REL000423</x:v>
      </x:c>
      <x:c r="B426" s="25" t="n">
        <x:v>11552</x:v>
      </x:c>
      <x:c r="C426" s="27" t="str">
        <x:v>IC-L3-809</x:v>
      </x:c>
      <x:c r="D426" s="25" t="str">
        <x:v>电气工程师</x:v>
      </x:c>
      <x:c r="E426" s="27" t="str">
        <x:v>2-02-07-01</x:v>
      </x:c>
      <x:c r="F426" s="25" t="str">
        <x:v>机械设计工程技术人员</x:v>
      </x:c>
      <x:c r="G426" s="27" t="str">
        <x:v>IC05</x:v>
      </x:c>
      <x:c r="H426" s="25" t="str">
        <x:v>新能源与电力装备产业链</x:v>
      </x:c>
      <x:c r="I426" s="25" t="str">
        <x:v>中游</x:v>
      </x:c>
      <x:c r="J426" s="27" t="str">
        <x:v>ICN014</x:v>
      </x:c>
      <x:c r="K426" s="25" t="str">
        <x:v>发电、储能与输配电装备</x:v>
      </x:c>
      <x:c r="L426" s="28" t="n">
        <x:v>70</x:v>
      </x:c>
      <x:c r="M426" s="25" t="str">
        <x:v>中</x:v>
      </x:c>
      <x:c r="N426" s="26" t="str">
        <x:v>电气工程、配电、调试</x:v>
      </x:c>
      <x:c r="O426" s="26" t="str">
        <x:v>岗位名称/描述出现“电气工程、配电”，工作环节更贴近“配电、调试”，因此关联到该节点。</x:v>
      </x:c>
      <x:c r="P426" s="26" t="str">
        <x:v>自动通过</x:v>
      </x:c>
    </x:row>
    <x:row r="427" ht="44" customHeight="1">
      <x:c r="A427" s="27" t="str">
        <x:v>REL000424</x:v>
      </x:c>
      <x:c r="B427" s="25" t="n">
        <x:v>11553</x:v>
      </x:c>
      <x:c r="C427" s="27" t="str">
        <x:v>IC-L3-810</x:v>
      </x:c>
      <x:c r="D427" s="25" t="str">
        <x:v>电子工程师</x:v>
      </x:c>
      <x:c r="E427" s="27" t="str">
        <x:v>2-02-09-02</x:v>
      </x:c>
      <x:c r="F427" s="25" t="str">
        <x:v>电子元器件工程技术人员</x:v>
      </x:c>
      <x:c r="G427" s="27" t="str">
        <x:v>IC06</x:v>
      </x:c>
      <x:c r="H427" s="25" t="str">
        <x:v>智能物联与消费电子产业链</x:v>
      </x:c>
      <x:c r="I427" s="25" t="str">
        <x:v>上游</x:v>
      </x:c>
      <x:c r="J427" s="27" t="str">
        <x:v>ICN016</x:v>
      </x:c>
      <x:c r="K427" s="25" t="str">
        <x:v>传感器、芯片模组与基础器件</x:v>
      </x:c>
      <x:c r="L427" s="28" t="n">
        <x:v>65</x:v>
      </x:c>
      <x:c r="M427" s="25" t="str">
        <x:v>低</x:v>
      </x:c>
      <x:c r="N427" s="26" t="str">
        <x:v>电子元器件、嵌入式、pcb、电子产品、电路设计、元器件、电路</x:v>
      </x:c>
      <x:c r="O427" s="26" t="str">
        <x:v>岗位名称/描述出现“电子元器件、嵌入式、pcb、电子产品、电路设计”，工作环节更贴近“元器件、pcb、电路、嵌入式”，因此关联到该节点。</x:v>
      </x:c>
      <x:c r="P427" s="26" t="str">
        <x:v>建议复核</x:v>
      </x:c>
    </x:row>
    <x:row r="428" ht="44" customHeight="1">
      <x:c r="A428" s="27" t="str">
        <x:v>REL000425</x:v>
      </x:c>
      <x:c r="B428" s="25" t="n">
        <x:v>11557</x:v>
      </x:c>
      <x:c r="C428" s="27" t="str">
        <x:v>IC-L3-814</x:v>
      </x:c>
      <x:c r="D428" s="25" t="str">
        <x:v>智能驾驶工程师</x:v>
      </x:c>
      <x:c r="E428" s="27" t="str">
        <x:v>2-02-38-01</x:v>
      </x:c>
      <x:c r="F428" s="25" t="str">
        <x:v>人工智能工程技术人员</x:v>
      </x:c>
      <x:c r="G428" s="27" t="str">
        <x:v>IC15</x:v>
      </x:c>
      <x:c r="H428" s="25" t="str">
        <x:v>人工智能产业链</x:v>
      </x:c>
      <x:c r="I428" s="25" t="str">
        <x:v>下游</x:v>
      </x:c>
      <x:c r="J428" s="27" t="str">
        <x:v>ICN045</x:v>
      </x:c>
      <x:c r="K428" s="25" t="str">
        <x:v>行业智能化应用与AI服务</x:v>
      </x:c>
      <x:c r="L428" s="28" t="n">
        <x:v>75</x:v>
      </x:c>
      <x:c r="M428" s="25" t="str">
        <x:v>中</x:v>
      </x:c>
      <x:c r="N428" s="26" t="str">
        <x:v>智能驾驶、人工智能</x:v>
      </x:c>
      <x:c r="O428" s="26" t="str">
        <x:v>岗位名称/描述出现“智能驾驶、人工智能”，工作环节更贴近“智能驾驶”，因此关联到该节点。</x:v>
      </x:c>
      <x:c r="P428" s="26" t="str">
        <x:v>自动通过</x:v>
      </x:c>
    </x:row>
    <x:row r="429" ht="44" customHeight="1">
      <x:c r="A429" s="27" t="str">
        <x:v>REL000426</x:v>
      </x:c>
      <x:c r="B429" s="25" t="n">
        <x:v>11557</x:v>
      </x:c>
      <x:c r="C429" s="27" t="str">
        <x:v>IC-L3-814</x:v>
      </x:c>
      <x:c r="D429" s="25" t="str">
        <x:v>智能驾驶工程师</x:v>
      </x:c>
      <x:c r="E429" s="27" t="str">
        <x:v>2-02-38-01</x:v>
      </x:c>
      <x:c r="F429" s="25" t="str">
        <x:v>人工智能工程技术人员</x:v>
      </x:c>
      <x:c r="G429" s="27" t="str">
        <x:v>IC08</x:v>
      </x:c>
      <x:c r="H429" s="25" t="str">
        <x:v>汽车与智能网联汽车产业链</x:v>
      </x:c>
      <x:c r="I429" s="25" t="str">
        <x:v>下游</x:v>
      </x:c>
      <x:c r="J429" s="27" t="str">
        <x:v>ICN024</x:v>
      </x:c>
      <x:c r="K429" s="25" t="str">
        <x:v>出行服务、后市场与自动驾驶应用</x:v>
      </x:c>
      <x:c r="L429" s="28" t="n">
        <x:v>73</x:v>
      </x:c>
      <x:c r="M429" s="25" t="str">
        <x:v>中</x:v>
      </x:c>
      <x:c r="N429" s="26" t="str">
        <x:v>智能驾驶、自动驾驶</x:v>
      </x:c>
      <x:c r="O429" s="26" t="str">
        <x:v>岗位名称/描述出现“智能驾驶、自动驾驶”，工作环节更贴近“智能驾驶”，因此关联到该节点。</x:v>
      </x:c>
      <x:c r="P429" s="26" t="str">
        <x:v>自动通过</x:v>
      </x:c>
    </x:row>
    <x:row r="430" ht="44" customHeight="1">
      <x:c r="A430" s="27" t="str">
        <x:v>REL000427</x:v>
      </x:c>
      <x:c r="B430" s="25" t="n">
        <x:v>11558</x:v>
      </x:c>
      <x:c r="C430" s="27" t="str">
        <x:v>IC-L3-815</x:v>
      </x:c>
      <x:c r="D430" s="25" t="str">
        <x:v>机器人调试工程师</x:v>
      </x:c>
      <x:c r="E430" s="27" t="str">
        <x:v>2-02-07-01</x:v>
      </x:c>
      <x:c r="F430" s="25" t="str">
        <x:v>机械设计工程技术人员</x:v>
      </x:c>
      <x:c r="G430" s="27" t="str">
        <x:v>IC14</x:v>
      </x:c>
      <x:c r="H430" s="25" t="str">
        <x:v>机器人产业链</x:v>
      </x:c>
      <x:c r="I430" s="25" t="str">
        <x:v>中游</x:v>
      </x:c>
      <x:c r="J430" s="27" t="str">
        <x:v>ICN041</x:v>
      </x:c>
      <x:c r="K430" s="25" t="str">
        <x:v>机器人本体制造与系统集成</x:v>
      </x:c>
      <x:c r="L430" s="28" t="n">
        <x:v>75</x:v>
      </x:c>
      <x:c r="M430" s="25" t="str">
        <x:v>中</x:v>
      </x:c>
      <x:c r="N430" s="26" t="str">
        <x:v>机器人、工业机器人、调试</x:v>
      </x:c>
      <x:c r="O430" s="26" t="str">
        <x:v>岗位名称/描述出现“机器人、工业机器人”，工作环节更贴近“调试”，因此关联到该节点。</x:v>
      </x:c>
      <x:c r="P430" s="26" t="str">
        <x:v>自动通过</x:v>
      </x:c>
    </x:row>
    <x:row r="431" ht="44" customHeight="1">
      <x:c r="A431" s="27" t="str">
        <x:v>REL000428</x:v>
      </x:c>
      <x:c r="B431" s="25" t="n">
        <x:v>11560</x:v>
      </x:c>
      <x:c r="C431" s="27" t="str">
        <x:v>IC-L3-817</x:v>
      </x:c>
      <x:c r="D431" s="25" t="str">
        <x:v>仪表工</x:v>
      </x:c>
      <x:c r="E431" s="27" t="str">
        <x:v>6-31-01-01</x:v>
      </x:c>
      <x:c r="F431" s="25" t="str">
        <x:v>设备点检员</x:v>
      </x:c>
      <x:c r="G431" s="27" t="str">
        <x:v>IC02</x:v>
      </x:c>
      <x:c r="H431" s="25" t="str">
        <x:v>高端装备与智能制造产业链</x:v>
      </x:c>
      <x:c r="I431" s="25" t="str">
        <x:v>中游</x:v>
      </x:c>
      <x:c r="J431" s="27" t="str">
        <x:v>ICN005</x:v>
      </x:c>
      <x:c r="K431" s="25" t="str">
        <x:v>高端装备制造与激光加工</x:v>
      </x:c>
      <x:c r="L431" s="28" t="n">
        <x:v>72</x:v>
      </x:c>
      <x:c r="M431" s="25" t="str">
        <x:v>中</x:v>
      </x:c>
      <x:c r="N431" s="26" t="str">
        <x:v>仪表工、设备点检、生产、工艺</x:v>
      </x:c>
      <x:c r="O431" s="26" t="str">
        <x:v>岗位名称/描述出现“仪表工、设备点检”，工作环节更贴近“生产、工艺”，因此关联到该节点。</x:v>
      </x:c>
      <x:c r="P431" s="26" t="str">
        <x:v>自动通过</x:v>
      </x:c>
    </x:row>
    <x:row r="432" ht="44" customHeight="1">
      <x:c r="A432" s="27" t="str">
        <x:v>REL000429</x:v>
      </x:c>
      <x:c r="B432" s="25" t="n">
        <x:v>11560</x:v>
      </x:c>
      <x:c r="C432" s="27" t="str">
        <x:v>IC-L3-817</x:v>
      </x:c>
      <x:c r="D432" s="25" t="str">
        <x:v>仪表工</x:v>
      </x:c>
      <x:c r="E432" s="27" t="str">
        <x:v>6-31-01-01</x:v>
      </x:c>
      <x:c r="F432" s="25" t="str">
        <x:v>设备点检员</x:v>
      </x:c>
      <x:c r="G432" s="27" t="str">
        <x:v>IC06</x:v>
      </x:c>
      <x:c r="H432" s="25" t="str">
        <x:v>智能物联与消费电子产业链</x:v>
      </x:c>
      <x:c r="I432" s="25" t="str">
        <x:v>上游</x:v>
      </x:c>
      <x:c r="J432" s="27" t="str">
        <x:v>ICN016</x:v>
      </x:c>
      <x:c r="K432" s="25" t="str">
        <x:v>传感器、芯片模组与基础器件</x:v>
      </x:c>
      <x:c r="L432" s="28" t="n">
        <x:v>68</x:v>
      </x:c>
      <x:c r="M432" s="25" t="str">
        <x:v>中</x:v>
      </x:c>
      <x:c r="N432" s="26" t="str">
        <x:v>仪表、仪器</x:v>
      </x:c>
      <x:c r="O432" s="26" t="str">
        <x:v>岗位名称/描述出现“仪表、仪器”，工作环节更贴近“上游”，因此关联到该节点。</x:v>
      </x:c>
      <x:c r="P432" s="26" t="str">
        <x:v>自动通过</x:v>
      </x:c>
    </x:row>
    <x:row r="433" ht="44" customHeight="1">
      <x:c r="A433" s="27" t="str">
        <x:v>REL000430</x:v>
      </x:c>
      <x:c r="B433" s="25" t="n">
        <x:v>11561</x:v>
      </x:c>
      <x:c r="C433" s="27" t="str">
        <x:v>IC-L3-818</x:v>
      </x:c>
      <x:c r="D433" s="25" t="str">
        <x:v>木工</x:v>
      </x:c>
      <x:c r="E433" s="27" t="str">
        <x:v>6-31-01-01</x:v>
      </x:c>
      <x:c r="F433" s="25" t="str">
        <x:v>设备点检员</x:v>
      </x:c>
      <x:c r="G433" s="27" t="str">
        <x:v>IC02</x:v>
      </x:c>
      <x:c r="H433" s="25" t="str">
        <x:v>高端装备与智能制造产业链</x:v>
      </x:c>
      <x:c r="I433" s="25" t="str">
        <x:v>中游</x:v>
      </x:c>
      <x:c r="J433" s="27" t="str">
        <x:v>ICN005</x:v>
      </x:c>
      <x:c r="K433" s="25" t="str">
        <x:v>高端装备制造与激光加工</x:v>
      </x:c>
      <x:c r="L433" s="28" t="n">
        <x:v>60</x:v>
      </x:c>
      <x:c r="M433" s="25" t="str">
        <x:v>低</x:v>
      </x:c>
      <x:c r="N433" s="26" t="str">
        <x:v>设备点检、机械、机械设备、生产、工艺</x:v>
      </x:c>
      <x:c r="O433" s="26" t="str">
        <x:v>岗位名称/描述出现“设备点检、机械、机械设备”，工作环节更贴近“生产、工艺”，因此关联到该节点。</x:v>
      </x:c>
      <x:c r="P433" s="26" t="str">
        <x:v>建议复核</x:v>
      </x:c>
    </x:row>
    <x:row r="434" ht="44" customHeight="1">
      <x:c r="A434" s="27" t="str">
        <x:v>REL000431</x:v>
      </x:c>
      <x:c r="B434" s="25" t="n">
        <x:v>11562</x:v>
      </x:c>
      <x:c r="C434" s="27" t="str">
        <x:v>IC-L3-819</x:v>
      </x:c>
      <x:c r="D434" s="25" t="str">
        <x:v>机修工</x:v>
      </x:c>
      <x:c r="E434" s="27" t="str">
        <x:v>6-31-01-01</x:v>
      </x:c>
      <x:c r="F434" s="25" t="str">
        <x:v>设备点检员</x:v>
      </x:c>
      <x:c r="G434" s="27" t="str">
        <x:v>IC02</x:v>
      </x:c>
      <x:c r="H434" s="25" t="str">
        <x:v>高端装备与智能制造产业链</x:v>
      </x:c>
      <x:c r="I434" s="25" t="str">
        <x:v>中游</x:v>
      </x:c>
      <x:c r="J434" s="27" t="str">
        <x:v>ICN005</x:v>
      </x:c>
      <x:c r="K434" s="25" t="str">
        <x:v>高端装备制造与激光加工</x:v>
      </x:c>
      <x:c r="L434" s="28" t="n">
        <x:v>75</x:v>
      </x:c>
      <x:c r="M434" s="25" t="str">
        <x:v>中</x:v>
      </x:c>
      <x:c r="N434" s="26" t="str">
        <x:v>机修、设备点检、机械、机械设备、生产</x:v>
      </x:c>
      <x:c r="O434" s="26" t="str">
        <x:v>岗位名称/描述出现“机修、设备点检、机械、机械设备”，工作环节更贴近“生产”，因此关联到该节点。</x:v>
      </x:c>
      <x:c r="P434" s="26" t="str">
        <x:v>自动通过</x:v>
      </x:c>
    </x:row>
    <x:row r="435" ht="44" customHeight="1">
      <x:c r="A435" s="27" t="str">
        <x:v>REL000432</x:v>
      </x:c>
      <x:c r="B435" s="25" t="n">
        <x:v>11563</x:v>
      </x:c>
      <x:c r="C435" s="27" t="str">
        <x:v>IC-L3-820</x:v>
      </x:c>
      <x:c r="D435" s="25" t="str">
        <x:v>水工</x:v>
      </x:c>
      <x:c r="E435" s="27" t="str">
        <x:v>6-31-01-01</x:v>
      </x:c>
      <x:c r="F435" s="25" t="str">
        <x:v>设备点检员</x:v>
      </x:c>
      <x:c r="G435" s="27" t="str">
        <x:v>IC11</x:v>
      </x:c>
      <x:c r="H435" s="25" t="str">
        <x:v>绿色环保与资源循环产业链</x:v>
      </x:c>
      <x:c r="I435" s="25" t="str">
        <x:v>中游</x:v>
      </x:c>
      <x:c r="J435" s="27" t="str">
        <x:v>ICN032</x:v>
      </x:c>
      <x:c r="K435" s="25" t="str">
        <x:v>污染治理与节能降碳服务</x:v>
      </x:c>
      <x:c r="L435" s="28" t="n">
        <x:v>56</x:v>
      </x:c>
      <x:c r="M435" s="25" t="str">
        <x:v>低</x:v>
      </x:c>
      <x:c r="N435" s="26" t="str">
        <x:v>环保、废水、资源循环</x:v>
      </x:c>
      <x:c r="O435" s="26" t="str">
        <x:v>岗位名称/描述出现“环保、废水、资源循环”，工作环节更贴近“中游”，因此关联到该节点。</x:v>
      </x:c>
      <x:c r="P435" s="26" t="str">
        <x:v>建议复核</x:v>
      </x:c>
    </x:row>
    <x:row r="436" ht="44" customHeight="1">
      <x:c r="A436" s="27" t="str">
        <x:v>REL000433</x:v>
      </x:c>
      <x:c r="B436" s="25" t="n">
        <x:v>11565</x:v>
      </x:c>
      <x:c r="C436" s="27" t="str">
        <x:v>IC-L3-822</x:v>
      </x:c>
      <x:c r="D436" s="25" t="str">
        <x:v>电梯工</x:v>
      </x:c>
      <x:c r="E436" s="27" t="str">
        <x:v>6-31-01-01</x:v>
      </x:c>
      <x:c r="F436" s="25" t="str">
        <x:v>设备点检员</x:v>
      </x:c>
      <x:c r="G436" s="27" t="str">
        <x:v>IC02</x:v>
      </x:c>
      <x:c r="H436" s="25" t="str">
        <x:v>高端装备与智能制造产业链</x:v>
      </x:c>
      <x:c r="I436" s="25" t="str">
        <x:v>中游</x:v>
      </x:c>
      <x:c r="J436" s="27" t="str">
        <x:v>ICN005</x:v>
      </x:c>
      <x:c r="K436" s="25" t="str">
        <x:v>高端装备制造与激光加工</x:v>
      </x:c>
      <x:c r="L436" s="28" t="n">
        <x:v>71</x:v>
      </x:c>
      <x:c r="M436" s="25" t="str">
        <x:v>中</x:v>
      </x:c>
      <x:c r="N436" s="26" t="str">
        <x:v>电梯工、设备点检、生产</x:v>
      </x:c>
      <x:c r="O436" s="26" t="str">
        <x:v>岗位名称/描述出现“电梯工、设备点检”，工作环节更贴近“生产”，因此关联到该节点。</x:v>
      </x:c>
      <x:c r="P436" s="26" t="str">
        <x:v>自动通过</x:v>
      </x:c>
    </x:row>
    <x:row r="437" ht="44" customHeight="1">
      <x:c r="A437" s="27" t="str">
        <x:v>REL000434</x:v>
      </x:c>
      <x:c r="B437" s="25" t="n">
        <x:v>11566</x:v>
      </x:c>
      <x:c r="C437" s="27" t="str">
        <x:v>IC-L3-823</x:v>
      </x:c>
      <x:c r="D437" s="25" t="str">
        <x:v>钳工</x:v>
      </x:c>
      <x:c r="E437" s="27" t="str">
        <x:v>6-31-01-01</x:v>
      </x:c>
      <x:c r="F437" s="25" t="str">
        <x:v>设备点检员</x:v>
      </x:c>
      <x:c r="G437" s="27" t="str">
        <x:v>IC02</x:v>
      </x:c>
      <x:c r="H437" s="25" t="str">
        <x:v>高端装备与智能制造产业链</x:v>
      </x:c>
      <x:c r="I437" s="25" t="str">
        <x:v>中游</x:v>
      </x:c>
      <x:c r="J437" s="27" t="str">
        <x:v>ICN005</x:v>
      </x:c>
      <x:c r="K437" s="25" t="str">
        <x:v>高端装备制造与激光加工</x:v>
      </x:c>
      <x:c r="L437" s="28" t="n">
        <x:v>78</x:v>
      </x:c>
      <x:c r="M437" s="25" t="str">
        <x:v>中</x:v>
      </x:c>
      <x:c r="N437" s="26" t="str">
        <x:v>钳工、设备点检、机械、装配、机械设备、工艺</x:v>
      </x:c>
      <x:c r="O437" s="26" t="str">
        <x:v>岗位名称/描述出现“钳工、设备点检、机械、装配、机械设备”，工作环节更贴近“装配、工艺”，因此关联到该节点。</x:v>
      </x:c>
      <x:c r="P437" s="26" t="str">
        <x:v>自动通过</x:v>
      </x:c>
    </x:row>
    <x:row r="438" ht="44" customHeight="1">
      <x:c r="A438" s="27" t="str">
        <x:v>REL000435</x:v>
      </x:c>
      <x:c r="B438" s="25" t="n">
        <x:v>11568</x:v>
      </x:c>
      <x:c r="C438" s="27" t="str">
        <x:v>IC-L3-825</x:v>
      </x:c>
      <x:c r="D438" s="25" t="str">
        <x:v>模具工程师</x:v>
      </x:c>
      <x:c r="E438" s="27" t="str">
        <x:v>6-31-01-01</x:v>
      </x:c>
      <x:c r="F438" s="25" t="str">
        <x:v>设备点检员</x:v>
      </x:c>
      <x:c r="G438" s="27" t="str">
        <x:v>IC02</x:v>
      </x:c>
      <x:c r="H438" s="25" t="str">
        <x:v>高端装备与智能制造产业链</x:v>
      </x:c>
      <x:c r="I438" s="25" t="str">
        <x:v>上游</x:v>
      </x:c>
      <x:c r="J438" s="27" t="str">
        <x:v>ICN004</x:v>
      </x:c>
      <x:c r="K438" s="25" t="str">
        <x:v>关键基础件与工业母机</x:v>
      </x:c>
      <x:c r="L438" s="28" t="n">
        <x:v>76</x:v>
      </x:c>
      <x:c r="M438" s="25" t="str">
        <x:v>中</x:v>
      </x:c>
      <x:c r="N438" s="26" t="str">
        <x:v>模具、设备点检、结构设计</x:v>
      </x:c>
      <x:c r="O438" s="26" t="str">
        <x:v>岗位名称/描述出现“模具、设备点检”，工作环节更贴近“模具、结构设计”，因此关联到该节点。</x:v>
      </x:c>
      <x:c r="P438" s="26" t="str">
        <x:v>自动通过</x:v>
      </x:c>
    </x:row>
    <x:row r="439" ht="44" customHeight="1">
      <x:c r="A439" s="27" t="str">
        <x:v>REL000436</x:v>
      </x:c>
      <x:c r="B439" s="25" t="n">
        <x:v>11569</x:v>
      </x:c>
      <x:c r="C439" s="27" t="str">
        <x:v>IC-L3-826</x:v>
      </x:c>
      <x:c r="D439" s="25" t="str">
        <x:v>焊接工程师</x:v>
      </x:c>
      <x:c r="E439" s="27" t="str">
        <x:v>6-31-01-01</x:v>
      </x:c>
      <x:c r="F439" s="25" t="str">
        <x:v>设备点检员</x:v>
      </x:c>
      <x:c r="G439" s="27" t="str">
        <x:v>IC02</x:v>
      </x:c>
      <x:c r="H439" s="25" t="str">
        <x:v>高端装备与智能制造产业链</x:v>
      </x:c>
      <x:c r="I439" s="25" t="str">
        <x:v>中游</x:v>
      </x:c>
      <x:c r="J439" s="27" t="str">
        <x:v>ICN005</x:v>
      </x:c>
      <x:c r="K439" s="25" t="str">
        <x:v>高端装备制造与激光加工</x:v>
      </x:c>
      <x:c r="L439" s="28" t="n">
        <x:v>79</x:v>
      </x:c>
      <x:c r="M439" s="25" t="str">
        <x:v>中</x:v>
      </x:c>
      <x:c r="N439" s="26" t="str">
        <x:v>焊接、设备点检、生产、工艺</x:v>
      </x:c>
      <x:c r="O439" s="26" t="str">
        <x:v>岗位名称/描述出现“焊接、设备点检”，工作环节更贴近“焊接、生产、工艺”，因此关联到该节点。</x:v>
      </x:c>
      <x:c r="P439" s="26" t="str">
        <x:v>自动通过</x:v>
      </x:c>
    </x:row>
    <x:row r="440" ht="44" customHeight="1">
      <x:c r="A440" s="27" t="str">
        <x:v>REL000437</x:v>
      </x:c>
      <x:c r="B440" s="25" t="n">
        <x:v>11570</x:v>
      </x:c>
      <x:c r="C440" s="27" t="str">
        <x:v>IC-L3-827</x:v>
      </x:c>
      <x:c r="D440" s="25" t="str">
        <x:v>冲压工程师</x:v>
      </x:c>
      <x:c r="E440" s="27" t="str">
        <x:v>6-31-01-01</x:v>
      </x:c>
      <x:c r="F440" s="25" t="str">
        <x:v>设备点检员</x:v>
      </x:c>
      <x:c r="G440" s="27" t="str">
        <x:v>IC02</x:v>
      </x:c>
      <x:c r="H440" s="25" t="str">
        <x:v>高端装备与智能制造产业链</x:v>
      </x:c>
      <x:c r="I440" s="25" t="str">
        <x:v>中游</x:v>
      </x:c>
      <x:c r="J440" s="27" t="str">
        <x:v>ICN005</x:v>
      </x:c>
      <x:c r="K440" s="25" t="str">
        <x:v>高端装备制造与激光加工</x:v>
      </x:c>
      <x:c r="L440" s="28" t="n">
        <x:v>74</x:v>
      </x:c>
      <x:c r="M440" s="25" t="str">
        <x:v>中</x:v>
      </x:c>
      <x:c r="N440" s="26" t="str">
        <x:v>冲压、设备点检、模具、生产、工艺</x:v>
      </x:c>
      <x:c r="O440" s="26" t="str">
        <x:v>岗位名称/描述出现“冲压、设备点检、模具”，工作环节更贴近“生产、工艺”，因此关联到该节点。</x:v>
      </x:c>
      <x:c r="P440" s="26" t="str">
        <x:v>自动通过</x:v>
      </x:c>
    </x:row>
    <x:row r="441" ht="44" customHeight="1">
      <x:c r="A441" s="27" t="str">
        <x:v>REL000438</x:v>
      </x:c>
      <x:c r="B441" s="25" t="n">
        <x:v>11571</x:v>
      </x:c>
      <x:c r="C441" s="27" t="str">
        <x:v>IC-L3-828</x:v>
      </x:c>
      <x:c r="D441" s="25" t="str">
        <x:v>注塑工程师</x:v>
      </x:c>
      <x:c r="E441" s="27" t="str">
        <x:v>6-31-01-01</x:v>
      </x:c>
      <x:c r="F441" s="25" t="str">
        <x:v>设备点检员</x:v>
      </x:c>
      <x:c r="G441" s="27" t="str">
        <x:v>IC02</x:v>
      </x:c>
      <x:c r="H441" s="25" t="str">
        <x:v>高端装备与智能制造产业链</x:v>
      </x:c>
      <x:c r="I441" s="25" t="str">
        <x:v>中游</x:v>
      </x:c>
      <x:c r="J441" s="27" t="str">
        <x:v>ICN005</x:v>
      </x:c>
      <x:c r="K441" s="25" t="str">
        <x:v>高端装备制造与激光加工</x:v>
      </x:c>
      <x:c r="L441" s="28" t="n">
        <x:v>74</x:v>
      </x:c>
      <x:c r="M441" s="25" t="str">
        <x:v>中</x:v>
      </x:c>
      <x:c r="N441" s="26" t="str">
        <x:v>注塑、设备点检、模具、生产、工艺</x:v>
      </x:c>
      <x:c r="O441" s="26" t="str">
        <x:v>岗位名称/描述出现“注塑、设备点检、模具”，工作环节更贴近“生产、工艺”，因此关联到该节点。</x:v>
      </x:c>
      <x:c r="P441" s="26" t="str">
        <x:v>自动通过</x:v>
      </x:c>
    </x:row>
    <x:row r="442" ht="44" customHeight="1">
      <x:c r="A442" s="27" t="str">
        <x:v>REL000439</x:v>
      </x:c>
      <x:c r="B442" s="25" t="n">
        <x:v>11572</x:v>
      </x:c>
      <x:c r="C442" s="27" t="str">
        <x:v>IC-L3-829</x:v>
      </x:c>
      <x:c r="D442" s="25" t="str">
        <x:v>射频工程师</x:v>
      </x:c>
      <x:c r="E442" s="27" t="str">
        <x:v>6-31-01-01</x:v>
      </x:c>
      <x:c r="F442" s="25" t="str">
        <x:v>设备点检员</x:v>
      </x:c>
      <x:c r="G442" s="27" t="str">
        <x:v>IC16</x:v>
      </x:c>
      <x:c r="H442" s="25" t="str">
        <x:v>半导体与集成电路产业链</x:v>
      </x:c>
      <x:c r="I442" s="25" t="str">
        <x:v>中游</x:v>
      </x:c>
      <x:c r="J442" s="27" t="str">
        <x:v>ICN047</x:v>
      </x:c>
      <x:c r="K442" s="25" t="str">
        <x:v>芯片设计、制造、封测与集成电路</x:v>
      </x:c>
      <x:c r="L442" s="28" t="n">
        <x:v>67</x:v>
      </x:c>
      <x:c r="M442" s="25" t="str">
        <x:v>低</x:v>
      </x:c>
      <x:c r="N442" s="26" t="str">
        <x:v>射频、测试</x:v>
      </x:c>
      <x:c r="O442" s="26" t="str">
        <x:v>岗位名称/描述出现“射频”，工作环节更贴近“测试”，因此关联到该节点。</x:v>
      </x:c>
      <x:c r="P442" s="26" t="str">
        <x:v>建议复核</x:v>
      </x:c>
    </x:row>
    <x:row r="443" ht="44" customHeight="1">
      <x:c r="A443" s="27" t="str">
        <x:v>REL000440</x:v>
      </x:c>
      <x:c r="B443" s="25" t="n">
        <x:v>11573</x:v>
      </x:c>
      <x:c r="C443" s="27" t="str">
        <x:v>IC-L3-830</x:v>
      </x:c>
      <x:c r="D443" s="25" t="str">
        <x:v>铣工</x:v>
      </x:c>
      <x:c r="E443" s="27" t="str">
        <x:v>6-31-01-01</x:v>
      </x:c>
      <x:c r="F443" s="25" t="str">
        <x:v>设备点检员</x:v>
      </x:c>
      <x:c r="G443" s="27" t="str">
        <x:v>IC02</x:v>
      </x:c>
      <x:c r="H443" s="25" t="str">
        <x:v>高端装备与智能制造产业链</x:v>
      </x:c>
      <x:c r="I443" s="25" t="str">
        <x:v>中游</x:v>
      </x:c>
      <x:c r="J443" s="27" t="str">
        <x:v>ICN005</x:v>
      </x:c>
      <x:c r="K443" s="25" t="str">
        <x:v>高端装备制造与激光加工</x:v>
      </x:c>
      <x:c r="L443" s="28" t="n">
        <x:v>72</x:v>
      </x:c>
      <x:c r="M443" s="25" t="str">
        <x:v>中</x:v>
      </x:c>
      <x:c r="N443" s="26" t="str">
        <x:v>铣工、设备点检、生产、工艺</x:v>
      </x:c>
      <x:c r="O443" s="26" t="str">
        <x:v>岗位名称/描述出现“铣工、设备点检”，工作环节更贴近“生产、工艺”，因此关联到该节点。</x:v>
      </x:c>
      <x:c r="P443" s="26" t="str">
        <x:v>自动通过</x:v>
      </x:c>
    </x:row>
    <x:row r="444" ht="44" customHeight="1">
      <x:c r="A444" s="27" t="str">
        <x:v>REL000441</x:v>
      </x:c>
      <x:c r="B444" s="25" t="n">
        <x:v>11575</x:v>
      </x:c>
      <x:c r="C444" s="27" t="str">
        <x:v>IC-L3-832</x:v>
      </x:c>
      <x:c r="D444" s="25" t="str">
        <x:v>印染工</x:v>
      </x:c>
      <x:c r="E444" s="27" t="str">
        <x:v>6-23-01-01</x:v>
      </x:c>
      <x:c r="F444" s="25" t="str">
        <x:v>铁路机车制修工</x:v>
      </x:c>
      <x:c r="G444" s="27" t="str">
        <x:v>IC17</x:v>
      </x:c>
      <x:c r="H444" s="25" t="str">
        <x:v>纺织产业链</x:v>
      </x:c>
      <x:c r="I444" s="25" t="str">
        <x:v>中游</x:v>
      </x:c>
      <x:c r="J444" s="27" t="str">
        <x:v>ICN050</x:v>
      </x:c>
      <x:c r="K444" s="25" t="str">
        <x:v>纺纱织造、印染与面料制造</x:v>
      </x:c>
      <x:c r="L444" s="28" t="n">
        <x:v>80</x:v>
      </x:c>
      <x:c r="M444" s="25" t="str">
        <x:v>中</x:v>
      </x:c>
      <x:c r="N444" s="26" t="str">
        <x:v>印染、纺织、服装、生产、工艺、质检</x:v>
      </x:c>
      <x:c r="O444" s="26" t="str">
        <x:v>岗位名称/描述出现“印染、纺织、服装”，工作环节更贴近“印染、生产、工艺、质检”，因此关联到该节点。</x:v>
      </x:c>
      <x:c r="P444" s="26" t="str">
        <x:v>自动通过</x:v>
      </x:c>
    </x:row>
    <x:row r="445" ht="44" customHeight="1">
      <x:c r="A445" s="27" t="str">
        <x:v>REL000442</x:v>
      </x:c>
      <x:c r="B445" s="25" t="n">
        <x:v>11576</x:v>
      </x:c>
      <x:c r="C445" s="27" t="str">
        <x:v>IC-L3-833</x:v>
      </x:c>
      <x:c r="D445" s="25" t="str">
        <x:v>打样/制版</x:v>
      </x:c>
      <x:c r="E445" s="27" t="str">
        <x:v>6-23-01-01</x:v>
      </x:c>
      <x:c r="F445" s="25" t="str">
        <x:v>铁路机车制修工</x:v>
      </x:c>
      <x:c r="G445" s="27" t="str">
        <x:v>IC17</x:v>
      </x:c>
      <x:c r="H445" s="25" t="str">
        <x:v>纺织产业链</x:v>
      </x:c>
      <x:c r="I445" s="25" t="str">
        <x:v>中游</x:v>
      </x:c>
      <x:c r="J445" s="27" t="str">
        <x:v>ICN050</x:v>
      </x:c>
      <x:c r="K445" s="25" t="str">
        <x:v>纺纱织造、印染与面料制造</x:v>
      </x:c>
      <x:c r="L445" s="28" t="n">
        <x:v>61</x:v>
      </x:c>
      <x:c r="M445" s="25" t="str">
        <x:v>低</x:v>
      </x:c>
      <x:c r="N445" s="26" t="str">
        <x:v>纺织、服装、面料、版师、生产、工艺</x:v>
      </x:c>
      <x:c r="O445" s="26" t="str">
        <x:v>岗位名称/描述出现“纺织、服装、面料、版师”，工作环节更贴近“面料、生产、工艺”，因此关联到该节点。</x:v>
      </x:c>
      <x:c r="P445" s="26" t="str">
        <x:v>建议复核</x:v>
      </x:c>
    </x:row>
    <x:row r="446" ht="44" customHeight="1">
      <x:c r="A446" s="27" t="str">
        <x:v>REL000443</x:v>
      </x:c>
      <x:c r="B446" s="25" t="n">
        <x:v>11577</x:v>
      </x:c>
      <x:c r="C446" s="27" t="str">
        <x:v>IC-L3-834</x:v>
      </x:c>
      <x:c r="D446" s="25" t="str">
        <x:v>挡车工</x:v>
      </x:c>
      <x:c r="E446" s="27" t="str">
        <x:v>6-23-01-01</x:v>
      </x:c>
      <x:c r="F446" s="25" t="str">
        <x:v>铁路机车制修工</x:v>
      </x:c>
      <x:c r="G446" s="27" t="str">
        <x:v>IC02</x:v>
      </x:c>
      <x:c r="H446" s="25" t="str">
        <x:v>高端装备与智能制造产业链</x:v>
      </x:c>
      <x:c r="I446" s="25" t="str">
        <x:v>中游</x:v>
      </x:c>
      <x:c r="J446" s="27" t="str">
        <x:v>ICN005</x:v>
      </x:c>
      <x:c r="K446" s="25" t="str">
        <x:v>高端装备制造与激光加工</x:v>
      </x:c>
      <x:c r="L446" s="28" t="n">
        <x:v>75</x:v>
      </x:c>
      <x:c r="M446" s="25" t="str">
        <x:v>中</x:v>
      </x:c>
      <x:c r="N446" s="26" t="str">
        <x:v>车工、机械、机械设备、生产</x:v>
      </x:c>
      <x:c r="O446" s="26" t="str">
        <x:v>岗位名称/描述出现“车工、机械、机械设备”，工作环节更贴近“生产”，因此关联到该节点。</x:v>
      </x:c>
      <x:c r="P446" s="26" t="str">
        <x:v>自动通过</x:v>
      </x:c>
    </x:row>
    <x:row r="447" ht="44" customHeight="1">
      <x:c r="A447" s="27" t="str">
        <x:v>REL000444</x:v>
      </x:c>
      <x:c r="B447" s="25" t="n">
        <x:v>11578</x:v>
      </x:c>
      <x:c r="C447" s="27" t="str">
        <x:v>IC-L3-835</x:v>
      </x:c>
      <x:c r="D447" s="25" t="str">
        <x:v>整经工</x:v>
      </x:c>
      <x:c r="E447" s="27" t="str">
        <x:v>6-23-01-01</x:v>
      </x:c>
      <x:c r="F447" s="25" t="str">
        <x:v>铁路机车制修工</x:v>
      </x:c>
      <x:c r="G447" s="27" t="str">
        <x:v>IC17</x:v>
      </x:c>
      <x:c r="H447" s="25" t="str">
        <x:v>纺织产业链</x:v>
      </x:c>
      <x:c r="I447" s="25" t="str">
        <x:v>中游</x:v>
      </x:c>
      <x:c r="J447" s="27" t="str">
        <x:v>ICN050</x:v>
      </x:c>
      <x:c r="K447" s="25" t="str">
        <x:v>纺纱织造、印染与面料制造</x:v>
      </x:c>
      <x:c r="L447" s="28" t="n">
        <x:v>60</x:v>
      </x:c>
      <x:c r="M447" s="25" t="str">
        <x:v>低</x:v>
      </x:c>
      <x:c r="N447" s="26" t="str">
        <x:v>纺织、服装、织造、生产、制造、工艺</x:v>
      </x:c>
      <x:c r="O447" s="26" t="str">
        <x:v>岗位名称/描述出现“纺织、服装、织造”，工作环节更贴近“织造、生产、制造、工艺”，因此关联到该节点。</x:v>
      </x:c>
      <x:c r="P447" s="26" t="str">
        <x:v>建议复核</x:v>
      </x:c>
    </x:row>
    <x:row r="448" ht="44" customHeight="1">
      <x:c r="A448" s="27" t="str">
        <x:v>REL000445</x:v>
      </x:c>
      <x:c r="B448" s="25" t="n">
        <x:v>11579</x:v>
      </x:c>
      <x:c r="C448" s="27" t="str">
        <x:v>IC-L3-836</x:v>
      </x:c>
      <x:c r="D448" s="25" t="str">
        <x:v>服装/纺织/皮革工艺师</x:v>
      </x:c>
      <x:c r="E448" s="27" t="str">
        <x:v>6-23-01-01</x:v>
      </x:c>
      <x:c r="F448" s="25" t="str">
        <x:v>铁路机车制修工</x:v>
      </x:c>
      <x:c r="G448" s="27" t="str">
        <x:v>IC17</x:v>
      </x:c>
      <x:c r="H448" s="25" t="str">
        <x:v>纺织产业链</x:v>
      </x:c>
      <x:c r="I448" s="25" t="str">
        <x:v>中游</x:v>
      </x:c>
      <x:c r="J448" s="27" t="str">
        <x:v>ICN050</x:v>
      </x:c>
      <x:c r="K448" s="25" t="str">
        <x:v>纺纱织造、印染与面料制造</x:v>
      </x:c>
      <x:c r="L448" s="28" t="n">
        <x:v>91</x:v>
      </x:c>
      <x:c r="M448" s="25" t="str">
        <x:v>高</x:v>
      </x:c>
      <x:c r="N448" s="26" t="str">
        <x:v>纺织、服装、工艺、生产、制造</x:v>
      </x:c>
      <x:c r="O448" s="26" t="str">
        <x:v>岗位名称/描述出现“纺织、服装”，工作环节更贴近“工艺、生产、制造”，因此关联到该节点。</x:v>
      </x:c>
      <x:c r="P448" s="26" t="str">
        <x:v>自动通过</x:v>
      </x:c>
    </x:row>
    <x:row r="449" ht="44" customHeight="1">
      <x:c r="A449" s="27" t="str">
        <x:v>REL000446</x:v>
      </x:c>
      <x:c r="B449" s="25" t="n">
        <x:v>11580</x:v>
      </x:c>
      <x:c r="C449" s="27" t="str">
        <x:v>IC-L3-837</x:v>
      </x:c>
      <x:c r="D449" s="25" t="str">
        <x:v>服装/纺织/皮革跟单</x:v>
      </x:c>
      <x:c r="E449" s="27" t="str">
        <x:v>6-23-01-01</x:v>
      </x:c>
      <x:c r="F449" s="25" t="str">
        <x:v>铁路机车制修工</x:v>
      </x:c>
      <x:c r="G449" s="27" t="str">
        <x:v>IC17</x:v>
      </x:c>
      <x:c r="H449" s="25" t="str">
        <x:v>纺织产业链</x:v>
      </x:c>
      <x:c r="I449" s="25" t="str">
        <x:v>下游</x:v>
      </x:c>
      <x:c r="J449" s="27" t="str">
        <x:v>ICN051</x:v>
      </x:c>
      <x:c r="K449" s="25" t="str">
        <x:v>服装家纺、品牌渠道与终端消费</x:v>
      </x:c>
      <x:c r="L449" s="28" t="n">
        <x:v>88</x:v>
      </x:c>
      <x:c r="M449" s="25" t="str">
        <x:v>高</x:v>
      </x:c>
      <x:c r="N449" s="26" t="str">
        <x:v>纺织、服装、销售</x:v>
      </x:c>
      <x:c r="O449" s="26" t="str">
        <x:v>岗位名称/描述出现“纺织、服装”，工作环节更贴近“服装、销售”，因此关联到该节点。</x:v>
      </x:c>
      <x:c r="P449" s="26" t="str">
        <x:v>自动通过</x:v>
      </x:c>
    </x:row>
    <x:row r="450" ht="44" customHeight="1">
      <x:c r="A450" s="27" t="str">
        <x:v>REL000447</x:v>
      </x:c>
      <x:c r="B450" s="25" t="n">
        <x:v>11581</x:v>
      </x:c>
      <x:c r="C450" s="27" t="str">
        <x:v>IC-L3-838</x:v>
      </x:c>
      <x:c r="D450" s="25" t="str">
        <x:v>服装/纺织设计</x:v>
      </x:c>
      <x:c r="E450" s="27" t="str">
        <x:v>6-23-01-01</x:v>
      </x:c>
      <x:c r="F450" s="25" t="str">
        <x:v>铁路机车制修工</x:v>
      </x:c>
      <x:c r="G450" s="27" t="str">
        <x:v>IC17</x:v>
      </x:c>
      <x:c r="H450" s="25" t="str">
        <x:v>纺织产业链</x:v>
      </x:c>
      <x:c r="I450" s="25" t="str">
        <x:v>下游</x:v>
      </x:c>
      <x:c r="J450" s="27" t="str">
        <x:v>ICN051</x:v>
      </x:c>
      <x:c r="K450" s="25" t="str">
        <x:v>服装家纺、品牌渠道与终端消费</x:v>
      </x:c>
      <x:c r="L450" s="28" t="n">
        <x:v>91</x:v>
      </x:c>
      <x:c r="M450" s="25" t="str">
        <x:v>高</x:v>
      </x:c>
      <x:c r="N450" s="26" t="str">
        <x:v>纺织、服装、面料、品牌、销售</x:v>
      </x:c>
      <x:c r="O450" s="26" t="str">
        <x:v>岗位名称/描述出现“纺织、服装、面料”，工作环节更贴近“服装、品牌、销售”，因此关联到该节点。</x:v>
      </x:c>
      <x:c r="P450" s="26" t="str">
        <x:v>自动通过</x:v>
      </x:c>
    </x:row>
    <x:row r="451" ht="44" customHeight="1">
      <x:c r="A451" s="27" t="str">
        <x:v>REL000448</x:v>
      </x:c>
      <x:c r="B451" s="25" t="n">
        <x:v>11582</x:v>
      </x:c>
      <x:c r="C451" s="27" t="str">
        <x:v>IC-L3-839</x:v>
      </x:c>
      <x:c r="D451" s="25" t="str">
        <x:v>服装/纺织设计总监</x:v>
      </x:c>
      <x:c r="E451" s="27" t="str">
        <x:v>6-23-01-01</x:v>
      </x:c>
      <x:c r="F451" s="25" t="str">
        <x:v>铁路机车制修工</x:v>
      </x:c>
      <x:c r="G451" s="27" t="str">
        <x:v>IC17</x:v>
      </x:c>
      <x:c r="H451" s="25" t="str">
        <x:v>纺织产业链</x:v>
      </x:c>
      <x:c r="I451" s="25" t="str">
        <x:v>下游</x:v>
      </x:c>
      <x:c r="J451" s="27" t="str">
        <x:v>ICN051</x:v>
      </x:c>
      <x:c r="K451" s="25" t="str">
        <x:v>服装家纺、品牌渠道与终端消费</x:v>
      </x:c>
      <x:c r="L451" s="28" t="n">
        <x:v>88</x:v>
      </x:c>
      <x:c r="M451" s="25" t="str">
        <x:v>高</x:v>
      </x:c>
      <x:c r="N451" s="26" t="str">
        <x:v>纺织、服装、品牌</x:v>
      </x:c>
      <x:c r="O451" s="26" t="str">
        <x:v>岗位名称/描述出现“纺织、服装”，工作环节更贴近“服装、品牌”，因此关联到该节点。</x:v>
      </x:c>
      <x:c r="P451" s="26" t="str">
        <x:v>自动通过</x:v>
      </x:c>
    </x:row>
    <x:row r="452" ht="44" customHeight="1">
      <x:c r="A452" s="27" t="str">
        <x:v>REL000449</x:v>
      </x:c>
      <x:c r="B452" s="25" t="n">
        <x:v>11583</x:v>
      </x:c>
      <x:c r="C452" s="27" t="str">
        <x:v>IC-L3-840</x:v>
      </x:c>
      <x:c r="D452" s="25" t="str">
        <x:v>服装纺织质检员</x:v>
      </x:c>
      <x:c r="E452" s="27" t="str">
        <x:v>6-23-01-01</x:v>
      </x:c>
      <x:c r="F452" s="25" t="str">
        <x:v>铁路机车制修工</x:v>
      </x:c>
      <x:c r="G452" s="27" t="str">
        <x:v>IC17</x:v>
      </x:c>
      <x:c r="H452" s="25" t="str">
        <x:v>纺织产业链</x:v>
      </x:c>
      <x:c r="I452" s="25" t="str">
        <x:v>中游</x:v>
      </x:c>
      <x:c r="J452" s="27" t="str">
        <x:v>ICN050</x:v>
      </x:c>
      <x:c r="K452" s="25" t="str">
        <x:v>纺纱织造、印染与面料制造</x:v>
      </x:c>
      <x:c r="L452" s="28" t="n">
        <x:v>91</x:v>
      </x:c>
      <x:c r="M452" s="25" t="str">
        <x:v>高</x:v>
      </x:c>
      <x:c r="N452" s="26" t="str">
        <x:v>纺织、服装、质检、生产、制造</x:v>
      </x:c>
      <x:c r="O452" s="26" t="str">
        <x:v>岗位名称/描述出现“纺织、服装”，工作环节更贴近“质检、生产、制造”，因此关联到该节点。</x:v>
      </x:c>
      <x:c r="P452" s="26" t="str">
        <x:v>自动通过</x:v>
      </x:c>
    </x:row>
    <x:row r="453" ht="44" customHeight="1">
      <x:c r="A453" s="27" t="str">
        <x:v>REL000450</x:v>
      </x:c>
      <x:c r="B453" s="25" t="n">
        <x:v>11584</x:v>
      </x:c>
      <x:c r="C453" s="27" t="str">
        <x:v>IC-L3-841</x:v>
      </x:c>
      <x:c r="D453" s="25" t="str">
        <x:v>服装领班</x:v>
      </x:c>
      <x:c r="E453" s="27" t="str">
        <x:v>6-23-01-01</x:v>
      </x:c>
      <x:c r="F453" s="25" t="str">
        <x:v>铁路机车制修工</x:v>
      </x:c>
      <x:c r="G453" s="27" t="str">
        <x:v>IC17</x:v>
      </x:c>
      <x:c r="H453" s="25" t="str">
        <x:v>纺织产业链</x:v>
      </x:c>
      <x:c r="I453" s="25" t="str">
        <x:v>下游</x:v>
      </x:c>
      <x:c r="J453" s="27" t="str">
        <x:v>ICN051</x:v>
      </x:c>
      <x:c r="K453" s="25" t="str">
        <x:v>服装家纺、品牌渠道与终端消费</x:v>
      </x:c>
      <x:c r="L453" s="28" t="n">
        <x:v>73</x:v>
      </x:c>
      <x:c r="M453" s="25" t="str">
        <x:v>中</x:v>
      </x:c>
      <x:c r="N453" s="26" t="str">
        <x:v>服装、纺织</x:v>
      </x:c>
      <x:c r="O453" s="26" t="str">
        <x:v>岗位名称/描述出现“服装、纺织”，工作环节更贴近“服装”，因此关联到该节点。</x:v>
      </x:c>
      <x:c r="P453" s="26" t="str">
        <x:v>自动通过</x:v>
      </x:c>
    </x:row>
    <x:row r="454" ht="44" customHeight="1">
      <x:c r="A454" s="27" t="str">
        <x:v>REL000451</x:v>
      </x:c>
      <x:c r="B454" s="25" t="n">
        <x:v>11586</x:v>
      </x:c>
      <x:c r="C454" s="27" t="str">
        <x:v>IC-L3-843</x:v>
      </x:c>
      <x:c r="D454" s="25" t="str">
        <x:v>浆纱工</x:v>
      </x:c>
      <x:c r="E454" s="27" t="str">
        <x:v>6-23-01-01</x:v>
      </x:c>
      <x:c r="F454" s="25" t="str">
        <x:v>铁路机车制修工</x:v>
      </x:c>
      <x:c r="G454" s="27" t="str">
        <x:v>IC17</x:v>
      </x:c>
      <x:c r="H454" s="25" t="str">
        <x:v>纺织产业链</x:v>
      </x:c>
      <x:c r="I454" s="25" t="str">
        <x:v>中游</x:v>
      </x:c>
      <x:c r="J454" s="27" t="str">
        <x:v>ICN050</x:v>
      </x:c>
      <x:c r="K454" s="25" t="str">
        <x:v>纺纱织造、印染与面料制造</x:v>
      </x:c>
      <x:c r="L454" s="28" t="n">
        <x:v>60</x:v>
      </x:c>
      <x:c r="M454" s="25" t="str">
        <x:v>低</x:v>
      </x:c>
      <x:c r="N454" s="26" t="str">
        <x:v>纺织、服装、织造、生产、工艺、质检</x:v>
      </x:c>
      <x:c r="O454" s="26" t="str">
        <x:v>岗位名称/描述出现“纺织、服装、织造”，工作环节更贴近“织造、生产、工艺、质检”，因此关联到该节点。</x:v>
      </x:c>
      <x:c r="P454" s="26" t="str">
        <x:v>建议复核</x:v>
      </x:c>
    </x:row>
    <x:row r="455" ht="44" customHeight="1">
      <x:c r="A455" s="27" t="str">
        <x:v>REL000452</x:v>
      </x:c>
      <x:c r="B455" s="25" t="n">
        <x:v>11588</x:v>
      </x:c>
      <x:c r="C455" s="27" t="str">
        <x:v>IC-L3-845</x:v>
      </x:c>
      <x:c r="D455" s="25" t="str">
        <x:v>纸样师/车板工</x:v>
      </x:c>
      <x:c r="E455" s="27" t="str">
        <x:v>6-23-01-01</x:v>
      </x:c>
      <x:c r="F455" s="25" t="str">
        <x:v>铁路机车制修工</x:v>
      </x:c>
      <x:c r="G455" s="27" t="str">
        <x:v>IC17</x:v>
      </x:c>
      <x:c r="H455" s="25" t="str">
        <x:v>纺织产业链</x:v>
      </x:c>
      <x:c r="I455" s="25" t="str">
        <x:v>中游</x:v>
      </x:c>
      <x:c r="J455" s="27" t="str">
        <x:v>ICN050</x:v>
      </x:c>
      <x:c r="K455" s="25" t="str">
        <x:v>纺纱织造、印染与面料制造</x:v>
      </x:c>
      <x:c r="L455" s="28" t="n">
        <x:v>59</x:v>
      </x:c>
      <x:c r="M455" s="25" t="str">
        <x:v>低</x:v>
      </x:c>
      <x:c r="N455" s="26" t="str">
        <x:v>纺织、服装、面料、生产、工艺</x:v>
      </x:c>
      <x:c r="O455" s="26" t="str">
        <x:v>岗位名称/描述出现“纺织、服装、面料”，工作环节更贴近“面料、生产、工艺”，因此关联到该节点。</x:v>
      </x:c>
      <x:c r="P455" s="26" t="str">
        <x:v>建议复核</x:v>
      </x:c>
    </x:row>
    <x:row r="456" ht="44" customHeight="1">
      <x:c r="A456" s="27" t="str">
        <x:v>REL000453</x:v>
      </x:c>
      <x:c r="B456" s="25" t="n">
        <x:v>11589</x:v>
      </x:c>
      <x:c r="C456" s="27" t="str">
        <x:v>IC-L3-846</x:v>
      </x:c>
      <x:c r="D456" s="25" t="str">
        <x:v>纺织工</x:v>
      </x:c>
      <x:c r="E456" s="27" t="str">
        <x:v>6-23-01-01</x:v>
      </x:c>
      <x:c r="F456" s="25" t="str">
        <x:v>铁路机车制修工</x:v>
      </x:c>
      <x:c r="G456" s="27" t="str">
        <x:v>IC17</x:v>
      </x:c>
      <x:c r="H456" s="25" t="str">
        <x:v>纺织产业链</x:v>
      </x:c>
      <x:c r="I456" s="25" t="str">
        <x:v>中游</x:v>
      </x:c>
      <x:c r="J456" s="27" t="str">
        <x:v>ICN050</x:v>
      </x:c>
      <x:c r="K456" s="25" t="str">
        <x:v>纺纱织造、印染与面料制造</x:v>
      </x:c>
      <x:c r="L456" s="28" t="n">
        <x:v>71</x:v>
      </x:c>
      <x:c r="M456" s="25" t="str">
        <x:v>中</x:v>
      </x:c>
      <x:c r="N456" s="26" t="str">
        <x:v>纺织、服装、生产、制造、工艺</x:v>
      </x:c>
      <x:c r="O456" s="26" t="str">
        <x:v>岗位名称/描述出现“纺织、服装”，工作环节更贴近“生产、制造、工艺”，因此关联到该节点。</x:v>
      </x:c>
      <x:c r="P456" s="26" t="str">
        <x:v>自动通过</x:v>
      </x:c>
    </x:row>
    <x:row r="457" ht="44" customHeight="1">
      <x:c r="A457" s="27" t="str">
        <x:v>REL000454</x:v>
      </x:c>
      <x:c r="B457" s="25" t="n">
        <x:v>11589</x:v>
      </x:c>
      <x:c r="C457" s="27" t="str">
        <x:v>IC-L3-846</x:v>
      </x:c>
      <x:c r="D457" s="25" t="str">
        <x:v>纺织工</x:v>
      </x:c>
      <x:c r="E457" s="27" t="str">
        <x:v>6-23-01-01</x:v>
      </x:c>
      <x:c r="F457" s="25" t="str">
        <x:v>铁路机车制修工</x:v>
      </x:c>
      <x:c r="G457" s="27" t="str">
        <x:v>IC02</x:v>
      </x:c>
      <x:c r="H457" s="25" t="str">
        <x:v>高端装备与智能制造产业链</x:v>
      </x:c>
      <x:c r="I457" s="25" t="str">
        <x:v>中游</x:v>
      </x:c>
      <x:c r="J457" s="27" t="str">
        <x:v>ICN005</x:v>
      </x:c>
      <x:c r="K457" s="25" t="str">
        <x:v>高端装备制造与激光加工</x:v>
      </x:c>
      <x:c r="L457" s="28" t="n">
        <x:v>60</x:v>
      </x:c>
      <x:c r="M457" s="25" t="str">
        <x:v>低</x:v>
      </x:c>
      <x:c r="N457" s="26" t="str">
        <x:v>机械、机械设备、生产、工艺</x:v>
      </x:c>
      <x:c r="O457" s="26" t="str">
        <x:v>岗位名称/描述出现“机械、机械设备”，工作环节更贴近“生产、工艺”，因此关联到该节点。</x:v>
      </x:c>
      <x:c r="P457" s="26" t="str">
        <x:v>建议复核</x:v>
      </x:c>
    </x:row>
    <x:row r="458" ht="44" customHeight="1">
      <x:c r="A458" s="27" t="str">
        <x:v>REL000455</x:v>
      </x:c>
      <x:c r="B458" s="25" t="n">
        <x:v>11590</x:v>
      </x:c>
      <x:c r="C458" s="27" t="str">
        <x:v>IC-L3-847</x:v>
      </x:c>
      <x:c r="D458" s="25" t="str">
        <x:v>细纱工</x:v>
      </x:c>
      <x:c r="E458" s="27" t="str">
        <x:v>6-23-01-01</x:v>
      </x:c>
      <x:c r="F458" s="25" t="str">
        <x:v>铁路机车制修工</x:v>
      </x:c>
      <x:c r="G458" s="27" t="str">
        <x:v>IC17</x:v>
      </x:c>
      <x:c r="H458" s="25" t="str">
        <x:v>纺织产业链</x:v>
      </x:c>
      <x:c r="I458" s="25" t="str">
        <x:v>中游</x:v>
      </x:c>
      <x:c r="J458" s="27" t="str">
        <x:v>ICN050</x:v>
      </x:c>
      <x:c r="K458" s="25" t="str">
        <x:v>纺纱织造、印染与面料制造</x:v>
      </x:c>
      <x:c r="L458" s="28" t="n">
        <x:v>65</x:v>
      </x:c>
      <x:c r="M458" s="25" t="str">
        <x:v>低</x:v>
      </x:c>
      <x:c r="N458" s="26" t="str">
        <x:v>纺织、服装、纤维、纺纱、织造、生产、制造、工艺</x:v>
      </x:c>
      <x:c r="O458" s="26" t="str">
        <x:v>岗位名称/描述出现“纺织、服装、纤维、纺纱、织造”，工作环节更贴近“纺纱、织造、生产、制造、工艺”，因此关联到该节点。</x:v>
      </x:c>
      <x:c r="P458" s="26" t="str">
        <x:v>建议复核</x:v>
      </x:c>
    </x:row>
    <x:row r="459" ht="44" customHeight="1">
      <x:c r="A459" s="27" t="str">
        <x:v>REL000456</x:v>
      </x:c>
      <x:c r="B459" s="25" t="n">
        <x:v>11590</x:v>
      </x:c>
      <x:c r="C459" s="27" t="str">
        <x:v>IC-L3-847</x:v>
      </x:c>
      <x:c r="D459" s="25" t="str">
        <x:v>细纱工</x:v>
      </x:c>
      <x:c r="E459" s="27" t="str">
        <x:v>6-23-01-01</x:v>
      </x:c>
      <x:c r="F459" s="25" t="str">
        <x:v>铁路机车制修工</x:v>
      </x:c>
      <x:c r="G459" s="27" t="str">
        <x:v>IC02</x:v>
      </x:c>
      <x:c r="H459" s="25" t="str">
        <x:v>高端装备与智能制造产业链</x:v>
      </x:c>
      <x:c r="I459" s="25" t="str">
        <x:v>中游</x:v>
      </x:c>
      <x:c r="J459" s="27" t="str">
        <x:v>ICN005</x:v>
      </x:c>
      <x:c r="K459" s="25" t="str">
        <x:v>高端装备制造与激光加工</x:v>
      </x:c>
      <x:c r="L459" s="28" t="n">
        <x:v>60</x:v>
      </x:c>
      <x:c r="M459" s="25" t="str">
        <x:v>低</x:v>
      </x:c>
      <x:c r="N459" s="26" t="str">
        <x:v>机械、设备维修、生产、工艺</x:v>
      </x:c>
      <x:c r="O459" s="26" t="str">
        <x:v>岗位名称/描述出现“机械、设备维修”，工作环节更贴近“生产、工艺”，因此关联到该节点。</x:v>
      </x:c>
      <x:c r="P459" s="26" t="str">
        <x:v>建议复核</x:v>
      </x:c>
    </x:row>
    <x:row r="460" ht="44" customHeight="1">
      <x:c r="A460" s="27" t="str">
        <x:v>REL000457</x:v>
      </x:c>
      <x:c r="B460" s="25" t="n">
        <x:v>11591</x:v>
      </x:c>
      <x:c r="C460" s="27" t="str">
        <x:v>IC-L3-848</x:v>
      </x:c>
      <x:c r="D460" s="25" t="str">
        <x:v>缝纫工</x:v>
      </x:c>
      <x:c r="E460" s="27" t="str">
        <x:v>6-23-01-01</x:v>
      </x:c>
      <x:c r="F460" s="25" t="str">
        <x:v>铁路机车制修工</x:v>
      </x:c>
      <x:c r="G460" s="27" t="str">
        <x:v>IC17</x:v>
      </x:c>
      <x:c r="H460" s="25" t="str">
        <x:v>纺织产业链</x:v>
      </x:c>
      <x:c r="I460" s="25" t="str">
        <x:v>中游</x:v>
      </x:c>
      <x:c r="J460" s="27" t="str">
        <x:v>ICN050</x:v>
      </x:c>
      <x:c r="K460" s="25" t="str">
        <x:v>纺纱织造、印染与面料制造</x:v>
      </x:c>
      <x:c r="L460" s="28" t="n">
        <x:v>60</x:v>
      </x:c>
      <x:c r="M460" s="25" t="str">
        <x:v>低</x:v>
      </x:c>
      <x:c r="N460" s="26" t="str">
        <x:v>纺织、服装、面料、生产、工艺、质检</x:v>
      </x:c>
      <x:c r="O460" s="26" t="str">
        <x:v>岗位名称/描述出现“纺织、服装、面料”，工作环节更贴近“面料、生产、工艺、质检”，因此关联到该节点。</x:v>
      </x:c>
      <x:c r="P460" s="26" t="str">
        <x:v>建议复核</x:v>
      </x:c>
    </x:row>
    <x:row r="461" ht="44" customHeight="1">
      <x:c r="A461" s="27" t="str">
        <x:v>REL000458</x:v>
      </x:c>
      <x:c r="B461" s="25" t="n">
        <x:v>11592</x:v>
      </x:c>
      <x:c r="C461" s="27" t="str">
        <x:v>IC-L3-849</x:v>
      </x:c>
      <x:c r="D461" s="25" t="str">
        <x:v>裁剪工</x:v>
      </x:c>
      <x:c r="E461" s="27" t="str">
        <x:v>6-23-01-01</x:v>
      </x:c>
      <x:c r="F461" s="25" t="str">
        <x:v>铁路机车制修工</x:v>
      </x:c>
      <x:c r="G461" s="27" t="str">
        <x:v>IC17</x:v>
      </x:c>
      <x:c r="H461" s="25" t="str">
        <x:v>纺织产业链</x:v>
      </x:c>
      <x:c r="I461" s="25" t="str">
        <x:v>中游</x:v>
      </x:c>
      <x:c r="J461" s="27" t="str">
        <x:v>ICN050</x:v>
      </x:c>
      <x:c r="K461" s="25" t="str">
        <x:v>纺纱织造、印染与面料制造</x:v>
      </x:c>
      <x:c r="L461" s="28" t="n">
        <x:v>60</x:v>
      </x:c>
      <x:c r="M461" s="25" t="str">
        <x:v>低</x:v>
      </x:c>
      <x:c r="N461" s="26" t="str">
        <x:v>纺织、服装、面料、生产、工艺、质检</x:v>
      </x:c>
      <x:c r="O461" s="26" t="str">
        <x:v>岗位名称/描述出现“纺织、服装、面料”，工作环节更贴近“面料、生产、工艺、质检”，因此关联到该节点。</x:v>
      </x:c>
      <x:c r="P461" s="26" t="str">
        <x:v>建议复核</x:v>
      </x:c>
    </x:row>
    <x:row r="462" ht="44" customHeight="1">
      <x:c r="A462" s="27" t="str">
        <x:v>REL000459</x:v>
      </x:c>
      <x:c r="B462" s="25" t="n">
        <x:v>11595</x:v>
      </x:c>
      <x:c r="C462" s="27" t="str">
        <x:v>IC-L3-852</x:v>
      </x:c>
      <x:c r="D462" s="25" t="str">
        <x:v>面料辅料开发</x:v>
      </x:c>
      <x:c r="E462" s="27" t="str">
        <x:v>6-23-01-01</x:v>
      </x:c>
      <x:c r="F462" s="25" t="str">
        <x:v>铁路机车制修工</x:v>
      </x:c>
      <x:c r="G462" s="27" t="str">
        <x:v>IC17</x:v>
      </x:c>
      <x:c r="H462" s="25" t="str">
        <x:v>纺织产业链</x:v>
      </x:c>
      <x:c r="I462" s="25" t="str">
        <x:v>中游</x:v>
      </x:c>
      <x:c r="J462" s="27" t="str">
        <x:v>ICN050</x:v>
      </x:c>
      <x:c r="K462" s="25" t="str">
        <x:v>纺纱织造、印染与面料制造</x:v>
      </x:c>
      <x:c r="L462" s="28" t="n">
        <x:v>78</x:v>
      </x:c>
      <x:c r="M462" s="25" t="str">
        <x:v>中</x:v>
      </x:c>
      <x:c r="N462" s="26" t="str">
        <x:v>面料、纺织、服装、生产</x:v>
      </x:c>
      <x:c r="O462" s="26" t="str">
        <x:v>岗位名称/描述出现“面料、纺织、服装”，工作环节更贴近“面料、生产”，因此关联到该节点。</x:v>
      </x:c>
      <x:c r="P462" s="26" t="str">
        <x:v>自动通过</x:v>
      </x:c>
    </x:row>
    <x:row r="463" ht="44" customHeight="1">
      <x:c r="A463" s="27" t="str">
        <x:v>REL000460</x:v>
      </x:c>
      <x:c r="B463" s="25" t="n">
        <x:v>11596</x:v>
      </x:c>
      <x:c r="C463" s="27" t="str">
        <x:v>IC-L3-853</x:v>
      </x:c>
      <x:c r="D463" s="25" t="str">
        <x:v>面料辅料采购</x:v>
      </x:c>
      <x:c r="E463" s="27" t="str">
        <x:v>6-23-01-01</x:v>
      </x:c>
      <x:c r="F463" s="25" t="str">
        <x:v>铁路机车制修工</x:v>
      </x:c>
      <x:c r="G463" s="27" t="str">
        <x:v>IC17</x:v>
      </x:c>
      <x:c r="H463" s="25" t="str">
        <x:v>纺织产业链</x:v>
      </x:c>
      <x:c r="I463" s="25" t="str">
        <x:v>中游</x:v>
      </x:c>
      <x:c r="J463" s="27" t="str">
        <x:v>ICN050</x:v>
      </x:c>
      <x:c r="K463" s="25" t="str">
        <x:v>纺纱织造、印染与面料制造</x:v>
      </x:c>
      <x:c r="L463" s="28" t="n">
        <x:v>79</x:v>
      </x:c>
      <x:c r="M463" s="25" t="str">
        <x:v>中</x:v>
      </x:c>
      <x:c r="N463" s="26" t="str">
        <x:v>面料、纺织、服装、生产、制造</x:v>
      </x:c>
      <x:c r="O463" s="26" t="str">
        <x:v>岗位名称/描述出现“面料、纺织、服装”，工作环节更贴近“面料、生产、制造”，因此关联到该节点。</x:v>
      </x:c>
      <x:c r="P463" s="26" t="str">
        <x:v>自动通过</x:v>
      </x:c>
    </x:row>
    <x:row r="464" ht="44" customHeight="1">
      <x:c r="A464" s="27" t="str">
        <x:v>REL000461</x:v>
      </x:c>
      <x:c r="B464" s="25" t="n">
        <x:v>11597</x:v>
      </x:c>
      <x:c r="C464" s="27" t="str">
        <x:v>IC-L3-854</x:v>
      </x:c>
      <x:c r="D464" s="25" t="str">
        <x:v>CNC/数控操机</x:v>
      </x:c>
      <x:c r="E464" s="27" t="str">
        <x:v>6-31-01-01</x:v>
      </x:c>
      <x:c r="F464" s="25" t="str">
        <x:v>设备点检员</x:v>
      </x:c>
      <x:c r="G464" s="27" t="str">
        <x:v>IC02</x:v>
      </x:c>
      <x:c r="H464" s="25" t="str">
        <x:v>高端装备与智能制造产业链</x:v>
      </x:c>
      <x:c r="I464" s="25" t="str">
        <x:v>中游</x:v>
      </x:c>
      <x:c r="J464" s="27" t="str">
        <x:v>ICN005</x:v>
      </x:c>
      <x:c r="K464" s="25" t="str">
        <x:v>高端装备制造与激光加工</x:v>
      </x:c>
      <x:c r="L464" s="28" t="n">
        <x:v>78</x:v>
      </x:c>
      <x:c r="M464" s="25" t="str">
        <x:v>中</x:v>
      </x:c>
      <x:c r="N464" s="26" t="str">
        <x:v>数控、设备点检、机床、机械、机械设备、生产、工艺</x:v>
      </x:c>
      <x:c r="O464" s="26" t="str">
        <x:v>岗位名称/描述出现“数控、设备点检、机床、机械、机械设备”，工作环节更贴近“生产、工艺”，因此关联到该节点。</x:v>
      </x:c>
      <x:c r="P464" s="26" t="str">
        <x:v>自动通过</x:v>
      </x:c>
    </x:row>
    <x:row r="465" ht="44" customHeight="1">
      <x:c r="A465" s="27" t="str">
        <x:v>REL000462</x:v>
      </x:c>
      <x:c r="B465" s="25" t="n">
        <x:v>11598</x:v>
      </x:c>
      <x:c r="C465" s="27" t="str">
        <x:v>IC-L3-855</x:v>
      </x:c>
      <x:c r="D465" s="25" t="str">
        <x:v>氩弧焊工</x:v>
      </x:c>
      <x:c r="E465" s="27" t="str">
        <x:v>6-31-01-01</x:v>
      </x:c>
      <x:c r="F465" s="25" t="str">
        <x:v>设备点检员</x:v>
      </x:c>
      <x:c r="G465" s="27" t="str">
        <x:v>IC02</x:v>
      </x:c>
      <x:c r="H465" s="25" t="str">
        <x:v>高端装备与智能制造产业链</x:v>
      </x:c>
      <x:c r="I465" s="25" t="str">
        <x:v>中游</x:v>
      </x:c>
      <x:c r="J465" s="27" t="str">
        <x:v>ICN005</x:v>
      </x:c>
      <x:c r="K465" s="25" t="str">
        <x:v>高端装备制造与激光加工</x:v>
      </x:c>
      <x:c r="L465" s="28" t="n">
        <x:v>61</x:v>
      </x:c>
      <x:c r="M465" s="25" t="str">
        <x:v>低</x:v>
      </x:c>
      <x:c r="N465" s="26" t="str">
        <x:v>设备点检、机械、焊接、生产、工艺</x:v>
      </x:c>
      <x:c r="O465" s="26" t="str">
        <x:v>岗位名称/描述出现“设备点检、机械、焊接”，工作环节更贴近“焊接、生产、工艺”，因此关联到该节点。</x:v>
      </x:c>
      <x:c r="P465" s="26" t="str">
        <x:v>建议复核</x:v>
      </x:c>
    </x:row>
    <x:row r="466" ht="44" customHeight="1">
      <x:c r="A466" s="27" t="str">
        <x:v>REL000463</x:v>
      </x:c>
      <x:c r="B466" s="25" t="n">
        <x:v>11599</x:v>
      </x:c>
      <x:c r="C466" s="27" t="str">
        <x:v>IC-L3-856</x:v>
      </x:c>
      <x:c r="D466" s="25" t="str">
        <x:v>焊工</x:v>
      </x:c>
      <x:c r="E466" s="27" t="str">
        <x:v>6-31-01-01</x:v>
      </x:c>
      <x:c r="F466" s="25" t="str">
        <x:v>设备点检员</x:v>
      </x:c>
      <x:c r="G466" s="27" t="str">
        <x:v>IC02</x:v>
      </x:c>
      <x:c r="H466" s="25" t="str">
        <x:v>高端装备与智能制造产业链</x:v>
      </x:c>
      <x:c r="I466" s="25" t="str">
        <x:v>中游</x:v>
      </x:c>
      <x:c r="J466" s="27" t="str">
        <x:v>ICN005</x:v>
      </x:c>
      <x:c r="K466" s="25" t="str">
        <x:v>高端装备制造与激光加工</x:v>
      </x:c>
      <x:c r="L466" s="28" t="n">
        <x:v>62</x:v>
      </x:c>
      <x:c r="M466" s="25" t="str">
        <x:v>低</x:v>
      </x:c>
      <x:c r="N466" s="26" t="str">
        <x:v>设备点检、机械、焊接、生产、工艺、自动化</x:v>
      </x:c>
      <x:c r="O466" s="26" t="str">
        <x:v>岗位名称/描述出现“设备点检、机械、焊接”，工作环节更贴近“焊接、生产、工艺、自动化”，因此关联到该节点。</x:v>
      </x:c>
      <x:c r="P466" s="26" t="str">
        <x:v>建议复核</x:v>
      </x:c>
    </x:row>
    <x:row r="467" ht="44" customHeight="1">
      <x:c r="A467" s="27" t="str">
        <x:v>REL000464</x:v>
      </x:c>
      <x:c r="B467" s="25" t="n">
        <x:v>11600</x:v>
      </x:c>
      <x:c r="C467" s="27" t="str">
        <x:v>IC-L3-857</x:v>
      </x:c>
      <x:c r="D467" s="25" t="str">
        <x:v>车工</x:v>
      </x:c>
      <x:c r="E467" s="27" t="str">
        <x:v>2-02-07-11</x:v>
      </x:c>
      <x:c r="F467" s="25" t="str">
        <x:v>汽车工程技术人员</x:v>
      </x:c>
      <x:c r="G467" s="27" t="str">
        <x:v>IC02</x:v>
      </x:c>
      <x:c r="H467" s="25" t="str">
        <x:v>高端装备与智能制造产业链</x:v>
      </x:c>
      <x:c r="I467" s="25" t="str">
        <x:v>中游</x:v>
      </x:c>
      <x:c r="J467" s="27" t="str">
        <x:v>ICN005</x:v>
      </x:c>
      <x:c r="K467" s="25" t="str">
        <x:v>高端装备制造与激光加工</x:v>
      </x:c>
      <x:c r="L467" s="28" t="n">
        <x:v>76</x:v>
      </x:c>
      <x:c r="M467" s="25" t="str">
        <x:v>中</x:v>
      </x:c>
      <x:c r="N467" s="26" t="str">
        <x:v>车工、机床、机械、钳工、机械设备、生产、工艺</x:v>
      </x:c>
      <x:c r="O467" s="26" t="str">
        <x:v>岗位名称/描述出现“车工、机床、机械、钳工、机械设备”，工作环节更贴近“生产、工艺”，因此关联到该节点。</x:v>
      </x:c>
      <x:c r="P467" s="26" t="str">
        <x:v>自动通过</x:v>
      </x:c>
    </x:row>
    <x:row r="468" ht="44" customHeight="1">
      <x:c r="A468" s="27" t="str">
        <x:v>REL000465</x:v>
      </x:c>
      <x:c r="B468" s="25" t="n">
        <x:v>11601</x:v>
      </x:c>
      <x:c r="C468" s="27" t="str">
        <x:v>IC-L3-858</x:v>
      </x:c>
      <x:c r="D468" s="25" t="str">
        <x:v>钳工</x:v>
      </x:c>
      <x:c r="E468" s="27" t="str">
        <x:v>6-31-01-01</x:v>
      </x:c>
      <x:c r="F468" s="25" t="str">
        <x:v>设备点检员</x:v>
      </x:c>
      <x:c r="G468" s="27" t="str">
        <x:v>IC02</x:v>
      </x:c>
      <x:c r="H468" s="25" t="str">
        <x:v>高端装备与智能制造产业链</x:v>
      </x:c>
      <x:c r="I468" s="25" t="str">
        <x:v>中游</x:v>
      </x:c>
      <x:c r="J468" s="27" t="str">
        <x:v>ICN005</x:v>
      </x:c>
      <x:c r="K468" s="25" t="str">
        <x:v>高端装备制造与激光加工</x:v>
      </x:c>
      <x:c r="L468" s="28" t="n">
        <x:v>77</x:v>
      </x:c>
      <x:c r="M468" s="25" t="str">
        <x:v>中</x:v>
      </x:c>
      <x:c r="N468" s="26" t="str">
        <x:v>钳工、设备点检、机械、装配、生产、工艺</x:v>
      </x:c>
      <x:c r="O468" s="26" t="str">
        <x:v>岗位名称/描述出现“钳工、设备点检、机械、装配”，工作环节更贴近“装配、生产、工艺”，因此关联到该节点。</x:v>
      </x:c>
      <x:c r="P468" s="26" t="str">
        <x:v>自动通过</x:v>
      </x:c>
    </x:row>
    <x:row r="469" ht="44" customHeight="1">
      <x:c r="A469" s="27" t="str">
        <x:v>REL000466</x:v>
      </x:c>
      <x:c r="B469" s="25" t="n">
        <x:v>11602</x:v>
      </x:c>
      <x:c r="C469" s="27" t="str">
        <x:v>IC-L3-859</x:v>
      </x:c>
      <x:c r="D469" s="25" t="str">
        <x:v>钻工</x:v>
      </x:c>
      <x:c r="E469" s="27" t="str">
        <x:v>6-31-01-01</x:v>
      </x:c>
      <x:c r="F469" s="25" t="str">
        <x:v>设备点检员</x:v>
      </x:c>
      <x:c r="G469" s="27" t="str">
        <x:v>IC02</x:v>
      </x:c>
      <x:c r="H469" s="25" t="str">
        <x:v>高端装备与智能制造产业链</x:v>
      </x:c>
      <x:c r="I469" s="25" t="str">
        <x:v>中游</x:v>
      </x:c>
      <x:c r="J469" s="27" t="str">
        <x:v>ICN005</x:v>
      </x:c>
      <x:c r="K469" s="25" t="str">
        <x:v>高端装备制造与激光加工</x:v>
      </x:c>
      <x:c r="L469" s="28" t="n">
        <x:v>76</x:v>
      </x:c>
      <x:c r="M469" s="25" t="str">
        <x:v>中</x:v>
      </x:c>
      <x:c r="N469" s="26" t="str">
        <x:v>钻工、设备点检、机械、机械设备、生产、工艺</x:v>
      </x:c>
      <x:c r="O469" s="26" t="str">
        <x:v>岗位名称/描述出现“钻工、设备点检、机械、机械设备”，工作环节更贴近“生产、工艺”，因此关联到该节点。</x:v>
      </x:c>
      <x:c r="P469" s="26" t="str">
        <x:v>自动通过</x:v>
      </x:c>
    </x:row>
    <x:row r="470" ht="44" customHeight="1">
      <x:c r="A470" s="27" t="str">
        <x:v>REL000467</x:v>
      </x:c>
      <x:c r="B470" s="25" t="n">
        <x:v>11603</x:v>
      </x:c>
      <x:c r="C470" s="27" t="str">
        <x:v>IC-L3-860</x:v>
      </x:c>
      <x:c r="D470" s="25" t="str">
        <x:v>铣工</x:v>
      </x:c>
      <x:c r="E470" s="27" t="str">
        <x:v>6-31-01-01</x:v>
      </x:c>
      <x:c r="F470" s="25" t="str">
        <x:v>设备点检员</x:v>
      </x:c>
      <x:c r="G470" s="27" t="str">
        <x:v>IC02</x:v>
      </x:c>
      <x:c r="H470" s="25" t="str">
        <x:v>高端装备与智能制造产业链</x:v>
      </x:c>
      <x:c r="I470" s="25" t="str">
        <x:v>中游</x:v>
      </x:c>
      <x:c r="J470" s="27" t="str">
        <x:v>ICN005</x:v>
      </x:c>
      <x:c r="K470" s="25" t="str">
        <x:v>高端装备制造与激光加工</x:v>
      </x:c>
      <x:c r="L470" s="28" t="n">
        <x:v>76</x:v>
      </x:c>
      <x:c r="M470" s="25" t="str">
        <x:v>中</x:v>
      </x:c>
      <x:c r="N470" s="26" t="str">
        <x:v>铣工、设备点检、机床、机械、生产、工艺</x:v>
      </x:c>
      <x:c r="O470" s="26" t="str">
        <x:v>岗位名称/描述出现“铣工、设备点检、机床、机械”，工作环节更贴近“生产、工艺”，因此关联到该节点。</x:v>
      </x:c>
      <x:c r="P470" s="26" t="str">
        <x:v>自动通过</x:v>
      </x:c>
    </x:row>
    <x:row r="471" ht="44" customHeight="1">
      <x:c r="A471" s="27" t="str">
        <x:v>REL000468</x:v>
      </x:c>
      <x:c r="B471" s="25" t="n">
        <x:v>11607</x:v>
      </x:c>
      <x:c r="C471" s="27" t="str">
        <x:v>IC-L3-864</x:v>
      </x:c>
      <x:c r="D471" s="25" t="str">
        <x:v>机械项目管理</x:v>
      </x:c>
      <x:c r="E471" s="27" t="str">
        <x:v>6-31-01-01</x:v>
      </x:c>
      <x:c r="F471" s="25" t="str">
        <x:v>设备点检员</x:v>
      </x:c>
      <x:c r="G471" s="27" t="str">
        <x:v>IC02</x:v>
      </x:c>
      <x:c r="H471" s="25" t="str">
        <x:v>高端装备与智能制造产业链</x:v>
      </x:c>
      <x:c r="I471" s="25" t="str">
        <x:v>中游</x:v>
      </x:c>
      <x:c r="J471" s="27" t="str">
        <x:v>ICN005</x:v>
      </x:c>
      <x:c r="K471" s="25" t="str">
        <x:v>高端装备制造与激光加工</x:v>
      </x:c>
      <x:c r="L471" s="28" t="n">
        <x:v>73</x:v>
      </x:c>
      <x:c r="M471" s="25" t="str">
        <x:v>中</x:v>
      </x:c>
      <x:c r="N471" s="26" t="str">
        <x:v>机械、设备点检、机械设备、生产</x:v>
      </x:c>
      <x:c r="O471" s="26" t="str">
        <x:v>岗位名称/描述出现“机械、设备点检、机械设备”，工作环节更贴近“生产”，因此关联到该节点。</x:v>
      </x:c>
      <x:c r="P471" s="26" t="str">
        <x:v>自动通过</x:v>
      </x:c>
    </x:row>
    <x:row r="472" ht="44" customHeight="1">
      <x:c r="A472" s="27" t="str">
        <x:v>REL000469</x:v>
      </x:c>
      <x:c r="B472" s="25" t="n">
        <x:v>11619</x:v>
      </x:c>
      <x:c r="C472" s="27" t="str">
        <x:v>IC-L3-876</x:v>
      </x:c>
      <x:c r="D472" s="25" t="str">
        <x:v>EHS安全工程师</x:v>
      </x:c>
      <x:c r="E472" s="27" t="str">
        <x:v>2-02-28-03</x:v>
      </x:c>
      <x:c r="F472" s="25" t="str">
        <x:v>安全生产管理工程技术人员</x:v>
      </x:c>
      <x:c r="G472" s="27" t="str">
        <x:v>IC11</x:v>
      </x:c>
      <x:c r="H472" s="25" t="str">
        <x:v>绿色环保与资源循环产业链</x:v>
      </x:c>
      <x:c r="I472" s="25" t="str">
        <x:v>下游</x:v>
      </x:c>
      <x:c r="J472" s="27" t="str">
        <x:v>ICN033</x:v>
      </x:c>
      <x:c r="K472" s="25" t="str">
        <x:v>园区、市政与企业绿色运营</x:v>
      </x:c>
      <x:c r="L472" s="28" t="n">
        <x:v>78</x:v>
      </x:c>
      <x:c r="M472" s="25" t="str">
        <x:v>中</x:v>
      </x:c>
      <x:c r="N472" s="26" t="str">
        <x:v>ehs、安全生产、运营、合规</x:v>
      </x:c>
      <x:c r="O472" s="26" t="str">
        <x:v>岗位名称/描述出现“ehs”，工作环节更贴近“ehs、安全生产、运营、合规”，因此关联到该节点。</x:v>
      </x:c>
      <x:c r="P472" s="26" t="str">
        <x:v>自动通过</x:v>
      </x:c>
    </x:row>
    <x:row r="473" ht="44" customHeight="1">
      <x:c r="A473" s="27" t="str">
        <x:v>REL000470</x:v>
      </x:c>
      <x:c r="B473" s="25" t="n">
        <x:v>11620</x:v>
      </x:c>
      <x:c r="C473" s="27" t="str">
        <x:v>IC-L3-877</x:v>
      </x:c>
      <x:c r="D473" s="25" t="str">
        <x:v>EHS安全经理/主管</x:v>
      </x:c>
      <x:c r="E473" s="27" t="str">
        <x:v>2-02-28-03</x:v>
      </x:c>
      <x:c r="F473" s="25" t="str">
        <x:v>安全生产管理工程技术人员</x:v>
      </x:c>
      <x:c r="G473" s="27" t="str">
        <x:v>IC11</x:v>
      </x:c>
      <x:c r="H473" s="25" t="str">
        <x:v>绿色环保与资源循环产业链</x:v>
      </x:c>
      <x:c r="I473" s="25" t="str">
        <x:v>下游</x:v>
      </x:c>
      <x:c r="J473" s="27" t="str">
        <x:v>ICN033</x:v>
      </x:c>
      <x:c r="K473" s="25" t="str">
        <x:v>园区、市政与企业绿色运营</x:v>
      </x:c>
      <x:c r="L473" s="28" t="n">
        <x:v>78</x:v>
      </x:c>
      <x:c r="M473" s="25" t="str">
        <x:v>中</x:v>
      </x:c>
      <x:c r="N473" s="26" t="str">
        <x:v>ehs、安全生产、运营、合规</x:v>
      </x:c>
      <x:c r="O473" s="26" t="str">
        <x:v>岗位名称/描述出现“ehs”，工作环节更贴近“ehs、安全生产、运营、合规”，因此关联到该节点。</x:v>
      </x:c>
      <x:c r="P473" s="26" t="str">
        <x:v>自动通过</x:v>
      </x:c>
    </x:row>
    <x:row r="474" ht="44" customHeight="1">
      <x:c r="A474" s="27" t="str">
        <x:v>REL000471</x:v>
      </x:c>
      <x:c r="B474" s="25" t="n">
        <x:v>11621</x:v>
      </x:c>
      <x:c r="C474" s="27" t="str">
        <x:v>IC-L3-878</x:v>
      </x:c>
      <x:c r="D474" s="25" t="str">
        <x:v>施工安全员</x:v>
      </x:c>
      <x:c r="E474" s="27" t="str">
        <x:v>2-02-28-03</x:v>
      </x:c>
      <x:c r="F474" s="25" t="str">
        <x:v>安全生产管理工程技术人员</x:v>
      </x:c>
      <x:c r="G474" s="27" t="str">
        <x:v>IC03</x:v>
      </x:c>
      <x:c r="H474" s="25" t="str">
        <x:v>基础设施与城市建设产业链</x:v>
      </x:c>
      <x:c r="I474" s="25" t="str">
        <x:v>中游</x:v>
      </x:c>
      <x:c r="J474" s="27" t="str">
        <x:v>ICN008</x:v>
      </x:c>
      <x:c r="K474" s="25" t="str">
        <x:v>基础设施建设与房地产开发</x:v>
      </x:c>
      <x:c r="L474" s="28" t="n">
        <x:v>75</x:v>
      </x:c>
      <x:c r="M474" s="25" t="str">
        <x:v>中</x:v>
      </x:c>
      <x:c r="N474" s="26" t="str">
        <x:v>施工、建设、项目管理</x:v>
      </x:c>
      <x:c r="O474" s="26" t="str">
        <x:v>岗位名称/描述出现“施工”，工作环节更贴近“施工、建设、项目管理”，因此关联到该节点。</x:v>
      </x:c>
      <x:c r="P474" s="26" t="str">
        <x:v>自动通过</x:v>
      </x:c>
    </x:row>
    <x:row r="475" ht="44" customHeight="1">
      <x:c r="A475" s="27" t="str">
        <x:v>REL000472</x:v>
      </x:c>
      <x:c r="B475" s="25" t="n">
        <x:v>11624</x:v>
      </x:c>
      <x:c r="C475" s="27" t="str">
        <x:v>IC-L3-881</x:v>
      </x:c>
      <x:c r="D475" s="25" t="str">
        <x:v>EHS安全工程师</x:v>
      </x:c>
      <x:c r="E475" s="27" t="str">
        <x:v>2-02-28-03</x:v>
      </x:c>
      <x:c r="F475" s="25" t="str">
        <x:v>安全生产管理工程技术人员</x:v>
      </x:c>
      <x:c r="G475" s="27" t="str">
        <x:v>IC11</x:v>
      </x:c>
      <x:c r="H475" s="25" t="str">
        <x:v>绿色环保与资源循环产业链</x:v>
      </x:c>
      <x:c r="I475" s="25" t="str">
        <x:v>下游</x:v>
      </x:c>
      <x:c r="J475" s="27" t="str">
        <x:v>ICN033</x:v>
      </x:c>
      <x:c r="K475" s="25" t="str">
        <x:v>园区、市政与企业绿色运营</x:v>
      </x:c>
      <x:c r="L475" s="28" t="n">
        <x:v>80</x:v>
      </x:c>
      <x:c r="M475" s="25" t="str">
        <x:v>中</x:v>
      </x:c>
      <x:c r="N475" s="26" t="str">
        <x:v>ehs、环保、安全生产、运营、合规</x:v>
      </x:c>
      <x:c r="O475" s="26" t="str">
        <x:v>岗位名称/描述出现“ehs、环保”，工作环节更贴近“ehs、安全生产、运营、合规”，因此关联到该节点。</x:v>
      </x:c>
      <x:c r="P475" s="26" t="str">
        <x:v>自动通过</x:v>
      </x:c>
    </x:row>
    <x:row r="476" ht="44" customHeight="1">
      <x:c r="A476" s="27" t="str">
        <x:v>REL000473</x:v>
      </x:c>
      <x:c r="B476" s="25" t="n">
        <x:v>11625</x:v>
      </x:c>
      <x:c r="C476" s="27" t="str">
        <x:v>IC-L3-882</x:v>
      </x:c>
      <x:c r="D476" s="25" t="str">
        <x:v>EHS安全经理/主管</x:v>
      </x:c>
      <x:c r="E476" s="27" t="str">
        <x:v>2-02-28-03</x:v>
      </x:c>
      <x:c r="F476" s="25" t="str">
        <x:v>安全生产管理工程技术人员</x:v>
      </x:c>
      <x:c r="G476" s="27" t="str">
        <x:v>IC11</x:v>
      </x:c>
      <x:c r="H476" s="25" t="str">
        <x:v>绿色环保与资源循环产业链</x:v>
      </x:c>
      <x:c r="I476" s="25" t="str">
        <x:v>下游</x:v>
      </x:c>
      <x:c r="J476" s="27" t="str">
        <x:v>ICN033</x:v>
      </x:c>
      <x:c r="K476" s="25" t="str">
        <x:v>园区、市政与企业绿色运营</x:v>
      </x:c>
      <x:c r="L476" s="28" t="n">
        <x:v>77</x:v>
      </x:c>
      <x:c r="M476" s="25" t="str">
        <x:v>中</x:v>
      </x:c>
      <x:c r="N476" s="26" t="str">
        <x:v>ehs、安全生产、运营、合规</x:v>
      </x:c>
      <x:c r="O476" s="26" t="str">
        <x:v>岗位名称/描述出现“ehs”，工作环节更贴近“ehs、安全生产、运营、合规”，因此关联到该节点。</x:v>
      </x:c>
      <x:c r="P476" s="26" t="str">
        <x:v>自动通过</x:v>
      </x:c>
    </x:row>
    <x:row r="477" ht="44" customHeight="1">
      <x:c r="A477" s="27" t="str">
        <x:v>REL000474</x:v>
      </x:c>
      <x:c r="B477" s="25" t="n">
        <x:v>11631</x:v>
      </x:c>
      <x:c r="C477" s="27" t="str">
        <x:v>IC-L3-888</x:v>
      </x:c>
      <x:c r="D477" s="25" t="str">
        <x:v>医疗器械生产/质量管理</x:v>
      </x:c>
      <x:c r="E477" s="27" t="str">
        <x:v>2-02-29-03</x:v>
      </x:c>
      <x:c r="F477" s="25" t="str">
        <x:v>质量管理工程技术人员</x:v>
      </x:c>
      <x:c r="G477" s="27" t="str">
        <x:v>IC04</x:v>
      </x:c>
      <x:c r="H477" s="25" t="str">
        <x:v>医药生物与医疗健康产业链</x:v>
      </x:c>
      <x:c r="I477" s="25" t="str">
        <x:v>中游</x:v>
      </x:c>
      <x:c r="J477" s="27" t="str">
        <x:v>ICN011</x:v>
      </x:c>
      <x:c r="K477" s="25" t="str">
        <x:v>药械生产、医疗装备与数字平台</x:v>
      </x:c>
      <x:c r="L477" s="28" t="n">
        <x:v>94</x:v>
      </x:c>
      <x:c r="M477" s="25" t="str">
        <x:v>高</x:v>
      </x:c>
      <x:c r="N477" s="26" t="str">
        <x:v>医疗、医疗器械、生产、质量</x:v>
      </x:c>
      <x:c r="O477" s="26" t="str">
        <x:v>岗位名称/描述出现“医疗、医疗器械”，工作环节更贴近“医疗器械、生产、质量”，因此关联到该节点。</x:v>
      </x:c>
      <x:c r="P477" s="26" t="str">
        <x:v>自动通过</x:v>
      </x:c>
    </x:row>
    <x:row r="478" ht="44" customHeight="1">
      <x:c r="A478" s="27" t="str">
        <x:v>REL000475</x:v>
      </x:c>
      <x:c r="B478" s="25" t="n">
        <x:v>11635</x:v>
      </x:c>
      <x:c r="C478" s="27" t="str">
        <x:v>IC-L3-892</x:v>
      </x:c>
      <x:c r="D478" s="25" t="str">
        <x:v>服装纺织质检员</x:v>
      </x:c>
      <x:c r="E478" s="27" t="str">
        <x:v>2-02-29-03</x:v>
      </x:c>
      <x:c r="F478" s="25" t="str">
        <x:v>质量管理工程技术人员</x:v>
      </x:c>
      <x:c r="G478" s="27" t="str">
        <x:v>IC17</x:v>
      </x:c>
      <x:c r="H478" s="25" t="str">
        <x:v>纺织产业链</x:v>
      </x:c>
      <x:c r="I478" s="25" t="str">
        <x:v>中游</x:v>
      </x:c>
      <x:c r="J478" s="27" t="str">
        <x:v>ICN050</x:v>
      </x:c>
      <x:c r="K478" s="25" t="str">
        <x:v>纺纱织造、印染与面料制造</x:v>
      </x:c>
      <x:c r="L478" s="28" t="n">
        <x:v>92</x:v>
      </x:c>
      <x:c r="M478" s="25" t="str">
        <x:v>高</x:v>
      </x:c>
      <x:c r="N478" s="26" t="str">
        <x:v>纺织、服装、质检、生产、制造、工艺</x:v>
      </x:c>
      <x:c r="O478" s="26" t="str">
        <x:v>岗位名称/描述出现“纺织、服装”，工作环节更贴近“质检、生产、制造、工艺”，因此关联到该节点。</x:v>
      </x:c>
      <x:c r="P478" s="26" t="str">
        <x:v>自动通过</x:v>
      </x:c>
    </x:row>
    <x:row r="479" ht="44" customHeight="1">
      <x:c r="A479" s="27" t="str">
        <x:v>REL000476</x:v>
      </x:c>
      <x:c r="B479" s="25" t="n">
        <x:v>11636</x:v>
      </x:c>
      <x:c r="C479" s="27" t="str">
        <x:v>IC-L3-893</x:v>
      </x:c>
      <x:c r="D479" s="25" t="str">
        <x:v>汽车质量工程师</x:v>
      </x:c>
      <x:c r="E479" s="27" t="str">
        <x:v>2-02-07-11</x:v>
      </x:c>
      <x:c r="F479" s="25" t="str">
        <x:v>汽车工程技术人员</x:v>
      </x:c>
      <x:c r="G479" s="27" t="str">
        <x:v>IC08</x:v>
      </x:c>
      <x:c r="H479" s="25" t="str">
        <x:v>汽车与智能网联汽车产业链</x:v>
      </x:c>
      <x:c r="I479" s="25" t="str">
        <x:v>中游</x:v>
      </x:c>
      <x:c r="J479" s="27" t="str">
        <x:v>ICN023</x:v>
      </x:c>
      <x:c r="K479" s="25" t="str">
        <x:v>整车制造与智能网联系统集成</x:v>
      </x:c>
      <x:c r="L479" s="28" t="n">
        <x:v>72</x:v>
      </x:c>
      <x:c r="M479" s="25" t="str">
        <x:v>中</x:v>
      </x:c>
      <x:c r="N479" s="26" t="str">
        <x:v>汽车、生产、工艺</x:v>
      </x:c>
      <x:c r="O479" s="26" t="str">
        <x:v>岗位名称/描述出现“汽车”，工作环节更贴近“生产、工艺”，因此关联到该节点。</x:v>
      </x:c>
      <x:c r="P479" s="26" t="str">
        <x:v>自动通过</x:v>
      </x:c>
    </x:row>
    <x:row r="480" ht="44" customHeight="1">
      <x:c r="A480" s="27" t="str">
        <x:v>REL000477</x:v>
      </x:c>
      <x:c r="B480" s="25" t="n">
        <x:v>11638</x:v>
      </x:c>
      <x:c r="C480" s="27" t="str">
        <x:v>IC-L3-895</x:v>
      </x:c>
      <x:c r="D480" s="25" t="str">
        <x:v>药品生产/质量管理</x:v>
      </x:c>
      <x:c r="E480" s="27" t="str">
        <x:v>2-02-29-03</x:v>
      </x:c>
      <x:c r="F480" s="25" t="str">
        <x:v>质量管理工程技术人员</x:v>
      </x:c>
      <x:c r="G480" s="27" t="str">
        <x:v>IC04</x:v>
      </x:c>
      <x:c r="H480" s="25" t="str">
        <x:v>医药生物与医疗健康产业链</x:v>
      </x:c>
      <x:c r="I480" s="25" t="str">
        <x:v>中游</x:v>
      </x:c>
      <x:c r="J480" s="27" t="str">
        <x:v>ICN011</x:v>
      </x:c>
      <x:c r="K480" s="25" t="str">
        <x:v>药械生产、医疗装备与数字平台</x:v>
      </x:c>
      <x:c r="L480" s="28" t="n">
        <x:v>78</x:v>
      </x:c>
      <x:c r="M480" s="25" t="str">
        <x:v>中</x:v>
      </x:c>
      <x:c r="N480" s="26" t="str">
        <x:v>药品、药品生产、生产、质量</x:v>
      </x:c>
      <x:c r="O480" s="26" t="str">
        <x:v>岗位名称/描述出现“药品”，工作环节更贴近“药品生产、生产、质量”，因此关联到该节点。</x:v>
      </x:c>
      <x:c r="P480" s="26" t="str">
        <x:v>自动通过</x:v>
      </x:c>
    </x:row>
    <x:row r="481" ht="44" customHeight="1">
      <x:c r="A481" s="27" t="str">
        <x:v>REL000478</x:v>
      </x:c>
      <x:c r="B481" s="25" t="n">
        <x:v>11673</x:v>
      </x:c>
      <x:c r="C481" s="27" t="str">
        <x:v>IC-L3-930</x:v>
      </x:c>
      <x:c r="D481" s="25" t="str">
        <x:v>乘务员</x:v>
      </x:c>
      <x:c r="E481" s="27" t="str">
        <x:v>4-02-04-01</x:v>
      </x:c>
      <x:c r="F481" s="25" t="str">
        <x:v>民航乘务员</x:v>
      </x:c>
      <x:c r="G481" s="27" t="str">
        <x:v>IC13</x:v>
      </x:c>
      <x:c r="H481" s="25" t="str">
        <x:v>空天装备与低空经济产业链</x:v>
      </x:c>
      <x:c r="I481" s="25" t="str">
        <x:v>下游</x:v>
      </x:c>
      <x:c r="J481" s="27" t="str">
        <x:v>ICN039</x:v>
      </x:c>
      <x:c r="K481" s="25" t="str">
        <x:v>低空运营、空域服务与场景应用</x:v>
      </x:c>
      <x:c r="L481" s="28" t="n">
        <x:v>71</x:v>
      </x:c>
      <x:c r="M481" s="25" t="str">
        <x:v>中</x:v>
      </x:c>
      <x:c r="N481" s="26" t="str">
        <x:v>乘务员、民航、运营</x:v>
      </x:c>
      <x:c r="O481" s="26" t="str">
        <x:v>岗位名称/描述出现“乘务员、民航”，工作环节更贴近“民航、运营”，因此关联到该节点。</x:v>
      </x:c>
      <x:c r="P481" s="26" t="str">
        <x:v>自动通过</x:v>
      </x:c>
    </x:row>
    <x:row r="482" ht="44" customHeight="1">
      <x:c r="A482" s="27" t="str">
        <x:v>REL000479</x:v>
      </x:c>
      <x:c r="B482" s="25" t="n">
        <x:v>11677</x:v>
      </x:c>
      <x:c r="C482" s="27" t="str">
        <x:v>IC-L3-934</x:v>
      </x:c>
      <x:c r="D482" s="25" t="str">
        <x:v>空乘人员</x:v>
      </x:c>
      <x:c r="E482" s="27" t="str">
        <x:v>4-02-04-01</x:v>
      </x:c>
      <x:c r="F482" s="25" t="str">
        <x:v>民航乘务员</x:v>
      </x:c>
      <x:c r="G482" s="27" t="str">
        <x:v>IC13</x:v>
      </x:c>
      <x:c r="H482" s="25" t="str">
        <x:v>空天装备与低空经济产业链</x:v>
      </x:c>
      <x:c r="I482" s="25" t="str">
        <x:v>下游</x:v>
      </x:c>
      <x:c r="J482" s="27" t="str">
        <x:v>ICN039</x:v>
      </x:c>
      <x:c r="K482" s="25" t="str">
        <x:v>低空运营、空域服务与场景应用</x:v>
      </x:c>
      <x:c r="L482" s="28" t="n">
        <x:v>81</x:v>
      </x:c>
      <x:c r="M482" s="25" t="str">
        <x:v>中</x:v>
      </x:c>
      <x:c r="N482" s="26" t="str">
        <x:v>空乘、民航、乘务员、航空、飞行</x:v>
      </x:c>
      <x:c r="O482" s="26" t="str">
        <x:v>岗位名称/描述出现“空乘、民航、乘务员、航空、飞行”，工作环节更贴近“空乘、民航”，因此关联到该节点。</x:v>
      </x:c>
      <x:c r="P482" s="26" t="str">
        <x:v>自动通过</x:v>
      </x:c>
    </x:row>
    <x:row r="483" ht="44" customHeight="1">
      <x:c r="A483" s="27" t="str">
        <x:v>REL000480</x:v>
      </x:c>
      <x:c r="B483" s="25" t="n">
        <x:v>11681</x:v>
      </x:c>
      <x:c r="C483" s="27" t="str">
        <x:v>IC-L3-938</x:v>
      </x:c>
      <x:c r="D483" s="25" t="str">
        <x:v>飞机机长/副机长</x:v>
      </x:c>
      <x:c r="E483" s="27" t="str">
        <x:v>4-02-04-01</x:v>
      </x:c>
      <x:c r="F483" s="25" t="str">
        <x:v>民航乘务员</x:v>
      </x:c>
      <x:c r="G483" s="27" t="str">
        <x:v>IC13</x:v>
      </x:c>
      <x:c r="H483" s="25" t="str">
        <x:v>空天装备与低空经济产业链</x:v>
      </x:c>
      <x:c r="I483" s="25" t="str">
        <x:v>下游</x:v>
      </x:c>
      <x:c r="J483" s="27" t="str">
        <x:v>ICN039</x:v>
      </x:c>
      <x:c r="K483" s="25" t="str">
        <x:v>低空运营、空域服务与场景应用</x:v>
      </x:c>
      <x:c r="L483" s="28" t="n">
        <x:v>58</x:v>
      </x:c>
      <x:c r="M483" s="25" t="str">
        <x:v>低</x:v>
      </x:c>
      <x:c r="N483" s="26" t="str">
        <x:v>民航、乘务员、飞行</x:v>
      </x:c>
      <x:c r="O483" s="26" t="str">
        <x:v>岗位名称/描述出现“民航、乘务员、飞行”，工作环节更贴近“民航”，因此关联到该节点。</x:v>
      </x:c>
      <x:c r="P483" s="26" t="str">
        <x:v>建议复核</x:v>
      </x:c>
    </x:row>
    <x:row r="484" ht="44" customHeight="1">
      <x:c r="A484" s="27" t="str">
        <x:v>REL000481</x:v>
      </x:c>
      <x:c r="B484" s="25" t="n">
        <x:v>11685</x:v>
      </x:c>
      <x:c r="C484" s="27" t="str">
        <x:v>IC-L3-942</x:v>
      </x:c>
      <x:c r="D484" s="25" t="str">
        <x:v>机场代表</x:v>
      </x:c>
      <x:c r="E484" s="27" t="str">
        <x:v>4-02-04-01</x:v>
      </x:c>
      <x:c r="F484" s="25" t="str">
        <x:v>民航乘务员</x:v>
      </x:c>
      <x:c r="G484" s="27" t="str">
        <x:v>IC13</x:v>
      </x:c>
      <x:c r="H484" s="25" t="str">
        <x:v>空天装备与低空经济产业链</x:v>
      </x:c>
      <x:c r="I484" s="25" t="str">
        <x:v>下游</x:v>
      </x:c>
      <x:c r="J484" s="27" t="str">
        <x:v>ICN039</x:v>
      </x:c>
      <x:c r="K484" s="25" t="str">
        <x:v>低空运营、空域服务与场景应用</x:v>
      </x:c>
      <x:c r="L484" s="28" t="n">
        <x:v>73</x:v>
      </x:c>
      <x:c r="M484" s="25" t="str">
        <x:v>中</x:v>
      </x:c>
      <x:c r="N484" s="26" t="str">
        <x:v>机场、民航、乘务员、航空、运营</x:v>
      </x:c>
      <x:c r="O484" s="26" t="str">
        <x:v>岗位名称/描述出现“机场、民航、乘务员、航空”，工作环节更贴近“民航、运营”，因此关联到该节点。</x:v>
      </x:c>
      <x:c r="P484" s="26" t="str">
        <x:v>自动通过</x:v>
      </x:c>
    </x:row>
    <x:row r="485" ht="44" customHeight="1">
      <x:c r="A485" s="27" t="str">
        <x:v>REL000482</x:v>
      </x:c>
      <x:c r="B485" s="25" t="n">
        <x:v>11686</x:v>
      </x:c>
      <x:c r="C485" s="27" t="str">
        <x:v>IC-L3-943</x:v>
      </x:c>
      <x:c r="D485" s="25" t="str">
        <x:v>按摩</x:v>
      </x:c>
      <x:c r="E485" s="27" t="str">
        <x:v>2-05-10-00</x:v>
      </x:c>
      <x:c r="F485" s="25" t="str">
        <x:v>盲人医疗按摩人员</x:v>
      </x:c>
      <x:c r="G485" s="27" t="str">
        <x:v>IC04</x:v>
      </x:c>
      <x:c r="H485" s="25" t="str">
        <x:v>医药生物与医疗健康产业链</x:v>
      </x:c>
      <x:c r="I485" s="25" t="str">
        <x:v>下游</x:v>
      </x:c>
      <x:c r="J485" s="27" t="str">
        <x:v>ICN012</x:v>
      </x:c>
      <x:c r="K485" s="25" t="str">
        <x:v>医疗服务、临床应用与健康管理</x:v>
      </x:c>
      <x:c r="L485" s="28" t="n">
        <x:v>80</x:v>
      </x:c>
      <x:c r="M485" s="25" t="str">
        <x:v>中</x:v>
      </x:c>
      <x:c r="N485" s="26" t="str">
        <x:v>按摩、医疗、健康管理</x:v>
      </x:c>
      <x:c r="O485" s="26" t="str">
        <x:v>岗位名称/描述出现“按摩、医疗、健康管理”，工作环节更贴近“按摩、健康管理”，因此关联到该节点。</x:v>
      </x:c>
      <x:c r="P485" s="26" t="str">
        <x:v>自动通过</x:v>
      </x:c>
    </x:row>
    <x:row r="486" ht="44" customHeight="1">
      <x:c r="A486" s="27" t="str">
        <x:v>REL000483</x:v>
      </x:c>
      <x:c r="B486" s="25" t="n">
        <x:v>11687</x:v>
      </x:c>
      <x:c r="C486" s="27" t="str">
        <x:v>IC-L3-944</x:v>
      </x:c>
      <x:c r="D486" s="25" t="str">
        <x:v>营养师</x:v>
      </x:c>
      <x:c r="E486" s="27" t="str">
        <x:v>4-14-02-01</x:v>
      </x:c>
      <x:c r="F486" s="25" t="str">
        <x:v>营养师</x:v>
      </x:c>
      <x:c r="G486" s="27" t="str">
        <x:v>IC04</x:v>
      </x:c>
      <x:c r="H486" s="25" t="str">
        <x:v>医药生物与医疗健康产业链</x:v>
      </x:c>
      <x:c r="I486" s="25" t="str">
        <x:v>下游</x:v>
      </x:c>
      <x:c r="J486" s="27" t="str">
        <x:v>ICN012</x:v>
      </x:c>
      <x:c r="K486" s="25" t="str">
        <x:v>医疗服务、临床应用与健康管理</x:v>
      </x:c>
      <x:c r="L486" s="28" t="n">
        <x:v>80</x:v>
      </x:c>
      <x:c r="M486" s="25" t="str">
        <x:v>中</x:v>
      </x:c>
      <x:c r="N486" s="26" t="str">
        <x:v>营养师、健康管理、营养</x:v>
      </x:c>
      <x:c r="O486" s="26" t="str">
        <x:v>岗位名称/描述出现“营养师、健康管理”，工作环节更贴近“营养、健康管理”，因此关联到该节点。</x:v>
      </x:c>
      <x:c r="P486" s="26" t="str">
        <x:v>自动通过</x:v>
      </x:c>
    </x:row>
    <x:row r="487" ht="44" customHeight="1">
      <x:c r="A487" s="27" t="str">
        <x:v>REL000484</x:v>
      </x:c>
      <x:c r="B487" s="25" t="n">
        <x:v>11687</x:v>
      </x:c>
      <x:c r="C487" s="27" t="str">
        <x:v>IC-L3-944</x:v>
      </x:c>
      <x:c r="D487" s="25" t="str">
        <x:v>营养师</x:v>
      </x:c>
      <x:c r="E487" s="27" t="str">
        <x:v>4-14-02-01</x:v>
      </x:c>
      <x:c r="F487" s="25" t="str">
        <x:v>营养师</x:v>
      </x:c>
      <x:c r="G487" s="27" t="str">
        <x:v>IC09</x:v>
      </x:c>
      <x:c r="H487" s="25" t="str">
        <x:v>食品饮料产业链</x:v>
      </x:c>
      <x:c r="I487" s="25" t="str">
        <x:v>下游</x:v>
      </x:c>
      <x:c r="J487" s="27" t="str">
        <x:v>ICN027</x:v>
      </x:c>
      <x:c r="K487" s="25" t="str">
        <x:v>品牌渠道、餐饮零售与消费服务</x:v>
      </x:c>
      <x:c r="L487" s="28" t="n">
        <x:v>77</x:v>
      </x:c>
      <x:c r="M487" s="25" t="str">
        <x:v>中</x:v>
      </x:c>
      <x:c r="N487" s="26" t="str">
        <x:v>营养师、营养</x:v>
      </x:c>
      <x:c r="O487" s="26" t="str">
        <x:v>岗位名称/描述出现“营养师”，工作环节更贴近“营养”，因此关联到该节点。</x:v>
      </x:c>
      <x:c r="P487" s="26" t="str">
        <x:v>自动通过</x:v>
      </x:c>
    </x:row>
    <x:row r="488" ht="44" customHeight="1">
      <x:c r="A488" s="27" t="str">
        <x:v>REL000485</x:v>
      </x:c>
      <x:c r="B488" s="25" t="n">
        <x:v>11688</x:v>
      </x:c>
      <x:c r="C488" s="27" t="str">
        <x:v>IC-L3-945</x:v>
      </x:c>
      <x:c r="D488" s="25" t="str">
        <x:v>心理咨询师</x:v>
      </x:c>
      <x:c r="E488" s="27" t="str">
        <x:v>2-07-11-03</x:v>
      </x:c>
      <x:c r="F488" s="25" t="str">
        <x:v>心理咨询师</x:v>
      </x:c>
      <x:c r="G488" s="27" t="str">
        <x:v>IC04</x:v>
      </x:c>
      <x:c r="H488" s="25" t="str">
        <x:v>医药生物与医疗健康产业链</x:v>
      </x:c>
      <x:c r="I488" s="25" t="str">
        <x:v>下游</x:v>
      </x:c>
      <x:c r="J488" s="27" t="str">
        <x:v>ICN012</x:v>
      </x:c>
      <x:c r="K488" s="25" t="str">
        <x:v>医疗服务、临床应用与健康管理</x:v>
      </x:c>
      <x:c r="L488" s="28" t="n">
        <x:v>80</x:v>
      </x:c>
      <x:c r="M488" s="25" t="str">
        <x:v>中</x:v>
      </x:c>
      <x:c r="N488" s="26" t="str">
        <x:v>心理咨询、康复</x:v>
      </x:c>
      <x:c r="O488" s="26" t="str">
        <x:v>岗位名称/描述出现“心理咨询、康复”，工作环节更贴近“心理咨询、康复”，因此关联到该节点。</x:v>
      </x:c>
      <x:c r="P488" s="26" t="str">
        <x:v>自动通过</x:v>
      </x:c>
    </x:row>
    <x:row r="489" ht="44" customHeight="1">
      <x:c r="A489" s="27" t="str">
        <x:v>REL000486</x:v>
      </x:c>
      <x:c r="B489" s="25" t="n">
        <x:v>11689</x:v>
      </x:c>
      <x:c r="C489" s="27" t="str">
        <x:v>IC-L3-946</x:v>
      </x:c>
      <x:c r="D489" s="25" t="str">
        <x:v>健康管理师</x:v>
      </x:c>
      <x:c r="E489" s="27" t="str">
        <x:v>4-14-02-02</x:v>
      </x:c>
      <x:c r="F489" s="25" t="str">
        <x:v>健康管理师</x:v>
      </x:c>
      <x:c r="G489" s="27" t="str">
        <x:v>IC04</x:v>
      </x:c>
      <x:c r="H489" s="25" t="str">
        <x:v>医药生物与医疗健康产业链</x:v>
      </x:c>
      <x:c r="I489" s="25" t="str">
        <x:v>下游</x:v>
      </x:c>
      <x:c r="J489" s="27" t="str">
        <x:v>ICN012</x:v>
      </x:c>
      <x:c r="K489" s="25" t="str">
        <x:v>医疗服务、临床应用与健康管理</x:v>
      </x:c>
      <x:c r="L489" s="28" t="n">
        <x:v>77</x:v>
      </x:c>
      <x:c r="M489" s="25" t="str">
        <x:v>中</x:v>
      </x:c>
      <x:c r="N489" s="26" t="str">
        <x:v>健康管理</x:v>
      </x:c>
      <x:c r="O489" s="26" t="str">
        <x:v>岗位名称/描述出现“健康管理”，工作环节更贴近“健康管理”，因此关联到该节点。</x:v>
      </x:c>
      <x:c r="P489" s="26" t="str">
        <x:v>自动通过</x:v>
      </x:c>
    </x:row>
    <x:row r="490" ht="44" customHeight="1">
      <x:c r="A490" s="27" t="str">
        <x:v>REL000487</x:v>
      </x:c>
      <x:c r="B490" s="25" t="n">
        <x:v>11695</x:v>
      </x:c>
      <x:c r="C490" s="27" t="str">
        <x:v>IC-L3-952</x:v>
      </x:c>
      <x:c r="D490" s="25" t="str">
        <x:v>宠物医生</x:v>
      </x:c>
      <x:c r="E490" s="27" t="str">
        <x:v>2-03-06-03</x:v>
      </x:c>
      <x:c r="F490" s="25" t="str">
        <x:v>宠物医师</x:v>
      </x:c>
      <x:c r="G490" s="27" t="str">
        <x:v>IC04</x:v>
      </x:c>
      <x:c r="H490" s="25" t="str">
        <x:v>医药生物与医疗健康产业链</x:v>
      </x:c>
      <x:c r="I490" s="25" t="str">
        <x:v>下游</x:v>
      </x:c>
      <x:c r="J490" s="27" t="str">
        <x:v>ICN012</x:v>
      </x:c>
      <x:c r="K490" s="25" t="str">
        <x:v>医疗服务、临床应用与健康管理</x:v>
      </x:c>
      <x:c r="L490" s="28" t="n">
        <x:v>90</x:v>
      </x:c>
      <x:c r="M490" s="25" t="str">
        <x:v>高</x:v>
      </x:c>
      <x:c r="N490" s="26" t="str">
        <x:v>医生、医师、医疗、药品、诊断、护理、康复、医疗服务</x:v>
      </x:c>
      <x:c r="O490" s="26" t="str">
        <x:v>岗位名称/描述出现“医生、医师、医疗、药品、诊断”，工作环节更贴近“医生、医师、护理、康复、医疗服务”，因此关联到该节点。</x:v>
      </x:c>
      <x:c r="P490" s="26" t="str">
        <x:v>自动通过</x:v>
      </x:c>
    </x:row>
    <x:row r="491" ht="44" customHeight="1">
      <x:c r="A491" s="27" t="str">
        <x:v>REL000488</x:v>
      </x:c>
      <x:c r="B491" s="25" t="n">
        <x:v>11696</x:v>
      </x:c>
      <x:c r="C491" s="27" t="str">
        <x:v>IC-L3-953</x:v>
      </x:c>
      <x:c r="D491" s="25" t="str">
        <x:v>宠物医生助理</x:v>
      </x:c>
      <x:c r="E491" s="27" t="str">
        <x:v>2-03-06-03</x:v>
      </x:c>
      <x:c r="F491" s="25" t="str">
        <x:v>宠物医师</x:v>
      </x:c>
      <x:c r="G491" s="27" t="str">
        <x:v>IC04</x:v>
      </x:c>
      <x:c r="H491" s="25" t="str">
        <x:v>医药生物与医疗健康产业链</x:v>
      </x:c>
      <x:c r="I491" s="25" t="str">
        <x:v>下游</x:v>
      </x:c>
      <x:c r="J491" s="27" t="str">
        <x:v>ICN012</x:v>
      </x:c>
      <x:c r="K491" s="25" t="str">
        <x:v>医疗服务、临床应用与健康管理</x:v>
      </x:c>
      <x:c r="L491" s="28" t="n">
        <x:v>86</x:v>
      </x:c>
      <x:c r="M491" s="25" t="str">
        <x:v>高</x:v>
      </x:c>
      <x:c r="N491" s="26" t="str">
        <x:v>医生、医师、医疗、诊断、护理、诊疗、医疗服务</x:v>
      </x:c>
      <x:c r="O491" s="26" t="str">
        <x:v>岗位名称/描述出现“医生、医师、医疗、诊断、护理”，工作环节更贴近“医生、医师、护理、诊疗、医疗服务”，因此关联到该节点。</x:v>
      </x:c>
      <x:c r="P491" s="26" t="str">
        <x:v>自动通过</x:v>
      </x:c>
    </x:row>
    <x:row r="492" ht="44" customHeight="1">
      <x:c r="A492" s="27" t="str">
        <x:v>REL000489</x:v>
      </x:c>
      <x:c r="B492" s="25" t="n">
        <x:v>11697</x:v>
      </x:c>
      <x:c r="C492" s="27" t="str">
        <x:v>IC-L3-954</x:v>
      </x:c>
      <x:c r="D492" s="25" t="str">
        <x:v>宠物护理/美容</x:v>
      </x:c>
      <x:c r="E492" s="27" t="str">
        <x:v>4-10-03-01</x:v>
      </x:c>
      <x:c r="F492" s="25" t="str">
        <x:v>美容师</x:v>
      </x:c>
      <x:c r="G492" s="27" t="str">
        <x:v>IC04</x:v>
      </x:c>
      <x:c r="H492" s="25" t="str">
        <x:v>医药生物与医疗健康产业链</x:v>
      </x:c>
      <x:c r="I492" s="25" t="str">
        <x:v>下游</x:v>
      </x:c>
      <x:c r="J492" s="27" t="str">
        <x:v>ICN012</x:v>
      </x:c>
      <x:c r="K492" s="25" t="str">
        <x:v>医疗服务、临床应用与健康管理</x:v>
      </x:c>
      <x:c r="L492" s="28" t="n">
        <x:v>73</x:v>
      </x:c>
      <x:c r="M492" s="25" t="str">
        <x:v>中</x:v>
      </x:c>
      <x:c r="N492" s="26" t="str">
        <x:v>护理</x:v>
      </x:c>
      <x:c r="O492" s="26" t="str">
        <x:v>岗位名称/描述出现“护理”，工作环节更贴近“护理”，因此关联到该节点。</x:v>
      </x:c>
      <x:c r="P492" s="26" t="str">
        <x:v>自动通过</x:v>
      </x:c>
    </x:row>
    <x:row r="493" ht="44" customHeight="1">
      <x:c r="A493" s="27" t="str">
        <x:v>REL000490</x:v>
      </x:c>
      <x:c r="B493" s="25" t="n">
        <x:v>11702</x:v>
      </x:c>
      <x:c r="C493" s="27" t="str">
        <x:v>IC-L3-959</x:v>
      </x:c>
      <x:c r="D493" s="25" t="str">
        <x:v>护工</x:v>
      </x:c>
      <x:c r="E493" s="27" t="str">
        <x:v>4-10-01-06</x:v>
      </x:c>
      <x:c r="F493" s="25" t="str">
        <x:v>家政服务员</x:v>
      </x:c>
      <x:c r="G493" s="27" t="str">
        <x:v>IC04</x:v>
      </x:c>
      <x:c r="H493" s="25" t="str">
        <x:v>医药生物与医疗健康产业链</x:v>
      </x:c>
      <x:c r="I493" s="25" t="str">
        <x:v>下游</x:v>
      </x:c>
      <x:c r="J493" s="27" t="str">
        <x:v>ICN012</x:v>
      </x:c>
      <x:c r="K493" s="25" t="str">
        <x:v>医疗服务、临床应用与健康管理</x:v>
      </x:c>
      <x:c r="L493" s="28" t="n">
        <x:v>58</x:v>
      </x:c>
      <x:c r="M493" s="25" t="str">
        <x:v>低</x:v>
      </x:c>
      <x:c r="N493" s="26" t="str">
        <x:v>医疗、药物、护理、医疗服务</x:v>
      </x:c>
      <x:c r="O493" s="26" t="str">
        <x:v>岗位名称/描述出现“医疗、药物、护理”，工作环节更贴近“护理、医疗服务”，因此关联到该节点。</x:v>
      </x:c>
      <x:c r="P493" s="26" t="str">
        <x:v>建议复核</x:v>
      </x:c>
    </x:row>
    <x:row r="494" ht="44" customHeight="1">
      <x:c r="A494" s="27" t="str">
        <x:v>REL000491</x:v>
      </x:c>
      <x:c r="B494" s="25" t="n">
        <x:v>11704</x:v>
      </x:c>
      <x:c r="C494" s="27" t="str">
        <x:v>IC-L3-961</x:v>
      </x:c>
      <x:c r="D494" s="25" t="str">
        <x:v>育婴师/保育员</x:v>
      </x:c>
      <x:c r="E494" s="27" t="str">
        <x:v>4-10-01-06</x:v>
      </x:c>
      <x:c r="F494" s="25" t="str">
        <x:v>家政服务员</x:v>
      </x:c>
      <x:c r="G494" s="27" t="str">
        <x:v>IC04</x:v>
      </x:c>
      <x:c r="H494" s="25" t="str">
        <x:v>医药生物与医疗健康产业链</x:v>
      </x:c>
      <x:c r="I494" s="25" t="str">
        <x:v>下游</x:v>
      </x:c>
      <x:c r="J494" s="27" t="str">
        <x:v>ICN012</x:v>
      </x:c>
      <x:c r="K494" s="25" t="str">
        <x:v>医疗服务、临床应用与健康管理</x:v>
      </x:c>
      <x:c r="L494" s="28" t="n">
        <x:v>58</x:v>
      </x:c>
      <x:c r="M494" s="25" t="str">
        <x:v>低</x:v>
      </x:c>
      <x:c r="N494" s="26" t="str">
        <x:v>诊断、医生、护理</x:v>
      </x:c>
      <x:c r="O494" s="26" t="str">
        <x:v>岗位名称/描述出现“诊断、医生、护理”，工作环节更贴近“医生、护理”，因此关联到该节点。</x:v>
      </x:c>
      <x:c r="P494" s="26" t="str">
        <x:v>建议复核</x:v>
      </x:c>
    </x:row>
    <x:row r="495" ht="44" customHeight="1">
      <x:c r="A495" s="27" t="str">
        <x:v>REL000492</x:v>
      </x:c>
      <x:c r="B495" s="25" t="n">
        <x:v>11705</x:v>
      </x:c>
      <x:c r="C495" s="27" t="str">
        <x:v>IC-L3-962</x:v>
      </x:c>
      <x:c r="D495" s="25" t="str">
        <x:v>养老护理员</x:v>
      </x:c>
      <x:c r="E495" s="27" t="str">
        <x:v>2-05-08-01</x:v>
      </x:c>
      <x:c r="F495" s="25" t="str">
        <x:v>内科护士</x:v>
      </x:c>
      <x:c r="G495" s="27" t="str">
        <x:v>IC04</x:v>
      </x:c>
      <x:c r="H495" s="25" t="str">
        <x:v>医药生物与医疗健康产业链</x:v>
      </x:c>
      <x:c r="I495" s="25" t="str">
        <x:v>下游</x:v>
      </x:c>
      <x:c r="J495" s="27" t="str">
        <x:v>ICN012</x:v>
      </x:c>
      <x:c r="K495" s="25" t="str">
        <x:v>医疗服务、临床应用与健康管理</x:v>
      </x:c>
      <x:c r="L495" s="28" t="n">
        <x:v>82</x:v>
      </x:c>
      <x:c r="M495" s="25" t="str">
        <x:v>高</x:v>
      </x:c>
      <x:c r="N495" s="26" t="str">
        <x:v>护理、护士、医疗、康复</x:v>
      </x:c>
      <x:c r="O495" s="26" t="str">
        <x:v>岗位名称/描述出现“护理、护士、医疗、康复”，工作环节更贴近“护理、护士、康复”，因此关联到该节点。</x:v>
      </x:c>
      <x:c r="P495" s="26" t="str">
        <x:v>自动通过</x:v>
      </x:c>
    </x:row>
    <x:row r="496" ht="44" customHeight="1">
      <x:c r="A496" s="27" t="str">
        <x:v>REL000493</x:v>
      </x:c>
      <x:c r="B496" s="25" t="n">
        <x:v>11708</x:v>
      </x:c>
      <x:c r="C496" s="27" t="str">
        <x:v>IC-L3-965</x:v>
      </x:c>
      <x:c r="D496" s="25" t="str">
        <x:v>餐饮服务员</x:v>
      </x:c>
      <x:c r="E496" s="27" t="str">
        <x:v>4-03-02-05</x:v>
      </x:c>
      <x:c r="F496" s="25" t="str">
        <x:v>餐厅服务员</x:v>
      </x:c>
      <x:c r="G496" s="27" t="str">
        <x:v>IC09</x:v>
      </x:c>
      <x:c r="H496" s="25" t="str">
        <x:v>食品饮料产业链</x:v>
      </x:c>
      <x:c r="I496" s="25" t="str">
        <x:v>下游</x:v>
      </x:c>
      <x:c r="J496" s="27" t="str">
        <x:v>ICN027</x:v>
      </x:c>
      <x:c r="K496" s="25" t="str">
        <x:v>品牌渠道、餐饮零售与消费服务</x:v>
      </x:c>
      <x:c r="L496" s="28" t="n">
        <x:v>88</x:v>
      </x:c>
      <x:c r="M496" s="25" t="str">
        <x:v>高</x:v>
      </x:c>
      <x:c r="N496" s="26" t="str">
        <x:v>餐饮、餐厅服务、食品、饮料、厨师、餐厅、零售、品牌</x:v>
      </x:c>
      <x:c r="O496" s="26" t="str">
        <x:v>岗位名称/描述出现“餐饮、餐厅服务、食品、饮料、厨师”，工作环节更贴近“餐饮、餐厅、厨师、零售、品牌”，因此关联到该节点。</x:v>
      </x:c>
      <x:c r="P496" s="26" t="str">
        <x:v>自动通过</x:v>
      </x:c>
    </x:row>
    <x:row r="497" ht="44" customHeight="1">
      <x:c r="A497" s="27" t="str">
        <x:v>REL000494</x:v>
      </x:c>
      <x:c r="B497" s="25" t="n">
        <x:v>11710</x:v>
      </x:c>
      <x:c r="C497" s="27" t="str">
        <x:v>IC-L3-967</x:v>
      </x:c>
      <x:c r="D497" s="25" t="str">
        <x:v>厨师助理/学徒</x:v>
      </x:c>
      <x:c r="E497" s="27" t="str">
        <x:v>4-07-03-01</x:v>
      </x:c>
      <x:c r="F497" s="25" t="str">
        <x:v>职业指导师</x:v>
      </x:c>
      <x:c r="G497" s="27" t="str">
        <x:v>IC09</x:v>
      </x:c>
      <x:c r="H497" s="25" t="str">
        <x:v>食品饮料产业链</x:v>
      </x:c>
      <x:c r="I497" s="25" t="str">
        <x:v>下游</x:v>
      </x:c>
      <x:c r="J497" s="27" t="str">
        <x:v>ICN027</x:v>
      </x:c>
      <x:c r="K497" s="25" t="str">
        <x:v>品牌渠道、餐饮零售与消费服务</x:v>
      </x:c>
      <x:c r="L497" s="28" t="n">
        <x:v>76</x:v>
      </x:c>
      <x:c r="M497" s="25" t="str">
        <x:v>中</x:v>
      </x:c>
      <x:c r="N497" s="26" t="str">
        <x:v>厨师、餐饮</x:v>
      </x:c>
      <x:c r="O497" s="26" t="str">
        <x:v>岗位名称/描述出现“厨师、餐饮”，工作环节更贴近“厨师、餐饮”，因此关联到该节点。</x:v>
      </x:c>
      <x:c r="P497" s="26" t="str">
        <x:v>自动通过</x:v>
      </x:c>
    </x:row>
    <x:row r="498" ht="44" customHeight="1">
      <x:c r="A498" s="27" t="str">
        <x:v>REL000495</x:v>
      </x:c>
      <x:c r="B498" s="25" t="n">
        <x:v>11712</x:v>
      </x:c>
      <x:c r="C498" s="27" t="str">
        <x:v>IC-L3-969</x:v>
      </x:c>
      <x:c r="D498" s="25" t="str">
        <x:v>茶艺师</x:v>
      </x:c>
      <x:c r="E498" s="27" t="str">
        <x:v>4-03-02-05</x:v>
      </x:c>
      <x:c r="F498" s="25" t="str">
        <x:v>餐厅服务员</x:v>
      </x:c>
      <x:c r="G498" s="27" t="str">
        <x:v>IC09</x:v>
      </x:c>
      <x:c r="H498" s="25" t="str">
        <x:v>食品饮料产业链</x:v>
      </x:c>
      <x:c r="I498" s="25" t="str">
        <x:v>下游</x:v>
      </x:c>
      <x:c r="J498" s="27" t="str">
        <x:v>ICN027</x:v>
      </x:c>
      <x:c r="K498" s="25" t="str">
        <x:v>品牌渠道、餐饮零售与消费服务</x:v>
      </x:c>
      <x:c r="L498" s="28" t="n">
        <x:v>77</x:v>
      </x:c>
      <x:c r="M498" s="25" t="str">
        <x:v>中</x:v>
      </x:c>
      <x:c r="N498" s="26" t="str">
        <x:v>茶艺、餐厅服务、餐厅</x:v>
      </x:c>
      <x:c r="O498" s="26" t="str">
        <x:v>岗位名称/描述出现“茶艺、餐厅服务”，工作环节更贴近“茶艺、餐厅”，因此关联到该节点。</x:v>
      </x:c>
      <x:c r="P498" s="26" t="str">
        <x:v>自动通过</x:v>
      </x:c>
    </x:row>
    <x:row r="499" ht="44" customHeight="1">
      <x:c r="A499" s="27" t="str">
        <x:v>REL000496</x:v>
      </x:c>
      <x:c r="B499" s="25" t="n">
        <x:v>11713</x:v>
      </x:c>
      <x:c r="C499" s="27" t="str">
        <x:v>IC-L3-970</x:v>
      </x:c>
      <x:c r="D499" s="25" t="str">
        <x:v>营养师</x:v>
      </x:c>
      <x:c r="E499" s="27" t="str">
        <x:v>4-03-02-05</x:v>
      </x:c>
      <x:c r="F499" s="25" t="str">
        <x:v>餐厅服务员</x:v>
      </x:c>
      <x:c r="G499" s="27" t="str">
        <x:v>IC09</x:v>
      </x:c>
      <x:c r="H499" s="25" t="str">
        <x:v>食品饮料产业链</x:v>
      </x:c>
      <x:c r="I499" s="25" t="str">
        <x:v>下游</x:v>
      </x:c>
      <x:c r="J499" s="27" t="str">
        <x:v>ICN027</x:v>
      </x:c>
      <x:c r="K499" s="25" t="str">
        <x:v>品牌渠道、餐饮零售与消费服务</x:v>
      </x:c>
      <x:c r="L499" s="28" t="n">
        <x:v>84</x:v>
      </x:c>
      <x:c r="M499" s="25" t="str">
        <x:v>高</x:v>
      </x:c>
      <x:c r="N499" s="26" t="str">
        <x:v>营养师、餐厅服务、食品、餐饮、食品安全、营养、餐厅</x:v>
      </x:c>
      <x:c r="O499" s="26" t="str">
        <x:v>岗位名称/描述出现“营养师、餐厅服务、食品、餐饮、食品安全”，工作环节更贴近“营养、餐厅、餐饮”，因此关联到该节点。</x:v>
      </x:c>
      <x:c r="P499" s="26" t="str">
        <x:v>自动通过</x:v>
      </x:c>
    </x:row>
    <x:row r="500" ht="44" customHeight="1">
      <x:c r="A500" s="27" t="str">
        <x:v>REL000497</x:v>
      </x:c>
      <x:c r="B500" s="25" t="n">
        <x:v>11713</x:v>
      </x:c>
      <x:c r="C500" s="27" t="str">
        <x:v>IC-L3-970</x:v>
      </x:c>
      <x:c r="D500" s="25" t="str">
        <x:v>营养师</x:v>
      </x:c>
      <x:c r="E500" s="27" t="str">
        <x:v>4-03-02-05</x:v>
      </x:c>
      <x:c r="F500" s="25" t="str">
        <x:v>餐厅服务员</x:v>
      </x:c>
      <x:c r="G500" s="27" t="str">
        <x:v>IC04</x:v>
      </x:c>
      <x:c r="H500" s="25" t="str">
        <x:v>医药生物与医疗健康产业链</x:v>
      </x:c>
      <x:c r="I500" s="25" t="str">
        <x:v>下游</x:v>
      </x:c>
      <x:c r="J500" s="27" t="str">
        <x:v>ICN012</x:v>
      </x:c>
      <x:c r="K500" s="25" t="str">
        <x:v>医疗服务、临床应用与健康管理</x:v>
      </x:c>
      <x:c r="L500" s="28" t="n">
        <x:v>73</x:v>
      </x:c>
      <x:c r="M500" s="25" t="str">
        <x:v>中</x:v>
      </x:c>
      <x:c r="N500" s="26" t="str">
        <x:v>营养师、营养</x:v>
      </x:c>
      <x:c r="O500" s="26" t="str">
        <x:v>岗位名称/描述出现“营养师”，工作环节更贴近“营养”，因此关联到该节点。</x:v>
      </x:c>
      <x:c r="P500" s="26" t="str">
        <x:v>自动通过</x:v>
      </x:c>
    </x:row>
    <x:row r="501" ht="44" customHeight="1">
      <x:c r="A501" s="27" t="str">
        <x:v>REL000498</x:v>
      </x:c>
      <x:c r="B501" s="25" t="n">
        <x:v>11718</x:v>
      </x:c>
      <x:c r="C501" s="27" t="str">
        <x:v>IC-L3-975</x:v>
      </x:c>
      <x:c r="D501" s="25" t="str">
        <x:v>美术老师</x:v>
      </x:c>
      <x:c r="E501" s="27" t="str">
        <x:v>2-09-06-01</x:v>
      </x:c>
      <x:c r="F501" s="25" t="str">
        <x:v>视觉传达设计人员</x:v>
      </x:c>
      <x:c r="G501" s="27" t="str">
        <x:v>IC01</x:v>
      </x:c>
      <x:c r="H501" s="25" t="str">
        <x:v>数据要素与数字经济产业链</x:v>
      </x:c>
      <x:c r="I501" s="25" t="str">
        <x:v>中游</x:v>
      </x:c>
      <x:c r="J501" s="27" t="str">
        <x:v>ICN002</x:v>
      </x:c>
      <x:c r="K501" s="25" t="str">
        <x:v>数据治理、流通与服务</x:v>
      </x:c>
      <x:c r="L501" s="28" t="n">
        <x:v>66</x:v>
      </x:c>
      <x:c r="M501" s="25" t="str">
        <x:v>低</x:v>
      </x:c>
      <x:c r="N501" s="26" t="str">
        <x:v>美术</x:v>
      </x:c>
      <x:c r="O501" s="26" t="str">
        <x:v>岗位名称/描述出现“美术”，工作环节更贴近“中游”，因此关联到该节点。</x:v>
      </x:c>
      <x:c r="P501" s="26" t="str">
        <x:v>建议复核</x:v>
      </x:c>
    </x:row>
    <x:row r="502" ht="44" customHeight="1">
      <x:c r="A502" s="27" t="str">
        <x:v>REL000499</x:v>
      </x:c>
      <x:c r="B502" s="25" t="n">
        <x:v>11724</x:v>
      </x:c>
      <x:c r="C502" s="27" t="str">
        <x:v>IC-L3-981</x:v>
      </x:c>
      <x:c r="D502" s="25" t="str">
        <x:v>西点师</x:v>
      </x:c>
      <x:c r="E502" s="27" t="str">
        <x:v>4-03-02-05</x:v>
      </x:c>
      <x:c r="F502" s="25" t="str">
        <x:v>餐厅服务员</x:v>
      </x:c>
      <x:c r="G502" s="27" t="str">
        <x:v>IC09</x:v>
      </x:c>
      <x:c r="H502" s="25" t="str">
        <x:v>食品饮料产业链</x:v>
      </x:c>
      <x:c r="I502" s="25" t="str">
        <x:v>中游</x:v>
      </x:c>
      <x:c r="J502" s="27" t="str">
        <x:v>ICN026</x:v>
      </x:c>
      <x:c r="K502" s="25" t="str">
        <x:v>食品饮料加工制造</x:v>
      </x:c>
      <x:c r="L502" s="28" t="n">
        <x:v>60</x:v>
      </x:c>
      <x:c r="M502" s="25" t="str">
        <x:v>低</x:v>
      </x:c>
      <x:c r="N502" s="26" t="str">
        <x:v>餐厅服务、食品、烘焙、食品安全、质量、研发</x:v>
      </x:c>
      <x:c r="O502" s="26" t="str">
        <x:v>岗位名称/描述出现“餐厅服务、食品、烘焙、食品安全”，工作环节更贴近“质量、研发”，因此关联到该节点。</x:v>
      </x:c>
      <x:c r="P502" s="26" t="str">
        <x:v>建议复核</x:v>
      </x:c>
    </x:row>
    <x:row r="503" ht="44" customHeight="1">
      <x:c r="A503" s="27" t="str">
        <x:v>REL000500</x:v>
      </x:c>
      <x:c r="B503" s="25" t="n">
        <x:v>11725</x:v>
      </x:c>
      <x:c r="C503" s="27" t="str">
        <x:v>IC-L3-982</x:v>
      </x:c>
      <x:c r="D503" s="25" t="str">
        <x:v>咖啡师</x:v>
      </x:c>
      <x:c r="E503" s="27" t="str">
        <x:v>4-03-02-05</x:v>
      </x:c>
      <x:c r="F503" s="25" t="str">
        <x:v>餐厅服务员</x:v>
      </x:c>
      <x:c r="G503" s="27" t="str">
        <x:v>IC09</x:v>
      </x:c>
      <x:c r="H503" s="25" t="str">
        <x:v>食品饮料产业链</x:v>
      </x:c>
      <x:c r="I503" s="25" t="str">
        <x:v>下游</x:v>
      </x:c>
      <x:c r="J503" s="27" t="str">
        <x:v>ICN027</x:v>
      </x:c>
      <x:c r="K503" s="25" t="str">
        <x:v>品牌渠道、餐饮零售与消费服务</x:v>
      </x:c>
      <x:c r="L503" s="28" t="n">
        <x:v>78</x:v>
      </x:c>
      <x:c r="M503" s="25" t="str">
        <x:v>中</x:v>
      </x:c>
      <x:c r="N503" s="26" t="str">
        <x:v>咖啡、餐厅服务、餐厅、销售</x:v>
      </x:c>
      <x:c r="O503" s="26" t="str">
        <x:v>岗位名称/描述出现“咖啡、餐厅服务”，工作环节更贴近“咖啡、餐厅、销售”，因此关联到该节点。</x:v>
      </x:c>
      <x:c r="P503" s="26" t="str">
        <x:v>自动通过</x:v>
      </x:c>
    </x:row>
    <x:row r="504" ht="44" customHeight="1">
      <x:c r="A504" s="27" t="str">
        <x:v>REL000501</x:v>
      </x:c>
      <x:c r="B504" s="25" t="n">
        <x:v>11757</x:v>
      </x:c>
      <x:c r="C504" s="27" t="str">
        <x:v>IC-L3-1014</x:v>
      </x:c>
      <x:c r="D504" s="25" t="str">
        <x:v>生鲜食品加工/处理</x:v>
      </x:c>
      <x:c r="E504" s="27" t="str">
        <x:v>4-01-02-03</x:v>
      </x:c>
      <x:c r="F504" s="25" t="str">
        <x:v>商品营业员</x:v>
      </x:c>
      <x:c r="G504" s="27" t="str">
        <x:v>IC09</x:v>
      </x:c>
      <x:c r="H504" s="25" t="str">
        <x:v>食品饮料产业链</x:v>
      </x:c>
      <x:c r="I504" s="25" t="str">
        <x:v>中游</x:v>
      </x:c>
      <x:c r="J504" s="27" t="str">
        <x:v>ICN026</x:v>
      </x:c>
      <x:c r="K504" s="25" t="str">
        <x:v>食品饮料加工制造</x:v>
      </x:c>
      <x:c r="L504" s="28" t="n">
        <x:v>80</x:v>
      </x:c>
      <x:c r="M504" s="25" t="str">
        <x:v>中</x:v>
      </x:c>
      <x:c r="N504" s="26" t="str">
        <x:v>食品、食品安全、食品加工、加工、质量</x:v>
      </x:c>
      <x:c r="O504" s="26" t="str">
        <x:v>岗位名称/描述出现“食品、食品安全”，工作环节更贴近“食品加工、加工、质量”，因此关联到该节点。</x:v>
      </x:c>
      <x:c r="P504" s="26" t="str">
        <x:v>自动通过</x:v>
      </x:c>
    </x:row>
    <x:row r="505" ht="44" customHeight="1">
      <x:c r="A505" s="27" t="str">
        <x:v>REL000502</x:v>
      </x:c>
      <x:c r="B505" s="25" t="n">
        <x:v>11780</x:v>
      </x:c>
      <x:c r="C505" s="27" t="str">
        <x:v>IC-L3-1037</x:v>
      </x:c>
      <x:c r="D505" s="25" t="str">
        <x:v>美术老师</x:v>
      </x:c>
      <x:c r="E505" s="27" t="str">
        <x:v>2-09-06-01</x:v>
      </x:c>
      <x:c r="F505" s="25" t="str">
        <x:v>视觉传达设计人员</x:v>
      </x:c>
      <x:c r="G505" s="27" t="str">
        <x:v>IC01</x:v>
      </x:c>
      <x:c r="H505" s="25" t="str">
        <x:v>数据要素与数字经济产业链</x:v>
      </x:c>
      <x:c r="I505" s="25" t="str">
        <x:v>中游</x:v>
      </x:c>
      <x:c r="J505" s="27" t="str">
        <x:v>ICN002</x:v>
      </x:c>
      <x:c r="K505" s="25" t="str">
        <x:v>数据治理、流通与服务</x:v>
      </x:c>
      <x:c r="L505" s="28" t="n">
        <x:v>66</x:v>
      </x:c>
      <x:c r="M505" s="25" t="str">
        <x:v>低</x:v>
      </x:c>
      <x:c r="N505" s="26" t="str">
        <x:v>美术</x:v>
      </x:c>
      <x:c r="O505" s="26" t="str">
        <x:v>岗位名称/描述出现“美术”，工作环节更贴近“中游”，因此关联到该节点。</x:v>
      </x:c>
      <x:c r="P505" s="26" t="str">
        <x:v>建议复核</x:v>
      </x:c>
    </x:row>
    <x:row r="506" ht="44" customHeight="1">
      <x:c r="A506" s="27" t="str">
        <x:v>REL000503</x:v>
      </x:c>
      <x:c r="B506" s="25" t="n">
        <x:v>11814</x:v>
      </x:c>
      <x:c r="C506" s="27" t="str">
        <x:v>IC-L3-1071</x:v>
      </x:c>
      <x:c r="D506" s="25" t="str">
        <x:v>化工实验室研究员/技术员</x:v>
      </x:c>
      <x:c r="E506" s="27" t="str">
        <x:v>2-01-06-03</x:v>
      </x:c>
      <x:c r="F506" s="25" t="str">
        <x:v>化学研究人员</x:v>
      </x:c>
      <x:c r="G506" s="27" t="str">
        <x:v>IC07</x:v>
      </x:c>
      <x:c r="H506" s="25" t="str">
        <x:v>石油化工产业链</x:v>
      </x:c>
      <x:c r="I506" s="25" t="str">
        <x:v>上游</x:v>
      </x:c>
      <x:c r="J506" s="27" t="str">
        <x:v>ICN019</x:v>
      </x:c>
      <x:c r="K506" s="25" t="str">
        <x:v>油气资源与基础化工原料</x:v>
      </x:c>
      <x:c r="L506" s="28" t="n">
        <x:v>71</x:v>
      </x:c>
      <x:c r="M506" s="25" t="str">
        <x:v>中</x:v>
      </x:c>
      <x:c r="N506" s="26" t="str">
        <x:v>化工、实验、化学研究</x:v>
      </x:c>
      <x:c r="O506" s="26" t="str">
        <x:v>岗位名称/描述出现“化工”，工作环节更贴近“实验、化学研究”，因此关联到该节点。</x:v>
      </x:c>
      <x:c r="P506" s="26" t="str">
        <x:v>自动通过</x:v>
      </x:c>
    </x:row>
    <x:row r="507" ht="44" customHeight="1">
      <x:c r="A507" s="27" t="str">
        <x:v>REL000504</x:v>
      </x:c>
      <x:c r="B507" s="25" t="n">
        <x:v>11815</x:v>
      </x:c>
      <x:c r="C507" s="27" t="str">
        <x:v>IC-L3-1072</x:v>
      </x:c>
      <x:c r="D507" s="25" t="str">
        <x:v>化工技术应用/化工工程师</x:v>
      </x:c>
      <x:c r="E507" s="27" t="str">
        <x:v>2-02-06-01</x:v>
      </x:c>
      <x:c r="F507" s="25" t="str">
        <x:v>化工实验工程技术人员</x:v>
      </x:c>
      <x:c r="G507" s="27" t="str">
        <x:v>IC07</x:v>
      </x:c>
      <x:c r="H507" s="25" t="str">
        <x:v>石油化工产业链</x:v>
      </x:c>
      <x:c r="I507" s="25" t="str">
        <x:v>下游</x:v>
      </x:c>
      <x:c r="J507" s="27" t="str">
        <x:v>ICN021</x:v>
      </x:c>
      <x:c r="K507" s="25" t="str">
        <x:v>化工制品与终端应用</x:v>
      </x:c>
      <x:c r="L507" s="28" t="n">
        <x:v>75</x:v>
      </x:c>
      <x:c r="M507" s="25" t="str">
        <x:v>中</x:v>
      </x:c>
      <x:c r="N507" s="26" t="str">
        <x:v>化工、应用、销售</x:v>
      </x:c>
      <x:c r="O507" s="26" t="str">
        <x:v>岗位名称/描述出现“化工”，工作环节更贴近“应用、销售”，因此关联到该节点。</x:v>
      </x:c>
      <x:c r="P507" s="26" t="str">
        <x:v>自动通过</x:v>
      </x:c>
    </x:row>
    <x:row r="508" ht="44" customHeight="1">
      <x:c r="A508" s="27" t="str">
        <x:v>REL000505</x:v>
      </x:c>
      <x:c r="B508" s="25" t="n">
        <x:v>11816</x:v>
      </x:c>
      <x:c r="C508" s="27" t="str">
        <x:v>IC-L3-1073</x:v>
      </x:c>
      <x:c r="D508" s="25" t="str">
        <x:v>塑料工程师</x:v>
      </x:c>
      <x:c r="E508" s="27" t="str">
        <x:v>2-02-06-03</x:v>
      </x:c>
      <x:c r="F508" s="25" t="str">
        <x:v>化工生产工程技术人员</x:v>
      </x:c>
      <x:c r="G508" s="27" t="str">
        <x:v>IC07</x:v>
      </x:c>
      <x:c r="H508" s="25" t="str">
        <x:v>石油化工产业链</x:v>
      </x:c>
      <x:c r="I508" s="25" t="str">
        <x:v>中游</x:v>
      </x:c>
      <x:c r="J508" s="27" t="str">
        <x:v>ICN020</x:v>
      </x:c>
      <x:c r="K508" s="25" t="str">
        <x:v>炼化加工与化工材料制造</x:v>
      </x:c>
      <x:c r="L508" s="28" t="n">
        <x:v>74</x:v>
      </x:c>
      <x:c r="M508" s="25" t="str">
        <x:v>中</x:v>
      </x:c>
      <x:c r="N508" s="26" t="str">
        <x:v>塑料、化工、化工生产、生产、制造</x:v>
      </x:c>
      <x:c r="O508" s="26" t="str">
        <x:v>岗位名称/描述出现“塑料、化工”，工作环节更贴近“化工生产、生产、制造”，因此关联到该节点。</x:v>
      </x:c>
      <x:c r="P508" s="26" t="str">
        <x:v>自动通过</x:v>
      </x:c>
    </x:row>
    <x:row r="509" ht="44" customHeight="1">
      <x:c r="A509" s="27" t="str">
        <x:v>REL000506</x:v>
      </x:c>
      <x:c r="B509" s="25" t="n">
        <x:v>11818</x:v>
      </x:c>
      <x:c r="C509" s="27" t="str">
        <x:v>IC-L3-1075</x:v>
      </x:c>
      <x:c r="D509" s="25" t="str">
        <x:v>涂料研发工程师</x:v>
      </x:c>
      <x:c r="E509" s="27" t="str">
        <x:v>2-02-06-03</x:v>
      </x:c>
      <x:c r="F509" s="25" t="str">
        <x:v>化工生产工程技术人员</x:v>
      </x:c>
      <x:c r="G509" s="27" t="str">
        <x:v>IC07</x:v>
      </x:c>
      <x:c r="H509" s="25" t="str">
        <x:v>石油化工产业链</x:v>
      </x:c>
      <x:c r="I509" s="25" t="str">
        <x:v>下游</x:v>
      </x:c>
      <x:c r="J509" s="27" t="str">
        <x:v>ICN021</x:v>
      </x:c>
      <x:c r="K509" s="25" t="str">
        <x:v>化工制品与终端应用</x:v>
      </x:c>
      <x:c r="L509" s="28" t="n">
        <x:v>78</x:v>
      </x:c>
      <x:c r="M509" s="25" t="str">
        <x:v>中</x:v>
      </x:c>
      <x:c r="N509" s="26" t="str">
        <x:v>涂料、化工、销售</x:v>
      </x:c>
      <x:c r="O509" s="26" t="str">
        <x:v>岗位名称/描述出现“涂料、化工”，工作环节更贴近“涂料、销售”，因此关联到该节点。</x:v>
      </x:c>
      <x:c r="P509" s="26" t="str">
        <x:v>自动通过</x:v>
      </x:c>
    </x:row>
    <x:row r="510" ht="44" customHeight="1">
      <x:c r="A510" s="27" t="str">
        <x:v>REL000507</x:v>
      </x:c>
      <x:c r="B510" s="25" t="n">
        <x:v>11821</x:v>
      </x:c>
      <x:c r="C510" s="27" t="str">
        <x:v>IC-L3-1078</x:v>
      </x:c>
      <x:c r="D510" s="25" t="str">
        <x:v>食品/饮料研发</x:v>
      </x:c>
      <x:c r="E510" s="27" t="str">
        <x:v>2-02-36-01</x:v>
      </x:c>
      <x:c r="F510" s="25" t="str">
        <x:v>制浆造纸工程技术人员</x:v>
      </x:c>
      <x:c r="G510" s="27" t="str">
        <x:v>IC09</x:v>
      </x:c>
      <x:c r="H510" s="25" t="str">
        <x:v>食品饮料产业链</x:v>
      </x:c>
      <x:c r="I510" s="25" t="str">
        <x:v>中游</x:v>
      </x:c>
      <x:c r="J510" s="27" t="str">
        <x:v>ICN026</x:v>
      </x:c>
      <x:c r="K510" s="25" t="str">
        <x:v>食品饮料加工制造</x:v>
      </x:c>
      <x:c r="L510" s="28" t="n">
        <x:v>90</x:v>
      </x:c>
      <x:c r="M510" s="25" t="str">
        <x:v>高</x:v>
      </x:c>
      <x:c r="N510" s="26" t="str">
        <x:v>食品、饮料、食品安全、研发、质量</x:v>
      </x:c>
      <x:c r="O510" s="26" t="str">
        <x:v>岗位名称/描述出现“食品、饮料、食品安全”，工作环节更贴近“研发、质量”，因此关联到该节点。</x:v>
      </x:c>
      <x:c r="P510" s="26" t="str">
        <x:v>自动通过</x:v>
      </x:c>
    </x:row>
    <x:row r="511" ht="44" customHeight="1">
      <x:c r="A511" s="27" t="str">
        <x:v>REL000508</x:v>
      </x:c>
      <x:c r="B511" s="25" t="n">
        <x:v>11823</x:v>
      </x:c>
      <x:c r="C511" s="27" t="str">
        <x:v>IC-L3-1080</x:v>
      </x:c>
      <x:c r="D511" s="25" t="str">
        <x:v>固废工程师</x:v>
      </x:c>
      <x:c r="E511" s="27" t="str">
        <x:v>2-02-27-06</x:v>
      </x:c>
      <x:c r="F511" s="25" t="str">
        <x:v>健康安全环境工程技术人员</x:v>
      </x:c>
      <x:c r="G511" s="27" t="str">
        <x:v>IC11</x:v>
      </x:c>
      <x:c r="H511" s="25" t="str">
        <x:v>绿色环保与资源循环产业链</x:v>
      </x:c>
      <x:c r="I511" s="25" t="str">
        <x:v>上游</x:v>
      </x:c>
      <x:c r="J511" s="27" t="str">
        <x:v>ICN031</x:v>
      </x:c>
      <x:c r="K511" s="25" t="str">
        <x:v>环保装备、监测与资源回收基础</x:v>
      </x:c>
      <x:c r="L511" s="28" t="n">
        <x:v>77</x:v>
      </x:c>
      <x:c r="M511" s="25" t="str">
        <x:v>中</x:v>
      </x:c>
      <x:c r="N511" s="26" t="str">
        <x:v>固废、环境工程、环保、资源回收、废物、研发、设计</x:v>
      </x:c>
      <x:c r="O511" s="26" t="str">
        <x:v>岗位名称/描述出现“固废、环境工程、环保、资源回收、废物”，工作环节更贴近“资源回收、研发、设计”，因此关联到该节点。</x:v>
      </x:c>
      <x:c r="P511" s="26" t="str">
        <x:v>自动通过</x:v>
      </x:c>
    </x:row>
    <x:row r="512" ht="44" customHeight="1">
      <x:c r="A512" s="27" t="str">
        <x:v>REL000509</x:v>
      </x:c>
      <x:c r="B512" s="25" t="n">
        <x:v>11824</x:v>
      </x:c>
      <x:c r="C512" s="27" t="str">
        <x:v>IC-L3-1081</x:v>
      </x:c>
      <x:c r="D512" s="25" t="str">
        <x:v>废气处理工程师</x:v>
      </x:c>
      <x:c r="E512" s="27" t="str">
        <x:v>2-02-27-06</x:v>
      </x:c>
      <x:c r="F512" s="25" t="str">
        <x:v>健康安全环境工程技术人员</x:v>
      </x:c>
      <x:c r="G512" s="27" t="str">
        <x:v>IC11</x:v>
      </x:c>
      <x:c r="H512" s="25" t="str">
        <x:v>绿色环保与资源循环产业链</x:v>
      </x:c>
      <x:c r="I512" s="25" t="str">
        <x:v>中游</x:v>
      </x:c>
      <x:c r="J512" s="27" t="str">
        <x:v>ICN032</x:v>
      </x:c>
      <x:c r="K512" s="25" t="str">
        <x:v>污染治理与节能降碳服务</x:v>
      </x:c>
      <x:c r="L512" s="28" t="n">
        <x:v>73</x:v>
      </x:c>
      <x:c r="M512" s="25" t="str">
        <x:v>中</x:v>
      </x:c>
      <x:c r="N512" s="26" t="str">
        <x:v>废气、环境工程、环保、废气治理</x:v>
      </x:c>
      <x:c r="O512" s="26" t="str">
        <x:v>岗位名称/描述出现“废气、环境工程、环保”，工作环节更贴近“废气治理”，因此关联到该节点。</x:v>
      </x:c>
      <x:c r="P512" s="26" t="str">
        <x:v>自动通过</x:v>
      </x:c>
    </x:row>
    <x:row r="513" ht="44" customHeight="1">
      <x:c r="A513" s="27" t="str">
        <x:v>REL000510</x:v>
      </x:c>
      <x:c r="B513" s="25" t="n">
        <x:v>11825</x:v>
      </x:c>
      <x:c r="C513" s="27" t="str">
        <x:v>IC-L3-1082</x:v>
      </x:c>
      <x:c r="D513" s="25" t="str">
        <x:v>水处理工程师</x:v>
      </x:c>
      <x:c r="E513" s="27" t="str">
        <x:v>2-02-27-06</x:v>
      </x:c>
      <x:c r="F513" s="25" t="str">
        <x:v>健康安全环境工程技术人员</x:v>
      </x:c>
      <x:c r="G513" s="27" t="str">
        <x:v>IC11</x:v>
      </x:c>
      <x:c r="H513" s="25" t="str">
        <x:v>绿色环保与资源循环产业链</x:v>
      </x:c>
      <x:c r="I513" s="25" t="str">
        <x:v>中游</x:v>
      </x:c>
      <x:c r="J513" s="27" t="str">
        <x:v>ICN032</x:v>
      </x:c>
      <x:c r="K513" s="25" t="str">
        <x:v>污染治理与节能降碳服务</x:v>
      </x:c>
      <x:c r="L513" s="28" t="n">
        <x:v>59</x:v>
      </x:c>
      <x:c r="M513" s="25" t="str">
        <x:v>低</x:v>
      </x:c>
      <x:c r="N513" s="26" t="str">
        <x:v>环境工程、环保、污水、污水处理</x:v>
      </x:c>
      <x:c r="O513" s="26" t="str">
        <x:v>岗位名称/描述出现“环境工程、环保、污水”，工作环节更贴近“污水处理”，因此关联到该节点。</x:v>
      </x:c>
      <x:c r="P513" s="26" t="str">
        <x:v>建议复核</x:v>
      </x:c>
    </x:row>
    <x:row r="514" ht="44" customHeight="1">
      <x:c r="A514" s="27" t="str">
        <x:v>REL000511</x:v>
      </x:c>
      <x:c r="B514" s="25" t="n">
        <x:v>11826</x:v>
      </x:c>
      <x:c r="C514" s="27" t="str">
        <x:v>IC-L3-1083</x:v>
      </x:c>
      <x:c r="D514" s="25" t="str">
        <x:v>水质检测员</x:v>
      </x:c>
      <x:c r="E514" s="27" t="str">
        <x:v>2-02-27-06</x:v>
      </x:c>
      <x:c r="F514" s="25" t="str">
        <x:v>健康安全环境工程技术人员</x:v>
      </x:c>
      <x:c r="G514" s="27" t="str">
        <x:v>IC11</x:v>
      </x:c>
      <x:c r="H514" s="25" t="str">
        <x:v>绿色环保与资源循环产业链</x:v>
      </x:c>
      <x:c r="I514" s="25" t="str">
        <x:v>中游</x:v>
      </x:c>
      <x:c r="J514" s="27" t="str">
        <x:v>ICN032</x:v>
      </x:c>
      <x:c r="K514" s="25" t="str">
        <x:v>污染治理与节能降碳服务</x:v>
      </x:c>
      <x:c r="L514" s="28" t="n">
        <x:v>58</x:v>
      </x:c>
      <x:c r="M514" s="25" t="str">
        <x:v>低</x:v>
      </x:c>
      <x:c r="N514" s="26" t="str">
        <x:v>环境工程、环保、废水</x:v>
      </x:c>
      <x:c r="O514" s="26" t="str">
        <x:v>岗位名称/描述出现“环境工程、环保、废水”，工作环节更贴近“中游”，因此关联到该节点。</x:v>
      </x:c>
      <x:c r="P514" s="26" t="str">
        <x:v>建议复核</x:v>
      </x:c>
    </x:row>
    <x:row r="515" ht="44" customHeight="1">
      <x:c r="A515" s="27" t="str">
        <x:v>REL000512</x:v>
      </x:c>
      <x:c r="B515" s="25" t="n">
        <x:v>11827</x:v>
      </x:c>
      <x:c r="C515" s="27" t="str">
        <x:v>IC-L3-1084</x:v>
      </x:c>
      <x:c r="D515" s="25" t="str">
        <x:v>环保工程师</x:v>
      </x:c>
      <x:c r="E515" s="27" t="str">
        <x:v>2-02-27-06</x:v>
      </x:c>
      <x:c r="F515" s="25" t="str">
        <x:v>健康安全环境工程技术人员</x:v>
      </x:c>
      <x:c r="G515" s="27" t="str">
        <x:v>IC11</x:v>
      </x:c>
      <x:c r="H515" s="25" t="str">
        <x:v>绿色环保与资源循环产业链</x:v>
      </x:c>
      <x:c r="I515" s="25" t="str">
        <x:v>中游</x:v>
      </x:c>
      <x:c r="J515" s="27" t="str">
        <x:v>ICN032</x:v>
      </x:c>
      <x:c r="K515" s="25" t="str">
        <x:v>污染治理与节能降碳服务</x:v>
      </x:c>
      <x:c r="L515" s="28" t="n">
        <x:v>81</x:v>
      </x:c>
      <x:c r="M515" s="25" t="str">
        <x:v>中</x:v>
      </x:c>
      <x:c r="N515" s="26" t="str">
        <x:v>环保、环境工程、废水、废物、环保工程</x:v>
      </x:c>
      <x:c r="O515" s="26" t="str">
        <x:v>岗位名称/描述出现“环保、环境工程、废水、废物”，工作环节更贴近“环保工程”，因此关联到该节点。</x:v>
      </x:c>
      <x:c r="P515" s="26" t="str">
        <x:v>自动通过</x:v>
      </x:c>
    </x:row>
    <x:row r="516" ht="44" customHeight="1">
      <x:c r="A516" s="27" t="str">
        <x:v>REL000513</x:v>
      </x:c>
      <x:c r="B516" s="25" t="n">
        <x:v>11828</x:v>
      </x:c>
      <x:c r="C516" s="27" t="str">
        <x:v>IC-L3-1085</x:v>
      </x:c>
      <x:c r="D516" s="25" t="str">
        <x:v>环保检测</x:v>
      </x:c>
      <x:c r="E516" s="27" t="str">
        <x:v>2-02-27-06</x:v>
      </x:c>
      <x:c r="F516" s="25" t="str">
        <x:v>健康安全环境工程技术人员</x:v>
      </x:c>
      <x:c r="G516" s="27" t="str">
        <x:v>IC11</x:v>
      </x:c>
      <x:c r="H516" s="25" t="str">
        <x:v>绿色环保与资源循环产业链</x:v>
      </x:c>
      <x:c r="I516" s="25" t="str">
        <x:v>上游</x:v>
      </x:c>
      <x:c r="J516" s="27" t="str">
        <x:v>ICN031</x:v>
      </x:c>
      <x:c r="K516" s="25" t="str">
        <x:v>环保装备、监测与资源回收基础</x:v>
      </x:c>
      <x:c r="L516" s="28" t="n">
        <x:v>72</x:v>
      </x:c>
      <x:c r="M516" s="25" t="str">
        <x:v>中</x:v>
      </x:c>
      <x:c r="N516" s="26" t="str">
        <x:v>环保、环境工程、环境监测、研发</x:v>
      </x:c>
      <x:c r="O516" s="26" t="str">
        <x:v>岗位名称/描述出现“环保、环境工程、环境监测”，工作环节更贴近“环境监测、研发”，因此关联到该节点。</x:v>
      </x:c>
      <x:c r="P516" s="26" t="str">
        <x:v>自动通过</x:v>
      </x:c>
    </x:row>
    <x:row r="517" ht="44" customHeight="1">
      <x:c r="A517" s="27" t="str">
        <x:v>REL000514</x:v>
      </x:c>
      <x:c r="B517" s="25" t="n">
        <x:v>11830</x:v>
      </x:c>
      <x:c r="C517" s="27" t="str">
        <x:v>IC-L3-1087</x:v>
      </x:c>
      <x:c r="D517" s="25" t="str">
        <x:v>生态治理/规划</x:v>
      </x:c>
      <x:c r="E517" s="27" t="str">
        <x:v>2-02-27-06</x:v>
      </x:c>
      <x:c r="F517" s="25" t="str">
        <x:v>健康安全环境工程技术人员</x:v>
      </x:c>
      <x:c r="G517" s="27" t="str">
        <x:v>IC11</x:v>
      </x:c>
      <x:c r="H517" s="25" t="str">
        <x:v>绿色环保与资源循环产业链</x:v>
      </x:c>
      <x:c r="I517" s="25" t="str">
        <x:v>上游</x:v>
      </x:c>
      <x:c r="J517" s="27" t="str">
        <x:v>ICN031</x:v>
      </x:c>
      <x:c r="K517" s="25" t="str">
        <x:v>环保装备、监测与资源回收基础</x:v>
      </x:c>
      <x:c r="L517" s="28" t="n">
        <x:v>58</x:v>
      </x:c>
      <x:c r="M517" s="25" t="str">
        <x:v>低</x:v>
      </x:c>
      <x:c r="N517" s="26" t="str">
        <x:v>环境工程、环保、环境监测、设计</x:v>
      </x:c>
      <x:c r="O517" s="26" t="str">
        <x:v>岗位名称/描述出现“环境工程、环保、环境监测”，工作环节更贴近“环境监测、设计”，因此关联到该节点。</x:v>
      </x:c>
      <x:c r="P517" s="26" t="str">
        <x:v>建议复核</x:v>
      </x:c>
    </x:row>
    <x:row r="518" ht="44" customHeight="1">
      <x:c r="A518" s="27" t="str">
        <x:v>REL000515</x:v>
      </x:c>
      <x:c r="B518" s="25" t="n">
        <x:v>11831</x:v>
      </x:c>
      <x:c r="C518" s="27" t="str">
        <x:v>IC-L3-1088</x:v>
      </x:c>
      <x:c r="D518" s="25" t="str">
        <x:v>碳排放管理员</x:v>
      </x:c>
      <x:c r="E518" s="27" t="str">
        <x:v>2-02-27-06</x:v>
      </x:c>
      <x:c r="F518" s="25" t="str">
        <x:v>健康安全环境工程技术人员</x:v>
      </x:c>
      <x:c r="G518" s="27" t="str">
        <x:v>IC11</x:v>
      </x:c>
      <x:c r="H518" s="25" t="str">
        <x:v>绿色环保与资源循环产业链</x:v>
      </x:c>
      <x:c r="I518" s="25" t="str">
        <x:v>中游</x:v>
      </x:c>
      <x:c r="J518" s="27" t="str">
        <x:v>ICN032</x:v>
      </x:c>
      <x:c r="K518" s="25" t="str">
        <x:v>污染治理与节能降碳服务</x:v>
      </x:c>
      <x:c r="L518" s="28" t="n">
        <x:v>61</x:v>
      </x:c>
      <x:c r="M518" s="25" t="str">
        <x:v>低</x:v>
      </x:c>
      <x:c r="N518" s="26" t="str">
        <x:v>环境工程、环保、低碳、节能</x:v>
      </x:c>
      <x:c r="O518" s="26" t="str">
        <x:v>岗位名称/描述出现“环境工程、环保、低碳、节能”，工作环节更贴近“节能”，因此关联到该节点。</x:v>
      </x:c>
      <x:c r="P518" s="26" t="str">
        <x:v>建议复核</x:v>
      </x:c>
    </x:row>
    <x:row r="519" ht="44" customHeight="1">
      <x:c r="A519" s="27" t="str">
        <x:v>REL000516</x:v>
      </x:c>
      <x:c r="B519" s="25" t="n">
        <x:v>11832</x:v>
      </x:c>
      <x:c r="C519" s="27" t="str">
        <x:v>IC-L3-1089</x:v>
      </x:c>
      <x:c r="D519" s="25" t="str">
        <x:v>畜牧师</x:v>
      </x:c>
      <x:c r="E519" s="27" t="str">
        <x:v>2-02-27-06</x:v>
      </x:c>
      <x:c r="F519" s="25" t="str">
        <x:v>健康安全环境工程技术人员</x:v>
      </x:c>
      <x:c r="G519" s="27" t="str">
        <x:v>IC11</x:v>
      </x:c>
      <x:c r="H519" s="25" t="str">
        <x:v>绿色环保与资源循环产业链</x:v>
      </x:c>
      <x:c r="I519" s="25" t="str">
        <x:v>上游</x:v>
      </x:c>
      <x:c r="J519" s="27" t="str">
        <x:v>ICN031</x:v>
      </x:c>
      <x:c r="K519" s="25" t="str">
        <x:v>环保装备、监测与资源回收基础</x:v>
      </x:c>
      <x:c r="L519" s="28" t="n">
        <x:v>58</x:v>
      </x:c>
      <x:c r="M519" s="25" t="str">
        <x:v>低</x:v>
      </x:c>
      <x:c r="N519" s="26" t="str">
        <x:v>环境工程、环保、环境监测、设计</x:v>
      </x:c>
      <x:c r="O519" s="26" t="str">
        <x:v>岗位名称/描述出现“环境工程、环保、环境监测”，工作环节更贴近“环境监测、设计”，因此关联到该节点。</x:v>
      </x:c>
      <x:c r="P519" s="26" t="str">
        <x:v>建议复核</x:v>
      </x:c>
    </x:row>
    <x:row r="520" ht="44" customHeight="1">
      <x:c r="A520" s="27" t="str">
        <x:v>REL000517</x:v>
      </x:c>
      <x:c r="B520" s="25" t="n">
        <x:v>11833</x:v>
      </x:c>
      <x:c r="C520" s="27" t="str">
        <x:v>IC-L3-1090</x:v>
      </x:c>
      <x:c r="D520" s="25" t="str">
        <x:v>材料工程师</x:v>
      </x:c>
      <x:c r="E520" s="27" t="str">
        <x:v>2-02-27-06</x:v>
      </x:c>
      <x:c r="F520" s="25" t="str">
        <x:v>健康安全环境工程技术人员</x:v>
      </x:c>
      <x:c r="G520" s="27" t="str">
        <x:v>IC12</x:v>
      </x:c>
      <x:c r="H520" s="25" t="str">
        <x:v>新材料产业链</x:v>
      </x:c>
      <x:c r="I520" s="25" t="str">
        <x:v>中游</x:v>
      </x:c>
      <x:c r="J520" s="27" t="str">
        <x:v>ICN035</x:v>
      </x:c>
      <x:c r="K520" s="25" t="str">
        <x:v>先进材料制备与加工</x:v>
      </x:c>
      <x:c r="L520" s="28" t="n">
        <x:v>72</x:v>
      </x:c>
      <x:c r="M520" s="25" t="str">
        <x:v>中</x:v>
      </x:c>
      <x:c r="N520" s="26" t="str">
        <x:v>材料工程、新材料、材料研发、生产、工艺</x:v>
      </x:c>
      <x:c r="O520" s="26" t="str">
        <x:v>岗位名称/描述出现“材料工程、新材料、材料研发”，工作环节更贴近“生产、工艺”，因此关联到该节点。</x:v>
      </x:c>
      <x:c r="P520" s="26" t="str">
        <x:v>自动通过</x:v>
      </x:c>
    </x:row>
    <x:row r="521" ht="44" customHeight="1">
      <x:c r="A521" s="27" t="str">
        <x:v>REL000518</x:v>
      </x:c>
      <x:c r="B521" s="25" t="n">
        <x:v>11835</x:v>
      </x:c>
      <x:c r="C521" s="27" t="str">
        <x:v>IC-L3-1092</x:v>
      </x:c>
      <x:c r="D521" s="25" t="str">
        <x:v>给排水设计</x:v>
      </x:c>
      <x:c r="E521" s="27" t="str">
        <x:v>2-02-27-06</x:v>
      </x:c>
      <x:c r="F521" s="25" t="str">
        <x:v>健康安全环境工程技术人员</x:v>
      </x:c>
      <x:c r="G521" s="27" t="str">
        <x:v>IC03</x:v>
      </x:c>
      <x:c r="H521" s="25" t="str">
        <x:v>基础设施与城市建设产业链</x:v>
      </x:c>
      <x:c r="I521" s="25" t="str">
        <x:v>上游</x:v>
      </x:c>
      <x:c r="J521" s="27" t="str">
        <x:v>ICN007</x:v>
      </x:c>
      <x:c r="K521" s="25" t="str">
        <x:v>规划设计、建材与工程准备</x:v>
      </x:c>
      <x:c r="L521" s="28" t="n">
        <x:v>74</x:v>
      </x:c>
      <x:c r="M521" s="25" t="str">
        <x:v>中</x:v>
      </x:c>
      <x:c r="N521" s="26" t="str">
        <x:v>给排水、施工、设计、规划</x:v>
      </x:c>
      <x:c r="O521" s="26" t="str">
        <x:v>岗位名称/描述出现“给排水、施工”，工作环节更贴近“设计、规划”，因此关联到该节点。</x:v>
      </x:c>
      <x:c r="P521" s="26" t="str">
        <x:v>自动通过</x:v>
      </x:c>
    </x:row>
    <x:row r="522" ht="44" customHeight="1">
      <x:c r="A522" s="27" t="str">
        <x:v>REL000519</x:v>
      </x:c>
      <x:c r="B522" s="25" t="n">
        <x:v>11838</x:v>
      </x:c>
      <x:c r="C522" s="27" t="str">
        <x:v>IC-L3-1095</x:v>
      </x:c>
      <x:c r="D522" s="25" t="str">
        <x:v>焊接工程师</x:v>
      </x:c>
      <x:c r="E522" s="27" t="str">
        <x:v>2-02-27-06</x:v>
      </x:c>
      <x:c r="F522" s="25" t="str">
        <x:v>健康安全环境工程技术人员</x:v>
      </x:c>
      <x:c r="G522" s="27" t="str">
        <x:v>IC02</x:v>
      </x:c>
      <x:c r="H522" s="25" t="str">
        <x:v>高端装备与智能制造产业链</x:v>
      </x:c>
      <x:c r="I522" s="25" t="str">
        <x:v>中游</x:v>
      </x:c>
      <x:c r="J522" s="27" t="str">
        <x:v>ICN005</x:v>
      </x:c>
      <x:c r="K522" s="25" t="str">
        <x:v>高端装备制造与激光加工</x:v>
      </x:c>
      <x:c r="L522" s="28" t="n">
        <x:v>74</x:v>
      </x:c>
      <x:c r="M522" s="25" t="str">
        <x:v>中</x:v>
      </x:c>
      <x:c r="N522" s="26" t="str">
        <x:v>焊接、工艺</x:v>
      </x:c>
      <x:c r="O522" s="26" t="str">
        <x:v>岗位名称/描述出现“焊接”，工作环节更贴近“焊接、工艺”，因此关联到该节点。</x:v>
      </x:c>
      <x:c r="P522" s="26" t="str">
        <x:v>自动通过</x:v>
      </x:c>
    </x:row>
    <x:row r="523" ht="44" customHeight="1">
      <x:c r="A523" s="27" t="str">
        <x:v>REL000520</x:v>
      </x:c>
      <x:c r="B523" s="25" t="n">
        <x:v>11839</x:v>
      </x:c>
      <x:c r="C523" s="27" t="str">
        <x:v>IC-L3-1096</x:v>
      </x:c>
      <x:c r="D523" s="25" t="str">
        <x:v>光伏系统工程师</x:v>
      </x:c>
      <x:c r="E523" s="27" t="str">
        <x:v>2-02-38-05</x:v>
      </x:c>
      <x:c r="F523" s="25" t="str">
        <x:v>智能制造工程技术人员</x:v>
      </x:c>
      <x:c r="G523" s="27" t="str">
        <x:v>IC05</x:v>
      </x:c>
      <x:c r="H523" s="25" t="str">
        <x:v>新能源与电力装备产业链</x:v>
      </x:c>
      <x:c r="I523" s="25" t="str">
        <x:v>中游</x:v>
      </x:c>
      <x:c r="J523" s="27" t="str">
        <x:v>ICN014</x:v>
      </x:c>
      <x:c r="K523" s="25" t="str">
        <x:v>发电、储能与输配电装备</x:v>
      </x:c>
      <x:c r="L523" s="28" t="n">
        <x:v>68</x:v>
      </x:c>
      <x:c r="M523" s="25" t="str">
        <x:v>中</x:v>
      </x:c>
      <x:c r="N523" s="26" t="str">
        <x:v>光伏、能源、制造</x:v>
      </x:c>
      <x:c r="O523" s="26" t="str">
        <x:v>岗位名称/描述出现“光伏、能源”，工作环节更贴近“制造”，因此关联到该节点。</x:v>
      </x:c>
      <x:c r="P523" s="26" t="str">
        <x:v>自动通过</x:v>
      </x:c>
    </x:row>
    <x:row r="524" ht="44" customHeight="1">
      <x:c r="A524" s="27" t="str">
        <x:v>REL000521</x:v>
      </x:c>
      <x:c r="B524" s="25" t="n">
        <x:v>11841</x:v>
      </x:c>
      <x:c r="C524" s="27" t="str">
        <x:v>IC-L3-1098</x:v>
      </x:c>
      <x:c r="D524" s="25" t="str">
        <x:v>电力工程师</x:v>
      </x:c>
      <x:c r="E524" s="27" t="str">
        <x:v>2-02-38-05</x:v>
      </x:c>
      <x:c r="F524" s="25" t="str">
        <x:v>智能制造工程技术人员</x:v>
      </x:c>
      <x:c r="G524" s="27" t="str">
        <x:v>IC05</x:v>
      </x:c>
      <x:c r="H524" s="25" t="str">
        <x:v>新能源与电力装备产业链</x:v>
      </x:c>
      <x:c r="I524" s="25" t="str">
        <x:v>中游</x:v>
      </x:c>
      <x:c r="J524" s="27" t="str">
        <x:v>ICN014</x:v>
      </x:c>
      <x:c r="K524" s="25" t="str">
        <x:v>发电、储能与输配电装备</x:v>
      </x:c>
      <x:c r="L524" s="28" t="n">
        <x:v>71</x:v>
      </x:c>
      <x:c r="M524" s="25" t="str">
        <x:v>中</x:v>
      </x:c>
      <x:c r="N524" s="26" t="str">
        <x:v>电力、能源、制造、生产、安装、调试</x:v>
      </x:c>
      <x:c r="O524" s="26" t="str">
        <x:v>岗位名称/描述出现“电力、能源”，工作环节更贴近“制造、生产、安装、调试”，因此关联到该节点。</x:v>
      </x:c>
      <x:c r="P524" s="26" t="str">
        <x:v>自动通过</x:v>
      </x:c>
    </x:row>
    <x:row r="525" ht="44" customHeight="1">
      <x:c r="A525" s="27" t="str">
        <x:v>REL000522</x:v>
      </x:c>
      <x:c r="B525" s="25" t="n">
        <x:v>11842</x:v>
      </x:c>
      <x:c r="C525" s="27" t="str">
        <x:v>IC-L3-1099</x:v>
      </x:c>
      <x:c r="D525" s="25" t="str">
        <x:v>石油天然气技术人员</x:v>
      </x:c>
      <x:c r="E525" s="27" t="str">
        <x:v>2-02-38-05</x:v>
      </x:c>
      <x:c r="F525" s="25" t="str">
        <x:v>智能制造工程技术人员</x:v>
      </x:c>
      <x:c r="G525" s="27" t="str">
        <x:v>IC07</x:v>
      </x:c>
      <x:c r="H525" s="25" t="str">
        <x:v>石油化工产业链</x:v>
      </x:c>
      <x:c r="I525" s="25" t="str">
        <x:v>上游</x:v>
      </x:c>
      <x:c r="J525" s="27" t="str">
        <x:v>ICN019</x:v>
      </x:c>
      <x:c r="K525" s="25" t="str">
        <x:v>油气资源与基础化工原料</x:v>
      </x:c>
      <x:c r="L525" s="28" t="n">
        <x:v>74</x:v>
      </x:c>
      <x:c r="M525" s="25" t="str">
        <x:v>中</x:v>
      </x:c>
      <x:c r="N525" s="26" t="str">
        <x:v>石油、油气、天然气</x:v>
      </x:c>
      <x:c r="O525" s="26" t="str">
        <x:v>岗位名称/描述出现“石油、油气”，工作环节更贴近“天然气、油气”，因此关联到该节点。</x:v>
      </x:c>
      <x:c r="P525" s="26" t="str">
        <x:v>自动通过</x:v>
      </x:c>
    </x:row>
    <x:row r="526" ht="44" customHeight="1">
      <x:c r="A526" s="27" t="str">
        <x:v>REL000523</x:v>
      </x:c>
      <x:c r="B526" s="25" t="n">
        <x:v>11845</x:v>
      </x:c>
      <x:c r="C526" s="27" t="str">
        <x:v>IC-L3-1102</x:v>
      </x:c>
      <x:c r="D526" s="25" t="str">
        <x:v>PCB工程师</x:v>
      </x:c>
      <x:c r="E526" s="27" t="str">
        <x:v>2-02-38-05</x:v>
      </x:c>
      <x:c r="F526" s="25" t="str">
        <x:v>智能制造工程技术人员</x:v>
      </x:c>
      <x:c r="G526" s="27" t="str">
        <x:v>IC06</x:v>
      </x:c>
      <x:c r="H526" s="25" t="str">
        <x:v>智能物联与消费电子产业链</x:v>
      </x:c>
      <x:c r="I526" s="25" t="str">
        <x:v>上游</x:v>
      </x:c>
      <x:c r="J526" s="27" t="str">
        <x:v>ICN016</x:v>
      </x:c>
      <x:c r="K526" s="25" t="str">
        <x:v>传感器、芯片模组与基础器件</x:v>
      </x:c>
      <x:c r="L526" s="28" t="n">
        <x:v>76</x:v>
      </x:c>
      <x:c r="M526" s="25" t="str">
        <x:v>中</x:v>
      </x:c>
      <x:c r="N526" s="26" t="str">
        <x:v>pcb、电子产品、电路</x:v>
      </x:c>
      <x:c r="O526" s="26" t="str">
        <x:v>岗位名称/描述出现“pcb、电子产品”，工作环节更贴近“pcb、电路”，因此关联到该节点。</x:v>
      </x:c>
      <x:c r="P526" s="26" t="str">
        <x:v>自动通过</x:v>
      </x:c>
    </x:row>
    <x:row r="527" ht="44" customHeight="1">
      <x:c r="A527" s="27" t="str">
        <x:v>REL000524</x:v>
      </x:c>
      <x:c r="B527" s="25" t="n">
        <x:v>11846</x:v>
      </x:c>
      <x:c r="C527" s="27" t="str">
        <x:v>IC-L3-1103</x:v>
      </x:c>
      <x:c r="D527" s="25" t="str">
        <x:v>Flash设计师</x:v>
      </x:c>
      <x:c r="E527" s="27" t="str">
        <x:v>2-09-06-01</x:v>
      </x:c>
      <x:c r="F527" s="25" t="str">
        <x:v>视觉传达设计人员</x:v>
      </x:c>
      <x:c r="G527" s="27" t="str">
        <x:v>IC18</x:v>
      </x:c>
      <x:c r="H527" s="25" t="str">
        <x:v>新型显示与虚拟现实产业链</x:v>
      </x:c>
      <x:c r="I527" s="25" t="str">
        <x:v>下游</x:v>
      </x:c>
      <x:c r="J527" s="27" t="str">
        <x:v>ICN054</x:v>
      </x:c>
      <x:c r="K527" s="25" t="str">
        <x:v>沉浸式内容、行业应用与消费场景</x:v>
      </x:c>
      <x:c r="L527" s="28" t="n">
        <x:v>75</x:v>
      </x:c>
      <x:c r="M527" s="25" t="str">
        <x:v>中</x:v>
      </x:c>
      <x:c r="N527" s="26" t="str">
        <x:v>flash、动画</x:v>
      </x:c>
      <x:c r="O527" s="26" t="str">
        <x:v>岗位名称/描述出现“flash、动画”，工作环节更贴近“flash”，因此关联到该节点。</x:v>
      </x:c>
      <x:c r="P527" s="26" t="str">
        <x:v>自动通过</x:v>
      </x:c>
    </x:row>
    <x:row r="528" ht="44" customHeight="1">
      <x:c r="A528" s="27" t="str">
        <x:v>REL000525</x:v>
      </x:c>
      <x:c r="B528" s="25" t="n">
        <x:v>11846</x:v>
      </x:c>
      <x:c r="C528" s="27" t="str">
        <x:v>IC-L3-1103</x:v>
      </x:c>
      <x:c r="D528" s="25" t="str">
        <x:v>Flash设计师</x:v>
      </x:c>
      <x:c r="E528" s="27" t="str">
        <x:v>2-09-06-01</x:v>
      </x:c>
      <x:c r="F528" s="25" t="str">
        <x:v>视觉传达设计人员</x:v>
      </x:c>
      <x:c r="G528" s="27" t="str">
        <x:v>IC18</x:v>
      </x:c>
      <x:c r="H528" s="25" t="str">
        <x:v>新型显示与虚拟现实产业链</x:v>
      </x:c>
      <x:c r="I528" s="25" t="str">
        <x:v>上游</x:v>
      </x:c>
      <x:c r="J528" s="27" t="str">
        <x:v>ICN052</x:v>
      </x:c>
      <x:c r="K528" s="25" t="str">
        <x:v>显示材料、光学器件与核心部件</x:v>
      </x:c>
      <x:c r="L528" s="28" t="n">
        <x:v>73</x:v>
      </x:c>
      <x:c r="M528" s="25" t="str">
        <x:v>中</x:v>
      </x:c>
      <x:c r="N528" s="26" t="str">
        <x:v>flash、动画、设计</x:v>
      </x:c>
      <x:c r="O528" s="26" t="str">
        <x:v>岗位名称/描述出现“flash、动画”，工作环节更贴近“设计”，因此关联到该节点。</x:v>
      </x:c>
      <x:c r="P528" s="26" t="str">
        <x:v>自动通过</x:v>
      </x:c>
    </x:row>
    <x:row r="529" ht="44" customHeight="1">
      <x:c r="A529" s="27" t="str">
        <x:v>REL000526</x:v>
      </x:c>
      <x:c r="B529" s="25" t="n">
        <x:v>11847</x:v>
      </x:c>
      <x:c r="C529" s="27" t="str">
        <x:v>IC-L3-1104</x:v>
      </x:c>
      <x:c r="D529" s="25" t="str">
        <x:v>UI设计师</x:v>
      </x:c>
      <x:c r="E529" s="27" t="str">
        <x:v>2-09-06-01</x:v>
      </x:c>
      <x:c r="F529" s="25" t="str">
        <x:v>视觉传达设计人员</x:v>
      </x:c>
      <x:c r="G529" s="27" t="str">
        <x:v>IC01</x:v>
      </x:c>
      <x:c r="H529" s="25" t="str">
        <x:v>数据要素与数字经济产业链</x:v>
      </x:c>
      <x:c r="I529" s="25" t="str">
        <x:v>下游</x:v>
      </x:c>
      <x:c r="J529" s="27" t="str">
        <x:v>ICN003</x:v>
      </x:c>
      <x:c r="K529" s="25" t="str">
        <x:v>数字经济场景应用与内容创意</x:v>
      </x:c>
      <x:c r="L529" s="28" t="n">
        <x:v>74</x:v>
      </x:c>
      <x:c r="M529" s="25" t="str">
        <x:v>中</x:v>
      </x:c>
      <x:c r="N529" s="26" t="str">
        <x:v>ui设计、ui、视觉、品牌、交互</x:v>
      </x:c>
      <x:c r="O529" s="26" t="str">
        <x:v>岗位名称/描述出现“ui设计”，工作环节更贴近“ui、视觉、品牌、交互”，因此关联到该节点。</x:v>
      </x:c>
      <x:c r="P529" s="26" t="str">
        <x:v>自动通过</x:v>
      </x:c>
    </x:row>
    <x:row r="530" ht="44" customHeight="1">
      <x:c r="A530" s="27" t="str">
        <x:v>REL000527</x:v>
      </x:c>
      <x:c r="B530" s="25" t="n">
        <x:v>11850</x:v>
      </x:c>
      <x:c r="C530" s="27" t="str">
        <x:v>IC-L3-1107</x:v>
      </x:c>
      <x:c r="D530" s="25" t="str">
        <x:v>交互设计师</x:v>
      </x:c>
      <x:c r="E530" s="27" t="str">
        <x:v>2-09-06-01</x:v>
      </x:c>
      <x:c r="F530" s="25" t="str">
        <x:v>视觉传达设计人员</x:v>
      </x:c>
      <x:c r="G530" s="27" t="str">
        <x:v>IC01</x:v>
      </x:c>
      <x:c r="H530" s="25" t="str">
        <x:v>数据要素与数字经济产业链</x:v>
      </x:c>
      <x:c r="I530" s="25" t="str">
        <x:v>下游</x:v>
      </x:c>
      <x:c r="J530" s="27" t="str">
        <x:v>ICN003</x:v>
      </x:c>
      <x:c r="K530" s="25" t="str">
        <x:v>数字经济场景应用与内容创意</x:v>
      </x:c>
      <x:c r="L530" s="28" t="n">
        <x:v>75</x:v>
      </x:c>
      <x:c r="M530" s="25" t="str">
        <x:v>中</x:v>
      </x:c>
      <x:c r="N530" s="26" t="str">
        <x:v>交互设计、视觉设计、交互、视觉、品牌</x:v>
      </x:c>
      <x:c r="O530" s="26" t="str">
        <x:v>岗位名称/描述出现“交互设计、视觉设计”，工作环节更贴近“交互、视觉、品牌”，因此关联到该节点。</x:v>
      </x:c>
      <x:c r="P530" s="26" t="str">
        <x:v>自动通过</x:v>
      </x:c>
    </x:row>
    <x:row r="531" ht="44" customHeight="1">
      <x:c r="A531" s="27" t="str">
        <x:v>REL000528</x:v>
      </x:c>
      <x:c r="B531" s="25" t="n">
        <x:v>11851</x:v>
      </x:c>
      <x:c r="C531" s="27" t="str">
        <x:v>IC-L3-1108</x:v>
      </x:c>
      <x:c r="D531" s="25" t="str">
        <x:v>多媒体设计</x:v>
      </x:c>
      <x:c r="E531" s="27" t="str">
        <x:v>2-09-06-01</x:v>
      </x:c>
      <x:c r="F531" s="25" t="str">
        <x:v>视觉传达设计人员</x:v>
      </x:c>
      <x:c r="G531" s="27" t="str">
        <x:v>IC01</x:v>
      </x:c>
      <x:c r="H531" s="25" t="str">
        <x:v>数据要素与数字经济产业链</x:v>
      </x:c>
      <x:c r="I531" s="25" t="str">
        <x:v>下游</x:v>
      </x:c>
      <x:c r="J531" s="27" t="str">
        <x:v>ICN003</x:v>
      </x:c>
      <x:c r="K531" s="25" t="str">
        <x:v>数字经济场景应用与内容创意</x:v>
      </x:c>
      <x:c r="L531" s="28" t="n">
        <x:v>78</x:v>
      </x:c>
      <x:c r="M531" s="25" t="str">
        <x:v>中</x:v>
      </x:c>
      <x:c r="N531" s="26" t="str">
        <x:v>多媒体、视频剪辑、音效、视觉、品牌、视频</x:v>
      </x:c>
      <x:c r="O531" s="26" t="str">
        <x:v>岗位名称/描述出现“多媒体、视频剪辑、音效”，工作环节更贴近“多媒体、视觉、品牌、视频”，因此关联到该节点。</x:v>
      </x:c>
      <x:c r="P531" s="26" t="str">
        <x:v>自动通过</x:v>
      </x:c>
    </x:row>
    <x:row r="532" ht="44" customHeight="1">
      <x:c r="A532" s="27" t="str">
        <x:v>REL000529</x:v>
      </x:c>
      <x:c r="B532" s="25" t="n">
        <x:v>11854</x:v>
      </x:c>
      <x:c r="C532" s="27" t="str">
        <x:v>IC-L3-1111</x:v>
      </x:c>
      <x:c r="D532" s="25" t="str">
        <x:v>网页设计师</x:v>
      </x:c>
      <x:c r="E532" s="27" t="str">
        <x:v>2-09-06-01</x:v>
      </x:c>
      <x:c r="F532" s="25" t="str">
        <x:v>视觉传达设计人员</x:v>
      </x:c>
      <x:c r="G532" s="27" t="str">
        <x:v>IC01</x:v>
      </x:c>
      <x:c r="H532" s="25" t="str">
        <x:v>数据要素与数字经济产业链</x:v>
      </x:c>
      <x:c r="I532" s="25" t="str">
        <x:v>下游</x:v>
      </x:c>
      <x:c r="J532" s="27" t="str">
        <x:v>ICN003</x:v>
      </x:c>
      <x:c r="K532" s="25" t="str">
        <x:v>数字经济场景应用与内容创意</x:v>
      </x:c>
      <x:c r="L532" s="28" t="n">
        <x:v>73</x:v>
      </x:c>
      <x:c r="M532" s="25" t="str">
        <x:v>中</x:v>
      </x:c>
      <x:c r="N532" s="26" t="str">
        <x:v>网页设计、网页、视觉、品牌</x:v>
      </x:c>
      <x:c r="O532" s="26" t="str">
        <x:v>岗位名称/描述出现“网页设计”，工作环节更贴近“网页、视觉、品牌”，因此关联到该节点。</x:v>
      </x:c>
      <x:c r="P532" s="26" t="str">
        <x:v>自动通过</x:v>
      </x:c>
    </x:row>
    <x:row r="533" ht="44" customHeight="1">
      <x:c r="A533" s="27" t="str">
        <x:v>REL000530</x:v>
      </x:c>
      <x:c r="B533" s="25" t="n">
        <x:v>11855</x:v>
      </x:c>
      <x:c r="C533" s="27" t="str">
        <x:v>IC-L3-1112</x:v>
      </x:c>
      <x:c r="D533" s="25" t="str">
        <x:v>美工/电商设计师</x:v>
      </x:c>
      <x:c r="E533" s="27" t="str">
        <x:v>2-09-06-01</x:v>
      </x:c>
      <x:c r="F533" s="25" t="str">
        <x:v>视觉传达设计人员</x:v>
      </x:c>
      <x:c r="G533" s="27" t="str">
        <x:v>IC01</x:v>
      </x:c>
      <x:c r="H533" s="25" t="str">
        <x:v>数据要素与数字经济产业链</x:v>
      </x:c>
      <x:c r="I533" s="25" t="str">
        <x:v>下游</x:v>
      </x:c>
      <x:c r="J533" s="27" t="str">
        <x:v>ICN003</x:v>
      </x:c>
      <x:c r="K533" s="25" t="str">
        <x:v>数字经济场景应用与内容创意</x:v>
      </x:c>
      <x:c r="L533" s="28" t="n">
        <x:v>74</x:v>
      </x:c>
      <x:c r="M533" s="25" t="str">
        <x:v>中</x:v>
      </x:c>
      <x:c r="N533" s="26" t="str">
        <x:v>电商、视觉、品牌、网页</x:v>
      </x:c>
      <x:c r="O533" s="26" t="str">
        <x:v>岗位名称/描述出现“电商”，工作环节更贴近“电商、视觉、品牌、网页”，因此关联到该节点。</x:v>
      </x:c>
      <x:c r="P533" s="26" t="str">
        <x:v>自动通过</x:v>
      </x:c>
    </x:row>
    <x:row r="534" ht="44" customHeight="1">
      <x:c r="A534" s="27" t="str">
        <x:v>REL000531</x:v>
      </x:c>
      <x:c r="B534" s="25" t="n">
        <x:v>11856</x:v>
      </x:c>
      <x:c r="C534" s="27" t="str">
        <x:v>IC-L3-1113</x:v>
      </x:c>
      <x:c r="D534" s="25" t="str">
        <x:v>视觉设计师</x:v>
      </x:c>
      <x:c r="E534" s="27" t="str">
        <x:v>2-09-06-01</x:v>
      </x:c>
      <x:c r="F534" s="25" t="str">
        <x:v>视觉传达设计人员</x:v>
      </x:c>
      <x:c r="G534" s="27" t="str">
        <x:v>IC01</x:v>
      </x:c>
      <x:c r="H534" s="25" t="str">
        <x:v>数据要素与数字经济产业链</x:v>
      </x:c>
      <x:c r="I534" s="25" t="str">
        <x:v>下游</x:v>
      </x:c>
      <x:c r="J534" s="27" t="str">
        <x:v>ICN003</x:v>
      </x:c>
      <x:c r="K534" s="25" t="str">
        <x:v>数字经济场景应用与内容创意</x:v>
      </x:c>
      <x:c r="L534" s="28" t="n">
        <x:v>73</x:v>
      </x:c>
      <x:c r="M534" s="25" t="str">
        <x:v>中</x:v>
      </x:c>
      <x:c r="N534" s="26" t="str">
        <x:v>视觉设计、视觉、品牌、ui</x:v>
      </x:c>
      <x:c r="O534" s="26" t="str">
        <x:v>岗位名称/描述出现“视觉设计”，工作环节更贴近“视觉、品牌、ui”，因此关联到该节点。</x:v>
      </x:c>
      <x:c r="P534" s="26" t="str">
        <x:v>自动通过</x:v>
      </x:c>
    </x:row>
    <x:row r="535" ht="44" customHeight="1">
      <x:c r="A535" s="27" t="str">
        <x:v>REL000532</x:v>
      </x:c>
      <x:c r="B535" s="25" t="n">
        <x:v>11857</x:v>
      </x:c>
      <x:c r="C535" s="27" t="str">
        <x:v>IC-L3-1114</x:v>
      </x:c>
      <x:c r="D535" s="25" t="str">
        <x:v>动画/3D设计</x:v>
      </x:c>
      <x:c r="E535" s="27" t="str">
        <x:v>2-09-06-01</x:v>
      </x:c>
      <x:c r="F535" s="25" t="str">
        <x:v>视觉传达设计人员</x:v>
      </x:c>
      <x:c r="G535" s="27" t="str">
        <x:v>IC18</x:v>
      </x:c>
      <x:c r="H535" s="25" t="str">
        <x:v>新型显示与虚拟现实产业链</x:v>
      </x:c>
      <x:c r="I535" s="25" t="str">
        <x:v>下游</x:v>
      </x:c>
      <x:c r="J535" s="27" t="str">
        <x:v>ICN054</x:v>
      </x:c>
      <x:c r="K535" s="25" t="str">
        <x:v>沉浸式内容、行业应用与消费场景</x:v>
      </x:c>
      <x:c r="L535" s="28" t="n">
        <x:v>76</x:v>
      </x:c>
      <x:c r="M535" s="25" t="str">
        <x:v>中</x:v>
      </x:c>
      <x:c r="N535" s="26" t="str">
        <x:v>动画、游戏、3d</x:v>
      </x:c>
      <x:c r="O535" s="26" t="str">
        <x:v>岗位名称/描述出现“动画、游戏”，工作环节更贴近“3d、游戏”，因此关联到该节点。</x:v>
      </x:c>
      <x:c r="P535" s="26" t="str">
        <x:v>自动通过</x:v>
      </x:c>
    </x:row>
    <x:row r="536" ht="44" customHeight="1">
      <x:c r="A536" s="27" t="str">
        <x:v>REL000533</x:v>
      </x:c>
      <x:c r="B536" s="25" t="n">
        <x:v>11858</x:v>
      </x:c>
      <x:c r="C536" s="27" t="str">
        <x:v>IC-L3-1115</x:v>
      </x:c>
      <x:c r="D536" s="25" t="str">
        <x:v>原画师</x:v>
      </x:c>
      <x:c r="E536" s="27" t="str">
        <x:v>2-09-06-01</x:v>
      </x:c>
      <x:c r="F536" s="25" t="str">
        <x:v>视觉传达设计人员</x:v>
      </x:c>
      <x:c r="G536" s="27" t="str">
        <x:v>IC01</x:v>
      </x:c>
      <x:c r="H536" s="25" t="str">
        <x:v>数据要素与数字经济产业链</x:v>
      </x:c>
      <x:c r="I536" s="25" t="str">
        <x:v>下游</x:v>
      </x:c>
      <x:c r="J536" s="27" t="str">
        <x:v>ICN003</x:v>
      </x:c>
      <x:c r="K536" s="25" t="str">
        <x:v>数字经济场景应用与内容创意</x:v>
      </x:c>
      <x:c r="L536" s="28" t="n">
        <x:v>59</x:v>
      </x:c>
      <x:c r="M536" s="25" t="str">
        <x:v>低</x:v>
      </x:c>
      <x:c r="N536" s="26" t="str">
        <x:v>编辑、编剧、导演、音效、视觉、品牌</x:v>
      </x:c>
      <x:c r="O536" s="26" t="str">
        <x:v>岗位名称/描述出现“编辑、编剧、导演、音效”，工作环节更贴近“视觉、品牌、编辑”，因此关联到该节点。</x:v>
      </x:c>
      <x:c r="P536" s="26" t="str">
        <x:v>建议复核</x:v>
      </x:c>
    </x:row>
    <x:row r="537" ht="44" customHeight="1">
      <x:c r="A537" s="27" t="str">
        <x:v>REL000534</x:v>
      </x:c>
      <x:c r="B537" s="25" t="n">
        <x:v>11859</x:v>
      </x:c>
      <x:c r="C537" s="27" t="str">
        <x:v>IC-L3-1116</x:v>
      </x:c>
      <x:c r="D537" s="25" t="str">
        <x:v>特效设计师</x:v>
      </x:c>
      <x:c r="E537" s="27" t="str">
        <x:v>2-09-06-01</x:v>
      </x:c>
      <x:c r="F537" s="25" t="str">
        <x:v>视觉传达设计人员</x:v>
      </x:c>
      <x:c r="G537" s="27" t="str">
        <x:v>IC18</x:v>
      </x:c>
      <x:c r="H537" s="25" t="str">
        <x:v>新型显示与虚拟现实产业链</x:v>
      </x:c>
      <x:c r="I537" s="25" t="str">
        <x:v>下游</x:v>
      </x:c>
      <x:c r="J537" s="27" t="str">
        <x:v>ICN054</x:v>
      </x:c>
      <x:c r="K537" s="25" t="str">
        <x:v>沉浸式内容、行业应用与消费场景</x:v>
      </x:c>
      <x:c r="L537" s="28" t="n">
        <x:v>75</x:v>
      </x:c>
      <x:c r="M537" s="25" t="str">
        <x:v>中</x:v>
      </x:c>
      <x:c r="N537" s="26" t="str">
        <x:v>特效、动画</x:v>
      </x:c>
      <x:c r="O537" s="26" t="str">
        <x:v>岗位名称/描述出现“特效、动画”，工作环节更贴近“特效”，因此关联到该节点。</x:v>
      </x:c>
      <x:c r="P537" s="26" t="str">
        <x:v>自动通过</x:v>
      </x:c>
    </x:row>
    <x:row r="538" ht="44" customHeight="1">
      <x:c r="A538" s="27" t="str">
        <x:v>REL000535</x:v>
      </x:c>
      <x:c r="B538" s="25" t="n">
        <x:v>11859</x:v>
      </x:c>
      <x:c r="C538" s="27" t="str">
        <x:v>IC-L3-1116</x:v>
      </x:c>
      <x:c r="D538" s="25" t="str">
        <x:v>特效设计师</x:v>
      </x:c>
      <x:c r="E538" s="27" t="str">
        <x:v>2-09-06-01</x:v>
      </x:c>
      <x:c r="F538" s="25" t="str">
        <x:v>视觉传达设计人员</x:v>
      </x:c>
      <x:c r="G538" s="27" t="str">
        <x:v>IC18</x:v>
      </x:c>
      <x:c r="H538" s="25" t="str">
        <x:v>新型显示与虚拟现实产业链</x:v>
      </x:c>
      <x:c r="I538" s="25" t="str">
        <x:v>上游</x:v>
      </x:c>
      <x:c r="J538" s="27" t="str">
        <x:v>ICN052</x:v>
      </x:c>
      <x:c r="K538" s="25" t="str">
        <x:v>显示材料、光学器件与核心部件</x:v>
      </x:c>
      <x:c r="L538" s="28" t="n">
        <x:v>73</x:v>
      </x:c>
      <x:c r="M538" s="25" t="str">
        <x:v>中</x:v>
      </x:c>
      <x:c r="N538" s="26" t="str">
        <x:v>特效、动画、设计</x:v>
      </x:c>
      <x:c r="O538" s="26" t="str">
        <x:v>岗位名称/描述出现“特效、动画”，工作环节更贴近“设计”，因此关联到该节点。</x:v>
      </x:c>
      <x:c r="P538" s="26" t="str">
        <x:v>自动通过</x:v>
      </x:c>
    </x:row>
    <x:row r="539" ht="44" customHeight="1">
      <x:c r="A539" s="27" t="str">
        <x:v>REL000536</x:v>
      </x:c>
      <x:c r="B539" s="25" t="n">
        <x:v>11861</x:v>
      </x:c>
      <x:c r="C539" s="27" t="str">
        <x:v>IC-L3-1118</x:v>
      </x:c>
      <x:c r="D539" s="25" t="str">
        <x:v>Flash设计师</x:v>
      </x:c>
      <x:c r="E539" s="27" t="str">
        <x:v>2-09-06-01</x:v>
      </x:c>
      <x:c r="F539" s="25" t="str">
        <x:v>视觉传达设计人员</x:v>
      </x:c>
      <x:c r="G539" s="27" t="str">
        <x:v>IC18</x:v>
      </x:c>
      <x:c r="H539" s="25" t="str">
        <x:v>新型显示与虚拟现实产业链</x:v>
      </x:c>
      <x:c r="I539" s="25" t="str">
        <x:v>下游</x:v>
      </x:c>
      <x:c r="J539" s="27" t="str">
        <x:v>ICN054</x:v>
      </x:c>
      <x:c r="K539" s="25" t="str">
        <x:v>沉浸式内容、行业应用与消费场景</x:v>
      </x:c>
      <x:c r="L539" s="28" t="n">
        <x:v>75</x:v>
      </x:c>
      <x:c r="M539" s="25" t="str">
        <x:v>中</x:v>
      </x:c>
      <x:c r="N539" s="26" t="str">
        <x:v>flash、动画</x:v>
      </x:c>
      <x:c r="O539" s="26" t="str">
        <x:v>岗位名称/描述出现“flash、动画”，工作环节更贴近“flash”，因此关联到该节点。</x:v>
      </x:c>
      <x:c r="P539" s="26" t="str">
        <x:v>自动通过</x:v>
      </x:c>
    </x:row>
    <x:row r="540" ht="44" customHeight="1">
      <x:c r="A540" s="27" t="str">
        <x:v>REL000537</x:v>
      </x:c>
      <x:c r="B540" s="25" t="n">
        <x:v>11861</x:v>
      </x:c>
      <x:c r="C540" s="27" t="str">
        <x:v>IC-L3-1118</x:v>
      </x:c>
      <x:c r="D540" s="25" t="str">
        <x:v>Flash设计师</x:v>
      </x:c>
      <x:c r="E540" s="27" t="str">
        <x:v>2-09-06-01</x:v>
      </x:c>
      <x:c r="F540" s="25" t="str">
        <x:v>视觉传达设计人员</x:v>
      </x:c>
      <x:c r="G540" s="27" t="str">
        <x:v>IC18</x:v>
      </x:c>
      <x:c r="H540" s="25" t="str">
        <x:v>新型显示与虚拟现实产业链</x:v>
      </x:c>
      <x:c r="I540" s="25" t="str">
        <x:v>上游</x:v>
      </x:c>
      <x:c r="J540" s="27" t="str">
        <x:v>ICN052</x:v>
      </x:c>
      <x:c r="K540" s="25" t="str">
        <x:v>显示材料、光学器件与核心部件</x:v>
      </x:c>
      <x:c r="L540" s="28" t="n">
        <x:v>73</x:v>
      </x:c>
      <x:c r="M540" s="25" t="str">
        <x:v>中</x:v>
      </x:c>
      <x:c r="N540" s="26" t="str">
        <x:v>flash、动画、设计</x:v>
      </x:c>
      <x:c r="O540" s="26" t="str">
        <x:v>岗位名称/描述出现“flash、动画”，工作环节更贴近“设计”，因此关联到该节点。</x:v>
      </x:c>
      <x:c r="P540" s="26" t="str">
        <x:v>自动通过</x:v>
      </x:c>
    </x:row>
    <x:row r="541" ht="44" customHeight="1">
      <x:c r="A541" s="27" t="str">
        <x:v>REL000538</x:v>
      </x:c>
      <x:c r="B541" s="25" t="n">
        <x:v>11873</x:v>
      </x:c>
      <x:c r="C541" s="27" t="str">
        <x:v>IC-L3-1130</x:v>
      </x:c>
      <x:c r="D541" s="25" t="str">
        <x:v>机械设计</x:v>
      </x:c>
      <x:c r="E541" s="27" t="str">
        <x:v>2-02-07-01</x:v>
      </x:c>
      <x:c r="F541" s="25" t="str">
        <x:v>机械设计工程技术人员</x:v>
      </x:c>
      <x:c r="G541" s="27" t="str">
        <x:v>IC02</x:v>
      </x:c>
      <x:c r="H541" s="25" t="str">
        <x:v>高端装备与智能制造产业链</x:v>
      </x:c>
      <x:c r="I541" s="25" t="str">
        <x:v>上游</x:v>
      </x:c>
      <x:c r="J541" s="27" t="str">
        <x:v>ICN004</x:v>
      </x:c>
      <x:c r="K541" s="25" t="str">
        <x:v>关键基础件与工业母机</x:v>
      </x:c>
      <x:c r="L541" s="28" t="n">
        <x:v>77</x:v>
      </x:c>
      <x:c r="M541" s="25" t="str">
        <x:v>中</x:v>
      </x:c>
      <x:c r="N541" s="26" t="str">
        <x:v>机械、机械设计、零部件、研发</x:v>
      </x:c>
      <x:c r="O541" s="26" t="str">
        <x:v>岗位名称/描述出现“机械”，工作环节更贴近“机械设计、零部件、研发”，因此关联到该节点。</x:v>
      </x:c>
      <x:c r="P541" s="26" t="str">
        <x:v>自动通过</x:v>
      </x:c>
    </x:row>
    <x:row r="542" ht="44" customHeight="1">
      <x:c r="A542" s="27" t="str">
        <x:v>REL000539</x:v>
      </x:c>
      <x:c r="B542" s="25" t="n">
        <x:v>11874</x:v>
      </x:c>
      <x:c r="C542" s="27" t="str">
        <x:v>IC-L3-1131</x:v>
      </x:c>
      <x:c r="D542" s="25" t="str">
        <x:v>模具设计</x:v>
      </x:c>
      <x:c r="E542" s="27" t="str">
        <x:v>2-09-06-01</x:v>
      </x:c>
      <x:c r="F542" s="25" t="str">
        <x:v>视觉传达设计人员</x:v>
      </x:c>
      <x:c r="G542" s="27" t="str">
        <x:v>IC02</x:v>
      </x:c>
      <x:c r="H542" s="25" t="str">
        <x:v>高端装备与智能制造产业链</x:v>
      </x:c>
      <x:c r="I542" s="25" t="str">
        <x:v>上游</x:v>
      </x:c>
      <x:c r="J542" s="27" t="str">
        <x:v>ICN004</x:v>
      </x:c>
      <x:c r="K542" s="25" t="str">
        <x:v>关键基础件与工业母机</x:v>
      </x:c>
      <x:c r="L542" s="28" t="n">
        <x:v>71</x:v>
      </x:c>
      <x:c r="M542" s="25" t="str">
        <x:v>中</x:v>
      </x:c>
      <x:c r="N542" s="26" t="str">
        <x:v>模具</x:v>
      </x:c>
      <x:c r="O542" s="26" t="str">
        <x:v>岗位名称/描述出现“模具”，工作环节更贴近“模具”，因此关联到该节点。</x:v>
      </x:c>
      <x:c r="P542" s="26" t="str">
        <x:v>自动通过</x:v>
      </x:c>
    </x:row>
    <x:row r="543" ht="44" customHeight="1">
      <x:c r="A543" s="27" t="str">
        <x:v>REL000540</x:v>
      </x:c>
      <x:c r="B543" s="25" t="n">
        <x:v>11875</x:v>
      </x:c>
      <x:c r="C543" s="27" t="str">
        <x:v>IC-L3-1132</x:v>
      </x:c>
      <x:c r="D543" s="25" t="str">
        <x:v>平面设计师</x:v>
      </x:c>
      <x:c r="E543" s="27" t="str">
        <x:v>2-09-06-01</x:v>
      </x:c>
      <x:c r="F543" s="25" t="str">
        <x:v>视觉传达设计人员</x:v>
      </x:c>
      <x:c r="G543" s="27" t="str">
        <x:v>IC01</x:v>
      </x:c>
      <x:c r="H543" s="25" t="str">
        <x:v>数据要素与数字经济产业链</x:v>
      </x:c>
      <x:c r="I543" s="25" t="str">
        <x:v>下游</x:v>
      </x:c>
      <x:c r="J543" s="27" t="str">
        <x:v>ICN003</x:v>
      </x:c>
      <x:c r="K543" s="25" t="str">
        <x:v>数字经济场景应用与内容创意</x:v>
      </x:c>
      <x:c r="L543" s="28" t="n">
        <x:v>82</x:v>
      </x:c>
      <x:c r="M543" s="25" t="str">
        <x:v>高</x:v>
      </x:c>
      <x:c r="N543" s="26" t="str">
        <x:v>平面设计、广告、编辑、文案、平面、视觉、品牌</x:v>
      </x:c>
      <x:c r="O543" s="26" t="str">
        <x:v>岗位名称/描述出现“平面设计、广告、编辑、文案”，工作环节更贴近“平面、视觉、广告、品牌、编辑”，因此关联到该节点。</x:v>
      </x:c>
      <x:c r="P543" s="26" t="str">
        <x:v>自动通过</x:v>
      </x:c>
    </x:row>
    <x:row r="544" ht="44" customHeight="1">
      <x:c r="A544" s="27" t="str">
        <x:v>REL000541</x:v>
      </x:c>
      <x:c r="B544" s="25" t="n">
        <x:v>11876</x:v>
      </x:c>
      <x:c r="C544" s="27" t="str">
        <x:v>IC-L3-1133</x:v>
      </x:c>
      <x:c r="D544" s="25" t="str">
        <x:v>平面设计总监</x:v>
      </x:c>
      <x:c r="E544" s="27" t="str">
        <x:v>2-09-06-01</x:v>
      </x:c>
      <x:c r="F544" s="25" t="str">
        <x:v>视觉传达设计人员</x:v>
      </x:c>
      <x:c r="G544" s="27" t="str">
        <x:v>IC01</x:v>
      </x:c>
      <x:c r="H544" s="25" t="str">
        <x:v>数据要素与数字经济产业链</x:v>
      </x:c>
      <x:c r="I544" s="25" t="str">
        <x:v>下游</x:v>
      </x:c>
      <x:c r="J544" s="27" t="str">
        <x:v>ICN003</x:v>
      </x:c>
      <x:c r="K544" s="25" t="str">
        <x:v>数字经济场景应用与内容创意</x:v>
      </x:c>
      <x:c r="L544" s="28" t="n">
        <x:v>76</x:v>
      </x:c>
      <x:c r="M544" s="25" t="str">
        <x:v>中</x:v>
      </x:c>
      <x:c r="N544" s="26" t="str">
        <x:v>平面设计、广告、平面、视觉、品牌</x:v>
      </x:c>
      <x:c r="O544" s="26" t="str">
        <x:v>岗位名称/描述出现“平面设计、广告”，工作环节更贴近“平面、视觉、广告、品牌”，因此关联到该节点。</x:v>
      </x:c>
      <x:c r="P544" s="26" t="str">
        <x:v>自动通过</x:v>
      </x:c>
    </x:row>
    <x:row r="545" ht="44" customHeight="1">
      <x:c r="A545" s="27" t="str">
        <x:v>REL000542</x:v>
      </x:c>
      <x:c r="B545" s="25" t="n">
        <x:v>11877</x:v>
      </x:c>
      <x:c r="C545" s="27" t="str">
        <x:v>IC-L3-1134</x:v>
      </x:c>
      <x:c r="D545" s="25" t="str">
        <x:v>平面设计经理/主管</x:v>
      </x:c>
      <x:c r="E545" s="27" t="str">
        <x:v>2-09-06-01</x:v>
      </x:c>
      <x:c r="F545" s="25" t="str">
        <x:v>视觉传达设计人员</x:v>
      </x:c>
      <x:c r="G545" s="27" t="str">
        <x:v>IC01</x:v>
      </x:c>
      <x:c r="H545" s="25" t="str">
        <x:v>数据要素与数字经济产业链</x:v>
      </x:c>
      <x:c r="I545" s="25" t="str">
        <x:v>下游</x:v>
      </x:c>
      <x:c r="J545" s="27" t="str">
        <x:v>ICN003</x:v>
      </x:c>
      <x:c r="K545" s="25" t="str">
        <x:v>数字经济场景应用与内容创意</x:v>
      </x:c>
      <x:c r="L545" s="28" t="n">
        <x:v>76</x:v>
      </x:c>
      <x:c r="M545" s="25" t="str">
        <x:v>中</x:v>
      </x:c>
      <x:c r="N545" s="26" t="str">
        <x:v>平面设计、广告、平面、视觉、增长、品牌</x:v>
      </x:c>
      <x:c r="O545" s="26" t="str">
        <x:v>岗位名称/描述出现“平面设计、广告”，工作环节更贴近“平面、视觉、增长、广告、品牌”，因此关联到该节点。</x:v>
      </x:c>
      <x:c r="P545" s="26" t="str">
        <x:v>自动通过</x:v>
      </x:c>
    </x:row>
    <x:row r="546" ht="44" customHeight="1">
      <x:c r="A546" s="27" t="str">
        <x:v>REL000543</x:v>
      </x:c>
      <x:c r="B546" s="25" t="n">
        <x:v>11878</x:v>
      </x:c>
      <x:c r="C546" s="27" t="str">
        <x:v>IC-L3-1135</x:v>
      </x:c>
      <x:c r="D546" s="25" t="str">
        <x:v>UI设计师</x:v>
      </x:c>
      <x:c r="E546" s="27" t="str">
        <x:v>2-09-06-01</x:v>
      </x:c>
      <x:c r="F546" s="25" t="str">
        <x:v>视觉传达设计人员</x:v>
      </x:c>
      <x:c r="G546" s="27" t="str">
        <x:v>IC01</x:v>
      </x:c>
      <x:c r="H546" s="25" t="str">
        <x:v>数据要素与数字经济产业链</x:v>
      </x:c>
      <x:c r="I546" s="25" t="str">
        <x:v>下游</x:v>
      </x:c>
      <x:c r="J546" s="27" t="str">
        <x:v>ICN003</x:v>
      </x:c>
      <x:c r="K546" s="25" t="str">
        <x:v>数字经济场景应用与内容创意</x:v>
      </x:c>
      <x:c r="L546" s="28" t="n">
        <x:v>75</x:v>
      </x:c>
      <x:c r="M546" s="25" t="str">
        <x:v>中</x:v>
      </x:c>
      <x:c r="N546" s="26" t="str">
        <x:v>ui设计、视觉设计、ui、视觉、交互</x:v>
      </x:c>
      <x:c r="O546" s="26" t="str">
        <x:v>岗位名称/描述出现“ui设计、视觉设计”，工作环节更贴近“ui、视觉、交互”，因此关联到该节点。</x:v>
      </x:c>
      <x:c r="P546" s="26" t="str">
        <x:v>自动通过</x:v>
      </x:c>
    </x:row>
    <x:row r="547" ht="44" customHeight="1">
      <x:c r="A547" s="27" t="str">
        <x:v>REL000544</x:v>
      </x:c>
      <x:c r="B547" s="25" t="n">
        <x:v>11880</x:v>
      </x:c>
      <x:c r="C547" s="27" t="str">
        <x:v>IC-L3-1137</x:v>
      </x:c>
      <x:c r="D547" s="25" t="str">
        <x:v>交互设计师</x:v>
      </x:c>
      <x:c r="E547" s="27" t="str">
        <x:v>2-09-06-01</x:v>
      </x:c>
      <x:c r="F547" s="25" t="str">
        <x:v>视觉传达设计人员</x:v>
      </x:c>
      <x:c r="G547" s="27" t="str">
        <x:v>IC01</x:v>
      </x:c>
      <x:c r="H547" s="25" t="str">
        <x:v>数据要素与数字经济产业链</x:v>
      </x:c>
      <x:c r="I547" s="25" t="str">
        <x:v>下游</x:v>
      </x:c>
      <x:c r="J547" s="27" t="str">
        <x:v>ICN003</x:v>
      </x:c>
      <x:c r="K547" s="25" t="str">
        <x:v>数字经济场景应用与内容创意</x:v>
      </x:c>
      <x:c r="L547" s="28" t="n">
        <x:v>75</x:v>
      </x:c>
      <x:c r="M547" s="25" t="str">
        <x:v>中</x:v>
      </x:c>
      <x:c r="N547" s="26" t="str">
        <x:v>交互设计、平面设计、交互、视觉、平面</x:v>
      </x:c>
      <x:c r="O547" s="26" t="str">
        <x:v>岗位名称/描述出现“交互设计、平面设计”，工作环节更贴近“交互、视觉、平面”，因此关联到该节点。</x:v>
      </x:c>
      <x:c r="P547" s="26" t="str">
        <x:v>自动通过</x:v>
      </x:c>
    </x:row>
    <x:row r="548" ht="44" customHeight="1">
      <x:c r="A548" s="27" t="str">
        <x:v>REL000545</x:v>
      </x:c>
      <x:c r="B548" s="25" t="n">
        <x:v>11881</x:v>
      </x:c>
      <x:c r="C548" s="27" t="str">
        <x:v>IC-L3-1138</x:v>
      </x:c>
      <x:c r="D548" s="25" t="str">
        <x:v>数据分析师</x:v>
      </x:c>
      <x:c r="E548" s="27" t="str">
        <x:v>2-02-10-03</x:v>
      </x:c>
      <x:c r="F548" s="25" t="str">
        <x:v>计算机软件工程技术人员</x:v>
      </x:c>
      <x:c r="G548" s="27" t="str">
        <x:v>IC01</x:v>
      </x:c>
      <x:c r="H548" s="25" t="str">
        <x:v>数据要素与数字经济产业链</x:v>
      </x:c>
      <x:c r="I548" s="25" t="str">
        <x:v>中游</x:v>
      </x:c>
      <x:c r="J548" s="27" t="str">
        <x:v>ICN002</x:v>
      </x:c>
      <x:c r="K548" s="25" t="str">
        <x:v>数据治理、流通与服务</x:v>
      </x:c>
      <x:c r="L548" s="28" t="n">
        <x:v>75</x:v>
      </x:c>
      <x:c r="M548" s="25" t="str">
        <x:v>中</x:v>
      </x:c>
      <x:c r="N548" s="26" t="str">
        <x:v>数据分析、平面设计</x:v>
      </x:c>
      <x:c r="O548" s="26" t="str">
        <x:v>岗位名称/描述出现“数据分析、平面设计”，工作环节更贴近“数据分析”，因此关联到该节点。</x:v>
      </x:c>
      <x:c r="P548" s="26" t="str">
        <x:v>自动通过</x:v>
      </x:c>
    </x:row>
    <x:row r="549" ht="44" customHeight="1">
      <x:c r="A549" s="27" t="str">
        <x:v>REL000546</x:v>
      </x:c>
      <x:c r="B549" s="25" t="n">
        <x:v>11883</x:v>
      </x:c>
      <x:c r="C549" s="27" t="str">
        <x:v>IC-L3-1140</x:v>
      </x:c>
      <x:c r="D549" s="25" t="str">
        <x:v>广告创意/设计专员</x:v>
      </x:c>
      <x:c r="E549" s="27" t="str">
        <x:v>2-09-06-01</x:v>
      </x:c>
      <x:c r="F549" s="25" t="str">
        <x:v>视觉传达设计人员</x:v>
      </x:c>
      <x:c r="G549" s="27" t="str">
        <x:v>IC01</x:v>
      </x:c>
      <x:c r="H549" s="25" t="str">
        <x:v>数据要素与数字经济产业链</x:v>
      </x:c>
      <x:c r="I549" s="25" t="str">
        <x:v>下游</x:v>
      </x:c>
      <x:c r="J549" s="27" t="str">
        <x:v>ICN003</x:v>
      </x:c>
      <x:c r="K549" s="25" t="str">
        <x:v>数字经济场景应用与内容创意</x:v>
      </x:c>
      <x:c r="L549" s="28" t="n">
        <x:v>75</x:v>
      </x:c>
      <x:c r="M549" s="25" t="str">
        <x:v>中</x:v>
      </x:c>
      <x:c r="N549" s="26" t="str">
        <x:v>广告、视觉、品牌、平面、视频</x:v>
      </x:c>
      <x:c r="O549" s="26" t="str">
        <x:v>岗位名称/描述出现“广告”，工作环节更贴近“广告、视觉、品牌、平面、视频”，因此关联到该节点。</x:v>
      </x:c>
      <x:c r="P549" s="26" t="str">
        <x:v>自动通过</x:v>
      </x:c>
    </x:row>
    <x:row r="550" ht="44" customHeight="1">
      <x:c r="A550" s="27" t="str">
        <x:v>REL000547</x:v>
      </x:c>
      <x:c r="B550" s="25" t="n">
        <x:v>11884</x:v>
      </x:c>
      <x:c r="C550" s="27" t="str">
        <x:v>IC-L3-1141</x:v>
      </x:c>
      <x:c r="D550" s="25" t="str">
        <x:v>广告创意/设计主管</x:v>
      </x:c>
      <x:c r="E550" s="27" t="str">
        <x:v>2-09-06-01</x:v>
      </x:c>
      <x:c r="F550" s="25" t="str">
        <x:v>视觉传达设计人员</x:v>
      </x:c>
      <x:c r="G550" s="27" t="str">
        <x:v>IC01</x:v>
      </x:c>
      <x:c r="H550" s="25" t="str">
        <x:v>数据要素与数字经济产业链</x:v>
      </x:c>
      <x:c r="I550" s="25" t="str">
        <x:v>下游</x:v>
      </x:c>
      <x:c r="J550" s="27" t="str">
        <x:v>ICN003</x:v>
      </x:c>
      <x:c r="K550" s="25" t="str">
        <x:v>数字经济场景应用与内容创意</x:v>
      </x:c>
      <x:c r="L550" s="28" t="n">
        <x:v>73</x:v>
      </x:c>
      <x:c r="M550" s="25" t="str">
        <x:v>中</x:v>
      </x:c>
      <x:c r="N550" s="26" t="str">
        <x:v>广告、视觉、品牌</x:v>
      </x:c>
      <x:c r="O550" s="26" t="str">
        <x:v>岗位名称/描述出现“广告”，工作环节更贴近“广告、视觉、品牌”，因此关联到该节点。</x:v>
      </x:c>
      <x:c r="P550" s="26" t="str">
        <x:v>自动通过</x:v>
      </x:c>
    </x:row>
    <x:row r="551" ht="44" customHeight="1">
      <x:c r="A551" s="27" t="str">
        <x:v>REL000548</x:v>
      </x:c>
      <x:c r="B551" s="25" t="n">
        <x:v>11885</x:v>
      </x:c>
      <x:c r="C551" s="27" t="str">
        <x:v>IC-L3-1142</x:v>
      </x:c>
      <x:c r="D551" s="25" t="str">
        <x:v>广告创意/设计经理</x:v>
      </x:c>
      <x:c r="E551" s="27" t="str">
        <x:v>2-09-06-01</x:v>
      </x:c>
      <x:c r="F551" s="25" t="str">
        <x:v>视觉传达设计人员</x:v>
      </x:c>
      <x:c r="G551" s="27" t="str">
        <x:v>IC01</x:v>
      </x:c>
      <x:c r="H551" s="25" t="str">
        <x:v>数据要素与数字经济产业链</x:v>
      </x:c>
      <x:c r="I551" s="25" t="str">
        <x:v>下游</x:v>
      </x:c>
      <x:c r="J551" s="27" t="str">
        <x:v>ICN003</x:v>
      </x:c>
      <x:c r="K551" s="25" t="str">
        <x:v>数字经济场景应用与内容创意</x:v>
      </x:c>
      <x:c r="L551" s="28" t="n">
        <x:v>72</x:v>
      </x:c>
      <x:c r="M551" s="25" t="str">
        <x:v>中</x:v>
      </x:c>
      <x:c r="N551" s="26" t="str">
        <x:v>广告、视觉、品牌</x:v>
      </x:c>
      <x:c r="O551" s="26" t="str">
        <x:v>岗位名称/描述出现“广告”，工作环节更贴近“广告、视觉、品牌”，因此关联到该节点。</x:v>
      </x:c>
      <x:c r="P551" s="26" t="str">
        <x:v>自动通过</x:v>
      </x:c>
    </x:row>
    <x:row r="552" ht="44" customHeight="1">
      <x:c r="A552" s="27" t="str">
        <x:v>REL000549</x:v>
      </x:c>
      <x:c r="B552" s="25" t="n">
        <x:v>11886</x:v>
      </x:c>
      <x:c r="C552" s="27" t="str">
        <x:v>IC-L3-1143</x:v>
      </x:c>
      <x:c r="D552" s="25" t="str">
        <x:v>网页设计师</x:v>
      </x:c>
      <x:c r="E552" s="27" t="str">
        <x:v>2-09-06-01</x:v>
      </x:c>
      <x:c r="F552" s="25" t="str">
        <x:v>视觉传达设计人员</x:v>
      </x:c>
      <x:c r="G552" s="27" t="str">
        <x:v>IC01</x:v>
      </x:c>
      <x:c r="H552" s="25" t="str">
        <x:v>数据要素与数字经济产业链</x:v>
      </x:c>
      <x:c r="I552" s="25" t="str">
        <x:v>下游</x:v>
      </x:c>
      <x:c r="J552" s="27" t="str">
        <x:v>ICN003</x:v>
      </x:c>
      <x:c r="K552" s="25" t="str">
        <x:v>数字经济场景应用与内容创意</x:v>
      </x:c>
      <x:c r="L552" s="28" t="n">
        <x:v>79</x:v>
      </x:c>
      <x:c r="M552" s="25" t="str">
        <x:v>中</x:v>
      </x:c>
      <x:c r="N552" s="26" t="str">
        <x:v>网页设计、广告、视觉设计、网页、视觉、品牌、交互</x:v>
      </x:c>
      <x:c r="O552" s="26" t="str">
        <x:v>岗位名称/描述出现“网页设计、广告、视觉设计”，工作环节更贴近“网页、视觉、广告、品牌、交互”，因此关联到该节点。</x:v>
      </x:c>
      <x:c r="P552" s="26" t="str">
        <x:v>自动通过</x:v>
      </x:c>
    </x:row>
    <x:row r="553" ht="44" customHeight="1">
      <x:c r="A553" s="27" t="str">
        <x:v>REL000550</x:v>
      </x:c>
      <x:c r="B553" s="25" t="n">
        <x:v>11887</x:v>
      </x:c>
      <x:c r="C553" s="27" t="str">
        <x:v>IC-L3-1144</x:v>
      </x:c>
      <x:c r="D553" s="25" t="str">
        <x:v>Flash设计师</x:v>
      </x:c>
      <x:c r="E553" s="27" t="str">
        <x:v>2-09-06-01</x:v>
      </x:c>
      <x:c r="F553" s="25" t="str">
        <x:v>视觉传达设计人员</x:v>
      </x:c>
      <x:c r="G553" s="27" t="str">
        <x:v>IC18</x:v>
      </x:c>
      <x:c r="H553" s="25" t="str">
        <x:v>新型显示与虚拟现实产业链</x:v>
      </x:c>
      <x:c r="I553" s="25" t="str">
        <x:v>下游</x:v>
      </x:c>
      <x:c r="J553" s="27" t="str">
        <x:v>ICN054</x:v>
      </x:c>
      <x:c r="K553" s="25" t="str">
        <x:v>沉浸式内容、行业应用与消费场景</x:v>
      </x:c>
      <x:c r="L553" s="28" t="n">
        <x:v>78</x:v>
      </x:c>
      <x:c r="M553" s="25" t="str">
        <x:v>中</x:v>
      </x:c>
      <x:c r="N553" s="26" t="str">
        <x:v>flash、动画、特效</x:v>
      </x:c>
      <x:c r="O553" s="26" t="str">
        <x:v>岗位名称/描述出现“flash、动画、特效”，工作环节更贴近“flash、特效”，因此关联到该节点。</x:v>
      </x:c>
      <x:c r="P553" s="26" t="str">
        <x:v>自动通过</x:v>
      </x:c>
    </x:row>
    <x:row r="554" ht="44" customHeight="1">
      <x:c r="A554" s="27" t="str">
        <x:v>REL000551</x:v>
      </x:c>
      <x:c r="B554" s="25" t="n">
        <x:v>11889</x:v>
      </x:c>
      <x:c r="C554" s="27" t="str">
        <x:v>IC-L3-1146</x:v>
      </x:c>
      <x:c r="D554" s="25" t="str">
        <x:v>园艺/园林/景观设计</x:v>
      </x:c>
      <x:c r="E554" s="27" t="str">
        <x:v>2-09-06-01</x:v>
      </x:c>
      <x:c r="F554" s="25" t="str">
        <x:v>视觉传达设计人员</x:v>
      </x:c>
      <x:c r="G554" s="27" t="str">
        <x:v>IC03</x:v>
      </x:c>
      <x:c r="H554" s="25" t="str">
        <x:v>基础设施与城市建设产业链</x:v>
      </x:c>
      <x:c r="I554" s="25" t="str">
        <x:v>上游</x:v>
      </x:c>
      <x:c r="J554" s="27" t="str">
        <x:v>ICN007</x:v>
      </x:c>
      <x:c r="K554" s="25" t="str">
        <x:v>规划设计、建材与工程准备</x:v>
      </x:c>
      <x:c r="L554" s="28" t="n">
        <x:v>98</x:v>
      </x:c>
      <x:c r="M554" s="25" t="str">
        <x:v>高</x:v>
      </x:c>
      <x:c r="N554" s="26" t="str">
        <x:v>园林、景观、建筑、施工、设计、景观设计</x:v>
      </x:c>
      <x:c r="O554" s="26" t="str">
        <x:v>岗位名称/描述出现“园林、景观、建筑、施工”，工作环节更贴近“设计、景观设计”，因此关联到该节点。</x:v>
      </x:c>
      <x:c r="P554" s="26" t="str">
        <x:v>自动通过</x:v>
      </x:c>
    </x:row>
    <x:row r="555" ht="44" customHeight="1">
      <x:c r="A555" s="27" t="str">
        <x:v>REL000552</x:v>
      </x:c>
      <x:c r="B555" s="25" t="n">
        <x:v>11890</x:v>
      </x:c>
      <x:c r="C555" s="27" t="str">
        <x:v>IC-L3-1147</x:v>
      </x:c>
      <x:c r="D555" s="25" t="str">
        <x:v>城市规划设计</x:v>
      </x:c>
      <x:c r="E555" s="27" t="str">
        <x:v>2-09-06-01</x:v>
      </x:c>
      <x:c r="F555" s="25" t="str">
        <x:v>视觉传达设计人员</x:v>
      </x:c>
      <x:c r="G555" s="27" t="str">
        <x:v>IC03</x:v>
      </x:c>
      <x:c r="H555" s="25" t="str">
        <x:v>基础设施与城市建设产业链</x:v>
      </x:c>
      <x:c r="I555" s="25" t="str">
        <x:v>上游</x:v>
      </x:c>
      <x:c r="J555" s="27" t="str">
        <x:v>ICN007</x:v>
      </x:c>
      <x:c r="K555" s="25" t="str">
        <x:v>规划设计、建材与工程准备</x:v>
      </x:c>
      <x:c r="L555" s="28" t="n">
        <x:v>82</x:v>
      </x:c>
      <x:c r="M555" s="25" t="str">
        <x:v>高</x:v>
      </x:c>
      <x:c r="N555" s="26" t="str">
        <x:v>城市规划、建筑、景观、规划、设计、景观设计</x:v>
      </x:c>
      <x:c r="O555" s="26" t="str">
        <x:v>岗位名称/描述出现“城市规划、建筑、景观”，工作环节更贴近“规划、设计、景观设计”，因此关联到该节点。</x:v>
      </x:c>
      <x:c r="P555" s="26" t="str">
        <x:v>自动通过</x:v>
      </x:c>
    </x:row>
    <x:row r="556" ht="44" customHeight="1">
      <x:c r="A556" s="27" t="str">
        <x:v>REL000553</x:v>
      </x:c>
      <x:c r="B556" s="25" t="n">
        <x:v>11898</x:v>
      </x:c>
      <x:c r="C556" s="27" t="str">
        <x:v>IC-L3-1155</x:v>
      </x:c>
      <x:c r="D556" s="25" t="str">
        <x:v>建筑制图/模型/渲染</x:v>
      </x:c>
      <x:c r="E556" s="27" t="str">
        <x:v>2-09-06-01</x:v>
      </x:c>
      <x:c r="F556" s="25" t="str">
        <x:v>视觉传达设计人员</x:v>
      </x:c>
      <x:c r="G556" s="27" t="str">
        <x:v>IC03</x:v>
      </x:c>
      <x:c r="H556" s="25" t="str">
        <x:v>基础设施与城市建设产业链</x:v>
      </x:c>
      <x:c r="I556" s="25" t="str">
        <x:v>中游</x:v>
      </x:c>
      <x:c r="J556" s="27" t="str">
        <x:v>ICN008</x:v>
      </x:c>
      <x:c r="K556" s="25" t="str">
        <x:v>基础设施建设与房地产开发</x:v>
      </x:c>
      <x:c r="L556" s="28" t="n">
        <x:v>69</x:v>
      </x:c>
      <x:c r="M556" s="25" t="str">
        <x:v>中</x:v>
      </x:c>
      <x:c r="N556" s="26" t="str">
        <x:v>建筑、施工</x:v>
      </x:c>
      <x:c r="O556" s="26" t="str">
        <x:v>岗位名称/描述出现“建筑、施工”，工作环节更贴近“施工”，因此关联到该节点。</x:v>
      </x:c>
      <x:c r="P556" s="26" t="str">
        <x:v>自动通过</x:v>
      </x:c>
    </x:row>
    <x:row r="557" ht="44" customHeight="1">
      <x:c r="A557" s="27" t="str">
        <x:v>REL000554</x:v>
      </x:c>
      <x:c r="B557" s="25" t="n">
        <x:v>11899</x:v>
      </x:c>
      <x:c r="C557" s="27" t="str">
        <x:v>IC-L3-1156</x:v>
      </x:c>
      <x:c r="D557" s="25" t="str">
        <x:v>建筑机电设计</x:v>
      </x:c>
      <x:c r="E557" s="27" t="str">
        <x:v>2-09-06-01</x:v>
      </x:c>
      <x:c r="F557" s="25" t="str">
        <x:v>视觉传达设计人员</x:v>
      </x:c>
      <x:c r="G557" s="27" t="str">
        <x:v>IC03</x:v>
      </x:c>
      <x:c r="H557" s="25" t="str">
        <x:v>基础设施与城市建设产业链</x:v>
      </x:c>
      <x:c r="I557" s="25" t="str">
        <x:v>上游</x:v>
      </x:c>
      <x:c r="J557" s="27" t="str">
        <x:v>ICN007</x:v>
      </x:c>
      <x:c r="K557" s="25" t="str">
        <x:v>规划设计、建材与工程准备</x:v>
      </x:c>
      <x:c r="L557" s="28" t="n">
        <x:v>77</x:v>
      </x:c>
      <x:c r="M557" s="25" t="str">
        <x:v>中</x:v>
      </x:c>
      <x:c r="N557" s="26" t="str">
        <x:v>建筑、施工、暖通、给排水、设计</x:v>
      </x:c>
      <x:c r="O557" s="26" t="str">
        <x:v>岗位名称/描述出现“建筑、施工、暖通、给排水”，工作环节更贴近“设计”，因此关联到该节点。</x:v>
      </x:c>
      <x:c r="P557" s="26" t="str">
        <x:v>自动通过</x:v>
      </x:c>
    </x:row>
    <x:row r="558" ht="44" customHeight="1">
      <x:c r="A558" s="27" t="str">
        <x:v>REL000555</x:v>
      </x:c>
      <x:c r="B558" s="25" t="n">
        <x:v>11899</x:v>
      </x:c>
      <x:c r="C558" s="27" t="str">
        <x:v>IC-L3-1156</x:v>
      </x:c>
      <x:c r="D558" s="25" t="str">
        <x:v>建筑机电设计</x:v>
      </x:c>
      <x:c r="E558" s="27" t="str">
        <x:v>2-09-06-01</x:v>
      </x:c>
      <x:c r="F558" s="25" t="str">
        <x:v>视觉传达设计人员</x:v>
      </x:c>
      <x:c r="G558" s="27" t="str">
        <x:v>IC02</x:v>
      </x:c>
      <x:c r="H558" s="25" t="str">
        <x:v>高端装备与智能制造产业链</x:v>
      </x:c>
      <x:c r="I558" s="25" t="str">
        <x:v>中游</x:v>
      </x:c>
      <x:c r="J558" s="27" t="str">
        <x:v>ICN005</x:v>
      </x:c>
      <x:c r="K558" s="25" t="str">
        <x:v>高端装备制造与激光加工</x:v>
      </x:c>
      <x:c r="L558" s="28" t="n">
        <x:v>66</x:v>
      </x:c>
      <x:c r="M558" s="25" t="str">
        <x:v>低</x:v>
      </x:c>
      <x:c r="N558" s="26" t="str">
        <x:v>机电</x:v>
      </x:c>
      <x:c r="O558" s="26" t="str">
        <x:v>岗位名称/描述出现“机电”，工作环节更贴近“中游”，因此关联到该节点。</x:v>
      </x:c>
      <x:c r="P558" s="26" t="str">
        <x:v>建议复核</x:v>
      </x:c>
    </x:row>
    <x:row r="559" ht="44" customHeight="1">
      <x:c r="A559" s="27" t="str">
        <x:v>REL000556</x:v>
      </x:c>
      <x:c r="B559" s="25" t="n">
        <x:v>11900</x:v>
      </x:c>
      <x:c r="C559" s="27" t="str">
        <x:v>IC-L3-1157</x:v>
      </x:c>
      <x:c r="D559" s="25" t="str">
        <x:v>建筑结构设计</x:v>
      </x:c>
      <x:c r="E559" s="27" t="str">
        <x:v>2-09-06-01</x:v>
      </x:c>
      <x:c r="F559" s="25" t="str">
        <x:v>视觉传达设计人员</x:v>
      </x:c>
      <x:c r="G559" s="27" t="str">
        <x:v>IC03</x:v>
      </x:c>
      <x:c r="H559" s="25" t="str">
        <x:v>基础设施与城市建设产业链</x:v>
      </x:c>
      <x:c r="I559" s="25" t="str">
        <x:v>上游</x:v>
      </x:c>
      <x:c r="J559" s="27" t="str">
        <x:v>ICN007</x:v>
      </x:c>
      <x:c r="K559" s="25" t="str">
        <x:v>规划设计、建材与工程准备</x:v>
      </x:c>
      <x:c r="L559" s="28" t="n">
        <x:v>96</x:v>
      </x:c>
      <x:c r="M559" s="25" t="str">
        <x:v>高</x:v>
      </x:c>
      <x:c r="N559" s="26" t="str">
        <x:v>建筑、建筑结构、施工、设计、结构设计</x:v>
      </x:c>
      <x:c r="O559" s="26" t="str">
        <x:v>岗位名称/描述出现“建筑、建筑结构、施工”，工作环节更贴近“设计、结构设计”，因此关联到该节点。</x:v>
      </x:c>
      <x:c r="P559" s="26" t="str">
        <x:v>自动通过</x:v>
      </x:c>
    </x:row>
    <x:row r="560" ht="44" customHeight="1">
      <x:c r="A560" s="27" t="str">
        <x:v>REL000557</x:v>
      </x:c>
      <x:c r="B560" s="25" t="n">
        <x:v>11901</x:v>
      </x:c>
      <x:c r="C560" s="27" t="str">
        <x:v>IC-L3-1158</x:v>
      </x:c>
      <x:c r="D560" s="25" t="str">
        <x:v>建筑设计师</x:v>
      </x:c>
      <x:c r="E560" s="27" t="str">
        <x:v>2-09-06-01</x:v>
      </x:c>
      <x:c r="F560" s="25" t="str">
        <x:v>视觉传达设计人员</x:v>
      </x:c>
      <x:c r="G560" s="27" t="str">
        <x:v>IC03</x:v>
      </x:c>
      <x:c r="H560" s="25" t="str">
        <x:v>基础设施与城市建设产业链</x:v>
      </x:c>
      <x:c r="I560" s="25" t="str">
        <x:v>上游</x:v>
      </x:c>
      <x:c r="J560" s="27" t="str">
        <x:v>ICN007</x:v>
      </x:c>
      <x:c r="K560" s="25" t="str">
        <x:v>规划设计、建材与工程准备</x:v>
      </x:c>
      <x:c r="L560" s="28" t="n">
        <x:v>73</x:v>
      </x:c>
      <x:c r="M560" s="25" t="str">
        <x:v>中</x:v>
      </x:c>
      <x:c r="N560" s="26" t="str">
        <x:v>建筑、施工、设计</x:v>
      </x:c>
      <x:c r="O560" s="26" t="str">
        <x:v>岗位名称/描述出现“建筑、施工”，工作环节更贴近“设计”，因此关联到该节点。</x:v>
      </x:c>
      <x:c r="P560" s="26" t="str">
        <x:v>自动通过</x:v>
      </x:c>
    </x:row>
    <x:row r="561" ht="44" customHeight="1">
      <x:c r="A561" s="27" t="str">
        <x:v>REL000558</x:v>
      </x:c>
      <x:c r="B561" s="25" t="n">
        <x:v>11902</x:v>
      </x:c>
      <x:c r="C561" s="27" t="str">
        <x:v>IC-L3-1159</x:v>
      </x:c>
      <x:c r="D561" s="25" t="str">
        <x:v>暖通设计</x:v>
      </x:c>
      <x:c r="E561" s="27" t="str">
        <x:v>2-09-06-01</x:v>
      </x:c>
      <x:c r="F561" s="25" t="str">
        <x:v>视觉传达设计人员</x:v>
      </x:c>
      <x:c r="G561" s="27" t="str">
        <x:v>IC03</x:v>
      </x:c>
      <x:c r="H561" s="25" t="str">
        <x:v>基础设施与城市建设产业链</x:v>
      </x:c>
      <x:c r="I561" s="25" t="str">
        <x:v>上游</x:v>
      </x:c>
      <x:c r="J561" s="27" t="str">
        <x:v>ICN007</x:v>
      </x:c>
      <x:c r="K561" s="25" t="str">
        <x:v>规划设计、建材与工程准备</x:v>
      </x:c>
      <x:c r="L561" s="28" t="n">
        <x:v>75</x:v>
      </x:c>
      <x:c r="M561" s="25" t="str">
        <x:v>中</x:v>
      </x:c>
      <x:c r="N561" s="26" t="str">
        <x:v>暖通、建筑、施工、设计</x:v>
      </x:c>
      <x:c r="O561" s="26" t="str">
        <x:v>岗位名称/描述出现“暖通、建筑、施工”，工作环节更贴近“设计”，因此关联到该节点。</x:v>
      </x:c>
      <x:c r="P561" s="26" t="str">
        <x:v>自动通过</x:v>
      </x:c>
    </x:row>
    <x:row r="562" ht="44" customHeight="1">
      <x:c r="A562" s="27" t="str">
        <x:v>REL000559</x:v>
      </x:c>
      <x:c r="B562" s="25" t="n">
        <x:v>11904</x:v>
      </x:c>
      <x:c r="C562" s="27" t="str">
        <x:v>IC-L3-1161</x:v>
      </x:c>
      <x:c r="D562" s="25" t="str">
        <x:v>给排水设计</x:v>
      </x:c>
      <x:c r="E562" s="27" t="str">
        <x:v>2-09-06-01</x:v>
      </x:c>
      <x:c r="F562" s="25" t="str">
        <x:v>视觉传达设计人员</x:v>
      </x:c>
      <x:c r="G562" s="27" t="str">
        <x:v>IC03</x:v>
      </x:c>
      <x:c r="H562" s="25" t="str">
        <x:v>基础设施与城市建设产业链</x:v>
      </x:c>
      <x:c r="I562" s="25" t="str">
        <x:v>上游</x:v>
      </x:c>
      <x:c r="J562" s="27" t="str">
        <x:v>ICN007</x:v>
      </x:c>
      <x:c r="K562" s="25" t="str">
        <x:v>规划设计、建材与工程准备</x:v>
      </x:c>
      <x:c r="L562" s="28" t="n">
        <x:v>76</x:v>
      </x:c>
      <x:c r="M562" s="25" t="str">
        <x:v>中</x:v>
      </x:c>
      <x:c r="N562" s="26" t="str">
        <x:v>给排水、建筑、施工、设计、规划</x:v>
      </x:c>
      <x:c r="O562" s="26" t="str">
        <x:v>岗位名称/描述出现“给排水、建筑、施工”，工作环节更贴近“设计、规划”，因此关联到该节点。</x:v>
      </x:c>
      <x:c r="P562" s="26" t="str">
        <x:v>自动通过</x:v>
      </x:c>
    </x:row>
    <x:row r="563" ht="44" customHeight="1">
      <x:c r="A563" s="27" t="str">
        <x:v>REL000560</x:v>
      </x:c>
      <x:c r="B563" s="25" t="n">
        <x:v>11910</x:v>
      </x:c>
      <x:c r="C563" s="27" t="str">
        <x:v>IC-L3-1167</x:v>
      </x:c>
      <x:c r="D563" s="25" t="str">
        <x:v>服装/纺织/皮革工艺师</x:v>
      </x:c>
      <x:c r="E563" s="27" t="str">
        <x:v>2-09-06-01</x:v>
      </x:c>
      <x:c r="F563" s="25" t="str">
        <x:v>视觉传达设计人员</x:v>
      </x:c>
      <x:c r="G563" s="27" t="str">
        <x:v>IC17</x:v>
      </x:c>
      <x:c r="H563" s="25" t="str">
        <x:v>纺织产业链</x:v>
      </x:c>
      <x:c r="I563" s="25" t="str">
        <x:v>中游</x:v>
      </x:c>
      <x:c r="J563" s="27" t="str">
        <x:v>ICN050</x:v>
      </x:c>
      <x:c r="K563" s="25" t="str">
        <x:v>纺纱织造、印染与面料制造</x:v>
      </x:c>
      <x:c r="L563" s="28" t="n">
        <x:v>90</x:v>
      </x:c>
      <x:c r="M563" s="25" t="str">
        <x:v>高</x:v>
      </x:c>
      <x:c r="N563" s="26" t="str">
        <x:v>纺织、服装、工艺、生产</x:v>
      </x:c>
      <x:c r="O563" s="26" t="str">
        <x:v>岗位名称/描述出现“纺织、服装”，工作环节更贴近“工艺、生产”，因此关联到该节点。</x:v>
      </x:c>
      <x:c r="P563" s="26" t="str">
        <x:v>自动通过</x:v>
      </x:c>
    </x:row>
    <x:row r="564" ht="44" customHeight="1">
      <x:c r="A564" s="27" t="str">
        <x:v>REL000561</x:v>
      </x:c>
      <x:c r="B564" s="25" t="n">
        <x:v>11910</x:v>
      </x:c>
      <x:c r="C564" s="27" t="str">
        <x:v>IC-L3-1167</x:v>
      </x:c>
      <x:c r="D564" s="25" t="str">
        <x:v>服装/纺织/皮革工艺师</x:v>
      </x:c>
      <x:c r="E564" s="27" t="str">
        <x:v>2-09-06-01</x:v>
      </x:c>
      <x:c r="F564" s="25" t="str">
        <x:v>视觉传达设计人员</x:v>
      </x:c>
      <x:c r="G564" s="27" t="str">
        <x:v>IC17</x:v>
      </x:c>
      <x:c r="H564" s="25" t="str">
        <x:v>纺织产业链</x:v>
      </x:c>
      <x:c r="I564" s="25" t="str">
        <x:v>下游</x:v>
      </x:c>
      <x:c r="J564" s="27" t="str">
        <x:v>ICN051</x:v>
      </x:c>
      <x:c r="K564" s="25" t="str">
        <x:v>服装家纺、品牌渠道与终端消费</x:v>
      </x:c>
      <x:c r="L564" s="28" t="n">
        <x:v>88</x:v>
      </x:c>
      <x:c r="M564" s="25" t="str">
        <x:v>高</x:v>
      </x:c>
      <x:c r="N564" s="26" t="str">
        <x:v>纺织、服装、品牌</x:v>
      </x:c>
      <x:c r="O564" s="26" t="str">
        <x:v>岗位名称/描述出现“纺织、服装”，工作环节更贴近“服装、品牌”，因此关联到该节点。</x:v>
      </x:c>
      <x:c r="P564" s="26" t="str">
        <x:v>自动通过</x:v>
      </x:c>
    </x:row>
    <x:row r="565" ht="44" customHeight="1">
      <x:c r="A565" s="27" t="str">
        <x:v>REL000562</x:v>
      </x:c>
      <x:c r="B565" s="25" t="n">
        <x:v>11911</x:v>
      </x:c>
      <x:c r="C565" s="27" t="str">
        <x:v>IC-L3-1168</x:v>
      </x:c>
      <x:c r="D565" s="25" t="str">
        <x:v>服装/纺织设计</x:v>
      </x:c>
      <x:c r="E565" s="27" t="str">
        <x:v>2-09-06-01</x:v>
      </x:c>
      <x:c r="F565" s="25" t="str">
        <x:v>视觉传达设计人员</x:v>
      </x:c>
      <x:c r="G565" s="27" t="str">
        <x:v>IC17</x:v>
      </x:c>
      <x:c r="H565" s="25" t="str">
        <x:v>纺织产业链</x:v>
      </x:c>
      <x:c r="I565" s="25" t="str">
        <x:v>下游</x:v>
      </x:c>
      <x:c r="J565" s="27" t="str">
        <x:v>ICN051</x:v>
      </x:c>
      <x:c r="K565" s="25" t="str">
        <x:v>服装家纺、品牌渠道与终端消费</x:v>
      </x:c>
      <x:c r="L565" s="28" t="n">
        <x:v>93</x:v>
      </x:c>
      <x:c r="M565" s="25" t="str">
        <x:v>高</x:v>
      </x:c>
      <x:c r="N565" s="26" t="str">
        <x:v>纺织、服装、面料、版师、品牌、销售</x:v>
      </x:c>
      <x:c r="O565" s="26" t="str">
        <x:v>岗位名称/描述出现“纺织、服装、面料、版师”，工作环节更贴近“服装、品牌、销售”，因此关联到该节点。</x:v>
      </x:c>
      <x:c r="P565" s="26" t="str">
        <x:v>自动通过</x:v>
      </x:c>
    </x:row>
    <x:row r="566" ht="44" customHeight="1">
      <x:c r="A566" s="27" t="str">
        <x:v>REL000563</x:v>
      </x:c>
      <x:c r="B566" s="25" t="n">
        <x:v>11912</x:v>
      </x:c>
      <x:c r="C566" s="27" t="str">
        <x:v>IC-L3-1169</x:v>
      </x:c>
      <x:c r="D566" s="25" t="str">
        <x:v>服装/纺织设计总监</x:v>
      </x:c>
      <x:c r="E566" s="27" t="str">
        <x:v>2-09-06-01</x:v>
      </x:c>
      <x:c r="F566" s="25" t="str">
        <x:v>视觉传达设计人员</x:v>
      </x:c>
      <x:c r="G566" s="27" t="str">
        <x:v>IC17</x:v>
      </x:c>
      <x:c r="H566" s="25" t="str">
        <x:v>纺织产业链</x:v>
      </x:c>
      <x:c r="I566" s="25" t="str">
        <x:v>下游</x:v>
      </x:c>
      <x:c r="J566" s="27" t="str">
        <x:v>ICN051</x:v>
      </x:c>
      <x:c r="K566" s="25" t="str">
        <x:v>服装家纺、品牌渠道与终端消费</x:v>
      </x:c>
      <x:c r="L566" s="28" t="n">
        <x:v>89</x:v>
      </x:c>
      <x:c r="M566" s="25" t="str">
        <x:v>高</x:v>
      </x:c>
      <x:c r="N566" s="26" t="str">
        <x:v>纺织、服装、品牌、销售</x:v>
      </x:c>
      <x:c r="O566" s="26" t="str">
        <x:v>岗位名称/描述出现“纺织、服装”，工作环节更贴近“服装、品牌、销售”，因此关联到该节点。</x:v>
      </x:c>
      <x:c r="P566" s="26" t="str">
        <x:v>自动通过</x:v>
      </x:c>
    </x:row>
    <x:row r="567" ht="44" customHeight="1">
      <x:c r="A567" s="27" t="str">
        <x:v>REL000564</x:v>
      </x:c>
      <x:c r="B567" s="25" t="n">
        <x:v>11913</x:v>
      </x:c>
      <x:c r="C567" s="27" t="str">
        <x:v>IC-L3-1170</x:v>
      </x:c>
      <x:c r="D567" s="25" t="str">
        <x:v>面料辅料开发</x:v>
      </x:c>
      <x:c r="E567" s="27" t="str">
        <x:v>2-09-06-01</x:v>
      </x:c>
      <x:c r="F567" s="25" t="str">
        <x:v>视觉传达设计人员</x:v>
      </x:c>
      <x:c r="G567" s="27" t="str">
        <x:v>IC17</x:v>
      </x:c>
      <x:c r="H567" s="25" t="str">
        <x:v>纺织产业链</x:v>
      </x:c>
      <x:c r="I567" s="25" t="str">
        <x:v>中游</x:v>
      </x:c>
      <x:c r="J567" s="27" t="str">
        <x:v>ICN050</x:v>
      </x:c>
      <x:c r="K567" s="25" t="str">
        <x:v>纺纱织造、印染与面料制造</x:v>
      </x:c>
      <x:c r="L567" s="28" t="n">
        <x:v>78</x:v>
      </x:c>
      <x:c r="M567" s="25" t="str">
        <x:v>中</x:v>
      </x:c>
      <x:c r="N567" s="26" t="str">
        <x:v>面料、服装、服装设计、生产</x:v>
      </x:c>
      <x:c r="O567" s="26" t="str">
        <x:v>岗位名称/描述出现“面料、服装、服装设计”，工作环节更贴近“面料、生产”，因此关联到该节点。</x:v>
      </x:c>
      <x:c r="P567" s="26" t="str">
        <x:v>自动通过</x:v>
      </x:c>
    </x:row>
    <x:row r="568" ht="44" customHeight="1">
      <x:c r="A568" s="27" t="str">
        <x:v>REL000565</x:v>
      </x:c>
      <x:c r="B568" s="25" t="n">
        <x:v>11914</x:v>
      </x:c>
      <x:c r="C568" s="27" t="str">
        <x:v>IC-L3-1171</x:v>
      </x:c>
      <x:c r="D568" s="25" t="str">
        <x:v>UE4特效师</x:v>
      </x:c>
      <x:c r="E568" s="27" t="str">
        <x:v>2-09-06-01</x:v>
      </x:c>
      <x:c r="F568" s="25" t="str">
        <x:v>视觉传达设计人员</x:v>
      </x:c>
      <x:c r="G568" s="27" t="str">
        <x:v>IC18</x:v>
      </x:c>
      <x:c r="H568" s="25" t="str">
        <x:v>新型显示与虚拟现实产业链</x:v>
      </x:c>
      <x:c r="I568" s="25" t="str">
        <x:v>下游</x:v>
      </x:c>
      <x:c r="J568" s="27" t="str">
        <x:v>ICN054</x:v>
      </x:c>
      <x:c r="K568" s="25" t="str">
        <x:v>沉浸式内容、行业应用与消费场景</x:v>
      </x:c>
      <x:c r="L568" s="28" t="n">
        <x:v>98</x:v>
      </x:c>
      <x:c r="M568" s="25" t="str">
        <x:v>高</x:v>
      </x:c>
      <x:c r="N568" s="26" t="str">
        <x:v>ue4、特效、虚拟现实、unreal、游戏</x:v>
      </x:c>
      <x:c r="O568" s="26" t="str">
        <x:v>岗位名称/描述出现“ue4、特效、虚拟现实、unreal、游戏”，工作环节更贴近“ue4、特效、虚拟现实、游戏、unreal”，因此关联到该节点。</x:v>
      </x:c>
      <x:c r="P568" s="26" t="str">
        <x:v>自动通过</x:v>
      </x:c>
    </x:row>
    <x:row r="569" ht="44" customHeight="1">
      <x:c r="A569" s="27" t="str">
        <x:v>REL000566</x:v>
      </x:c>
      <x:c r="B569" s="25" t="n">
        <x:v>11915</x:v>
      </x:c>
      <x:c r="C569" s="27" t="str">
        <x:v>IC-L3-1172</x:v>
      </x:c>
      <x:c r="D569" s="25" t="str">
        <x:v>游戏动作设计师</x:v>
      </x:c>
      <x:c r="E569" s="27" t="str">
        <x:v>2-09-06-01</x:v>
      </x:c>
      <x:c r="F569" s="25" t="str">
        <x:v>视觉传达设计人员</x:v>
      </x:c>
      <x:c r="G569" s="27" t="str">
        <x:v>IC18</x:v>
      </x:c>
      <x:c r="H569" s="25" t="str">
        <x:v>新型显示与虚拟现实产业链</x:v>
      </x:c>
      <x:c r="I569" s="25" t="str">
        <x:v>下游</x:v>
      </x:c>
      <x:c r="J569" s="27" t="str">
        <x:v>ICN054</x:v>
      </x:c>
      <x:c r="K569" s="25" t="str">
        <x:v>沉浸式内容、行业应用与消费场景</x:v>
      </x:c>
      <x:c r="L569" s="28" t="n">
        <x:v>78</x:v>
      </x:c>
      <x:c r="M569" s="25" t="str">
        <x:v>中</x:v>
      </x:c>
      <x:c r="N569" s="26" t="str">
        <x:v>游戏、动画、3d建模、3d</x:v>
      </x:c>
      <x:c r="O569" s="26" t="str">
        <x:v>岗位名称/描述出现“游戏、动画、3d建模”，工作环节更贴近“游戏、3d”，因此关联到该节点。</x:v>
      </x:c>
      <x:c r="P569" s="26" t="str">
        <x:v>自动通过</x:v>
      </x:c>
    </x:row>
    <x:row r="570" ht="44" customHeight="1">
      <x:c r="A570" s="27" t="str">
        <x:v>REL000567</x:v>
      </x:c>
      <x:c r="B570" s="25" t="n">
        <x:v>11916</x:v>
      </x:c>
      <x:c r="C570" s="27" t="str">
        <x:v>IC-L3-1173</x:v>
      </x:c>
      <x:c r="D570" s="25" t="str">
        <x:v>游戏动画师</x:v>
      </x:c>
      <x:c r="E570" s="27" t="str">
        <x:v>2-09-06-01</x:v>
      </x:c>
      <x:c r="F570" s="25" t="str">
        <x:v>视觉传达设计人员</x:v>
      </x:c>
      <x:c r="G570" s="27" t="str">
        <x:v>IC18</x:v>
      </x:c>
      <x:c r="H570" s="25" t="str">
        <x:v>新型显示与虚拟现实产业链</x:v>
      </x:c>
      <x:c r="I570" s="25" t="str">
        <x:v>下游</x:v>
      </x:c>
      <x:c r="J570" s="27" t="str">
        <x:v>ICN054</x:v>
      </x:c>
      <x:c r="K570" s="25" t="str">
        <x:v>沉浸式内容、行业应用与消费场景</x:v>
      </x:c>
      <x:c r="L570" s="28" t="n">
        <x:v>89</x:v>
      </x:c>
      <x:c r="M570" s="25" t="str">
        <x:v>高</x:v>
      </x:c>
      <x:c r="N570" s="26" t="str">
        <x:v>游戏、动画</x:v>
      </x:c>
      <x:c r="O570" s="26" t="str">
        <x:v>岗位名称/描述出现“游戏、动画”，工作环节更贴近“游戏”，因此关联到该节点。</x:v>
      </x:c>
      <x:c r="P570" s="26" t="str">
        <x:v>自动通过</x:v>
      </x:c>
    </x:row>
    <x:row r="571" ht="44" customHeight="1">
      <x:c r="A571" s="27" t="str">
        <x:v>REL000568</x:v>
      </x:c>
      <x:c r="B571" s="25" t="n">
        <x:v>11917</x:v>
      </x:c>
      <x:c r="C571" s="27" t="str">
        <x:v>IC-L3-1174</x:v>
      </x:c>
      <x:c r="D571" s="25" t="str">
        <x:v>游戏原画师</x:v>
      </x:c>
      <x:c r="E571" s="27" t="str">
        <x:v>2-09-06-01</x:v>
      </x:c>
      <x:c r="F571" s="25" t="str">
        <x:v>视觉传达设计人员</x:v>
      </x:c>
      <x:c r="G571" s="27" t="str">
        <x:v>IC18</x:v>
      </x:c>
      <x:c r="H571" s="25" t="str">
        <x:v>新型显示与虚拟现实产业链</x:v>
      </x:c>
      <x:c r="I571" s="25" t="str">
        <x:v>下游</x:v>
      </x:c>
      <x:c r="J571" s="27" t="str">
        <x:v>ICN054</x:v>
      </x:c>
      <x:c r="K571" s="25" t="str">
        <x:v>沉浸式内容、行业应用与消费场景</x:v>
      </x:c>
      <x:c r="L571" s="28" t="n">
        <x:v>73</x:v>
      </x:c>
      <x:c r="M571" s="25" t="str">
        <x:v>中</x:v>
      </x:c>
      <x:c r="N571" s="26" t="str">
        <x:v>游戏</x:v>
      </x:c>
      <x:c r="O571" s="26" t="str">
        <x:v>岗位名称/描述出现“游戏”，工作环节更贴近“游戏”，因此关联到该节点。</x:v>
      </x:c>
      <x:c r="P571" s="26" t="str">
        <x:v>自动通过</x:v>
      </x:c>
    </x:row>
    <x:row r="572" ht="44" customHeight="1">
      <x:c r="A572" s="27" t="str">
        <x:v>REL000569</x:v>
      </x:c>
      <x:c r="B572" s="25" t="n">
        <x:v>11918</x:v>
      </x:c>
      <x:c r="C572" s="27" t="str">
        <x:v>IC-L3-1175</x:v>
      </x:c>
      <x:c r="D572" s="25" t="str">
        <x:v>游戏场景设计师</x:v>
      </x:c>
      <x:c r="E572" s="27" t="str">
        <x:v>2-09-06-01</x:v>
      </x:c>
      <x:c r="F572" s="25" t="str">
        <x:v>视觉传达设计人员</x:v>
      </x:c>
      <x:c r="G572" s="27" t="str">
        <x:v>IC18</x:v>
      </x:c>
      <x:c r="H572" s="25" t="str">
        <x:v>新型显示与虚拟现实产业链</x:v>
      </x:c>
      <x:c r="I572" s="25" t="str">
        <x:v>下游</x:v>
      </x:c>
      <x:c r="J572" s="27" t="str">
        <x:v>ICN054</x:v>
      </x:c>
      <x:c r="K572" s="25" t="str">
        <x:v>沉浸式内容、行业应用与消费场景</x:v>
      </x:c>
      <x:c r="L572" s="28" t="n">
        <x:v>75</x:v>
      </x:c>
      <x:c r="M572" s="25" t="str">
        <x:v>中</x:v>
      </x:c>
      <x:c r="N572" s="26" t="str">
        <x:v>游戏、动画</x:v>
      </x:c>
      <x:c r="O572" s="26" t="str">
        <x:v>岗位名称/描述出现“游戏、动画”，工作环节更贴近“游戏”，因此关联到该节点。</x:v>
      </x:c>
      <x:c r="P572" s="26" t="str">
        <x:v>自动通过</x:v>
      </x:c>
    </x:row>
    <x:row r="573" ht="44" customHeight="1">
      <x:c r="A573" s="27" t="str">
        <x:v>REL000570</x:v>
      </x:c>
      <x:c r="B573" s="25" t="n">
        <x:v>11918</x:v>
      </x:c>
      <x:c r="C573" s="27" t="str">
        <x:v>IC-L3-1175</x:v>
      </x:c>
      <x:c r="D573" s="25" t="str">
        <x:v>游戏场景设计师</x:v>
      </x:c>
      <x:c r="E573" s="27" t="str">
        <x:v>2-09-06-01</x:v>
      </x:c>
      <x:c r="F573" s="25" t="str">
        <x:v>视觉传达设计人员</x:v>
      </x:c>
      <x:c r="G573" s="27" t="str">
        <x:v>IC18</x:v>
      </x:c>
      <x:c r="H573" s="25" t="str">
        <x:v>新型显示与虚拟现实产业链</x:v>
      </x:c>
      <x:c r="I573" s="25" t="str">
        <x:v>上游</x:v>
      </x:c>
      <x:c r="J573" s="27" t="str">
        <x:v>ICN052</x:v>
      </x:c>
      <x:c r="K573" s="25" t="str">
        <x:v>显示材料、光学器件与核心部件</x:v>
      </x:c>
      <x:c r="L573" s="28" t="n">
        <x:v>73</x:v>
      </x:c>
      <x:c r="M573" s="25" t="str">
        <x:v>中</x:v>
      </x:c>
      <x:c r="N573" s="26" t="str">
        <x:v>游戏、动画、设计</x:v>
      </x:c>
      <x:c r="O573" s="26" t="str">
        <x:v>岗位名称/描述出现“游戏、动画”，工作环节更贴近“设计”，因此关联到该节点。</x:v>
      </x:c>
      <x:c r="P573" s="26" t="str">
        <x:v>自动通过</x:v>
      </x:c>
    </x:row>
    <x:row r="574" ht="44" customHeight="1">
      <x:c r="A574" s="27" t="str">
        <x:v>REL000571</x:v>
      </x:c>
      <x:c r="B574" s="25" t="n">
        <x:v>11919</x:v>
      </x:c>
      <x:c r="C574" s="27" t="str">
        <x:v>IC-L3-1176</x:v>
      </x:c>
      <x:c r="D574" s="25" t="str">
        <x:v>游戏特效设计师</x:v>
      </x:c>
      <x:c r="E574" s="27" t="str">
        <x:v>2-09-06-01</x:v>
      </x:c>
      <x:c r="F574" s="25" t="str">
        <x:v>视觉传达设计人员</x:v>
      </x:c>
      <x:c r="G574" s="27" t="str">
        <x:v>IC18</x:v>
      </x:c>
      <x:c r="H574" s="25" t="str">
        <x:v>新型显示与虚拟现实产业链</x:v>
      </x:c>
      <x:c r="I574" s="25" t="str">
        <x:v>下游</x:v>
      </x:c>
      <x:c r="J574" s="27" t="str">
        <x:v>ICN054</x:v>
      </x:c>
      <x:c r="K574" s="25" t="str">
        <x:v>沉浸式内容、行业应用与消费场景</x:v>
      </x:c>
      <x:c r="L574" s="28" t="n">
        <x:v>94</x:v>
      </x:c>
      <x:c r="M574" s="25" t="str">
        <x:v>高</x:v>
      </x:c>
      <x:c r="N574" s="26" t="str">
        <x:v>游戏、特效、内容</x:v>
      </x:c>
      <x:c r="O574" s="26" t="str">
        <x:v>岗位名称/描述出现“游戏、特效”，工作环节更贴近“游戏、特效、内容”，因此关联到该节点。</x:v>
      </x:c>
      <x:c r="P574" s="26" t="str">
        <x:v>自动通过</x:v>
      </x:c>
    </x:row>
    <x:row r="575" ht="44" customHeight="1">
      <x:c r="A575" s="27" t="str">
        <x:v>REL000572</x:v>
      </x:c>
      <x:c r="B575" s="25" t="n">
        <x:v>11920</x:v>
      </x:c>
      <x:c r="C575" s="27" t="str">
        <x:v>IC-L3-1177</x:v>
      </x:c>
      <x:c r="D575" s="25" t="str">
        <x:v>游戏界面设计师</x:v>
      </x:c>
      <x:c r="E575" s="27" t="str">
        <x:v>2-09-06-01</x:v>
      </x:c>
      <x:c r="F575" s="25" t="str">
        <x:v>视觉传达设计人员</x:v>
      </x:c>
      <x:c r="G575" s="27" t="str">
        <x:v>IC18</x:v>
      </x:c>
      <x:c r="H575" s="25" t="str">
        <x:v>新型显示与虚拟现实产业链</x:v>
      </x:c>
      <x:c r="I575" s="25" t="str">
        <x:v>下游</x:v>
      </x:c>
      <x:c r="J575" s="27" t="str">
        <x:v>ICN054</x:v>
      </x:c>
      <x:c r="K575" s="25" t="str">
        <x:v>沉浸式内容、行业应用与消费场景</x:v>
      </x:c>
      <x:c r="L575" s="28" t="n">
        <x:v>75</x:v>
      </x:c>
      <x:c r="M575" s="25" t="str">
        <x:v>中</x:v>
      </x:c>
      <x:c r="N575" s="26" t="str">
        <x:v>游戏、动画</x:v>
      </x:c>
      <x:c r="O575" s="26" t="str">
        <x:v>岗位名称/描述出现“游戏、动画”，工作环节更贴近“游戏”，因此关联到该节点。</x:v>
      </x:c>
      <x:c r="P575" s="26" t="str">
        <x:v>自动通过</x:v>
      </x:c>
    </x:row>
    <x:row r="576" ht="44" customHeight="1">
      <x:c r="A576" s="27" t="str">
        <x:v>REL000573</x:v>
      </x:c>
      <x:c r="B576" s="25" t="n">
        <x:v>11920</x:v>
      </x:c>
      <x:c r="C576" s="27" t="str">
        <x:v>IC-L3-1177</x:v>
      </x:c>
      <x:c r="D576" s="25" t="str">
        <x:v>游戏界面设计师</x:v>
      </x:c>
      <x:c r="E576" s="27" t="str">
        <x:v>2-09-06-01</x:v>
      </x:c>
      <x:c r="F576" s="25" t="str">
        <x:v>视觉传达设计人员</x:v>
      </x:c>
      <x:c r="G576" s="27" t="str">
        <x:v>IC18</x:v>
      </x:c>
      <x:c r="H576" s="25" t="str">
        <x:v>新型显示与虚拟现实产业链</x:v>
      </x:c>
      <x:c r="I576" s="25" t="str">
        <x:v>上游</x:v>
      </x:c>
      <x:c r="J576" s="27" t="str">
        <x:v>ICN052</x:v>
      </x:c>
      <x:c r="K576" s="25" t="str">
        <x:v>显示材料、光学器件与核心部件</x:v>
      </x:c>
      <x:c r="L576" s="28" t="n">
        <x:v>73</x:v>
      </x:c>
      <x:c r="M576" s="25" t="str">
        <x:v>中</x:v>
      </x:c>
      <x:c r="N576" s="26" t="str">
        <x:v>游戏、动画、设计</x:v>
      </x:c>
      <x:c r="O576" s="26" t="str">
        <x:v>岗位名称/描述出现“游戏、动画”，工作环节更贴近“设计”，因此关联到该节点。</x:v>
      </x:c>
      <x:c r="P576" s="26" t="str">
        <x:v>自动通过</x:v>
      </x:c>
    </x:row>
    <x:row r="577" ht="44" customHeight="1">
      <x:c r="A577" s="27" t="str">
        <x:v>REL000574</x:v>
      </x:c>
      <x:c r="B577" s="25" t="n">
        <x:v>11921</x:v>
      </x:c>
      <x:c r="C577" s="27" t="str">
        <x:v>IC-L3-1178</x:v>
      </x:c>
      <x:c r="D577" s="25" t="str">
        <x:v>游戏角色设计师</x:v>
      </x:c>
      <x:c r="E577" s="27" t="str">
        <x:v>2-09-06-01</x:v>
      </x:c>
      <x:c r="F577" s="25" t="str">
        <x:v>视觉传达设计人员</x:v>
      </x:c>
      <x:c r="G577" s="27" t="str">
        <x:v>IC18</x:v>
      </x:c>
      <x:c r="H577" s="25" t="str">
        <x:v>新型显示与虚拟现实产业链</x:v>
      </x:c>
      <x:c r="I577" s="25" t="str">
        <x:v>下游</x:v>
      </x:c>
      <x:c r="J577" s="27" t="str">
        <x:v>ICN054</x:v>
      </x:c>
      <x:c r="K577" s="25" t="str">
        <x:v>沉浸式内容、行业应用与消费场景</x:v>
      </x:c>
      <x:c r="L577" s="28" t="n">
        <x:v>75</x:v>
      </x:c>
      <x:c r="M577" s="25" t="str">
        <x:v>中</x:v>
      </x:c>
      <x:c r="N577" s="26" t="str">
        <x:v>游戏、动画</x:v>
      </x:c>
      <x:c r="O577" s="26" t="str">
        <x:v>岗位名称/描述出现“游戏、动画”，工作环节更贴近“游戏”，因此关联到该节点。</x:v>
      </x:c>
      <x:c r="P577" s="26" t="str">
        <x:v>自动通过</x:v>
      </x:c>
    </x:row>
    <x:row r="578" ht="44" customHeight="1">
      <x:c r="A578" s="27" t="str">
        <x:v>REL000575</x:v>
      </x:c>
      <x:c r="B578" s="25" t="n">
        <x:v>11921</x:v>
      </x:c>
      <x:c r="C578" s="27" t="str">
        <x:v>IC-L3-1178</x:v>
      </x:c>
      <x:c r="D578" s="25" t="str">
        <x:v>游戏角色设计师</x:v>
      </x:c>
      <x:c r="E578" s="27" t="str">
        <x:v>2-09-06-01</x:v>
      </x:c>
      <x:c r="F578" s="25" t="str">
        <x:v>视觉传达设计人员</x:v>
      </x:c>
      <x:c r="G578" s="27" t="str">
        <x:v>IC18</x:v>
      </x:c>
      <x:c r="H578" s="25" t="str">
        <x:v>新型显示与虚拟现实产业链</x:v>
      </x:c>
      <x:c r="I578" s="25" t="str">
        <x:v>上游</x:v>
      </x:c>
      <x:c r="J578" s="27" t="str">
        <x:v>ICN052</x:v>
      </x:c>
      <x:c r="K578" s="25" t="str">
        <x:v>显示材料、光学器件与核心部件</x:v>
      </x:c>
      <x:c r="L578" s="28" t="n">
        <x:v>73</x:v>
      </x:c>
      <x:c r="M578" s="25" t="str">
        <x:v>中</x:v>
      </x:c>
      <x:c r="N578" s="26" t="str">
        <x:v>游戏、动画、设计</x:v>
      </x:c>
      <x:c r="O578" s="26" t="str">
        <x:v>岗位名称/描述出现“游戏、动画”，工作环节更贴近“设计”，因此关联到该节点。</x:v>
      </x:c>
      <x:c r="P578" s="26" t="str">
        <x:v>自动通过</x:v>
      </x:c>
    </x:row>
    <x:row r="579" ht="44" customHeight="1">
      <x:c r="A579" s="27" t="str">
        <x:v>REL000576</x:v>
      </x:c>
      <x:c r="B579" s="25" t="n">
        <x:v>11922</x:v>
      </x:c>
      <x:c r="C579" s="27" t="str">
        <x:v>IC-L3-1179</x:v>
      </x:c>
      <x:c r="D579" s="25" t="str">
        <x:v>游戏数值策划</x:v>
      </x:c>
      <x:c r="E579" s="27" t="str">
        <x:v>2-09-06-01</x:v>
      </x:c>
      <x:c r="F579" s="25" t="str">
        <x:v>视觉传达设计人员</x:v>
      </x:c>
      <x:c r="G579" s="27" t="str">
        <x:v>IC18</x:v>
      </x:c>
      <x:c r="H579" s="25" t="str">
        <x:v>新型显示与虚拟现实产业链</x:v>
      </x:c>
      <x:c r="I579" s="25" t="str">
        <x:v>下游</x:v>
      </x:c>
      <x:c r="J579" s="27" t="str">
        <x:v>ICN054</x:v>
      </x:c>
      <x:c r="K579" s="25" t="str">
        <x:v>沉浸式内容、行业应用与消费场景</x:v>
      </x:c>
      <x:c r="L579" s="28" t="n">
        <x:v>73</x:v>
      </x:c>
      <x:c r="M579" s="25" t="str">
        <x:v>中</x:v>
      </x:c>
      <x:c r="N579" s="26" t="str">
        <x:v>游戏</x:v>
      </x:c>
      <x:c r="O579" s="26" t="str">
        <x:v>岗位名称/描述出现“游戏”，工作环节更贴近“游戏”，因此关联到该节点。</x:v>
      </x:c>
      <x:c r="P579" s="26" t="str">
        <x:v>自动通过</x:v>
      </x:c>
    </x:row>
    <x:row r="580" ht="44" customHeight="1">
      <x:c r="A580" s="27" t="str">
        <x:v>REL000577</x:v>
      </x:c>
      <x:c r="B580" s="25" t="n">
        <x:v>11928</x:v>
      </x:c>
      <x:c r="C580" s="27" t="str">
        <x:v>IC-L3-1185</x:v>
      </x:c>
      <x:c r="D580" s="25" t="str">
        <x:v>平面设计总监</x:v>
      </x:c>
      <x:c r="E580" s="27" t="str">
        <x:v>2-06-07-01</x:v>
      </x:c>
      <x:c r="F580" s="25" t="str">
        <x:v>国际商务专业人员</x:v>
      </x:c>
      <x:c r="G580" s="27" t="str">
        <x:v>IC01</x:v>
      </x:c>
      <x:c r="H580" s="25" t="str">
        <x:v>数据要素与数字经济产业链</x:v>
      </x:c>
      <x:c r="I580" s="25" t="str">
        <x:v>下游</x:v>
      </x:c>
      <x:c r="J580" s="27" t="str">
        <x:v>ICN003</x:v>
      </x:c>
      <x:c r="K580" s="25" t="str">
        <x:v>数字经济场景应用与内容创意</x:v>
      </x:c>
      <x:c r="L580" s="28" t="n">
        <x:v>77</x:v>
      </x:c>
      <x:c r="M580" s="25" t="str">
        <x:v>中</x:v>
      </x:c>
      <x:c r="N580" s="26" t="str">
        <x:v>平面设计、广告、平面、增长、品牌、视觉</x:v>
      </x:c>
      <x:c r="O580" s="26" t="str">
        <x:v>岗位名称/描述出现“平面设计、广告”，工作环节更贴近“平面、增长、广告、品牌、视觉”，因此关联到该节点。</x:v>
      </x:c>
      <x:c r="P580" s="26" t="str">
        <x:v>自动通过</x:v>
      </x:c>
    </x:row>
    <x:row r="581" ht="44" customHeight="1">
      <x:c r="A581" s="27" t="str">
        <x:v>REL000578</x:v>
      </x:c>
      <x:c r="B581" s="25" t="n">
        <x:v>11929</x:v>
      </x:c>
      <x:c r="C581" s="27" t="str">
        <x:v>IC-L3-1186</x:v>
      </x:c>
      <x:c r="D581" s="25" t="str">
        <x:v>平面设计经理/主管</x:v>
      </x:c>
      <x:c r="E581" s="27" t="str">
        <x:v>2-06-07-01</x:v>
      </x:c>
      <x:c r="F581" s="25" t="str">
        <x:v>国际商务专业人员</x:v>
      </x:c>
      <x:c r="G581" s="27" t="str">
        <x:v>IC01</x:v>
      </x:c>
      <x:c r="H581" s="25" t="str">
        <x:v>数据要素与数字经济产业链</x:v>
      </x:c>
      <x:c r="I581" s="25" t="str">
        <x:v>下游</x:v>
      </x:c>
      <x:c r="J581" s="27" t="str">
        <x:v>ICN003</x:v>
      </x:c>
      <x:c r="K581" s="25" t="str">
        <x:v>数字经济场景应用与内容创意</x:v>
      </x:c>
      <x:c r="L581" s="28" t="n">
        <x:v>76</x:v>
      </x:c>
      <x:c r="M581" s="25" t="str">
        <x:v>中</x:v>
      </x:c>
      <x:c r="N581" s="26" t="str">
        <x:v>平面设计、广告、平面、品牌、视觉</x:v>
      </x:c>
      <x:c r="O581" s="26" t="str">
        <x:v>岗位名称/描述出现“平面设计、广告”，工作环节更贴近“平面、广告、品牌、视觉”，因此关联到该节点。</x:v>
      </x:c>
      <x:c r="P581" s="26" t="str">
        <x:v>自动通过</x:v>
      </x:c>
    </x:row>
    <x:row r="582" ht="44" customHeight="1">
      <x:c r="A582" s="27" t="str">
        <x:v>REL000579</x:v>
      </x:c>
      <x:c r="B582" s="25" t="n">
        <x:v>11930</x:v>
      </x:c>
      <x:c r="C582" s="27" t="str">
        <x:v>IC-L3-1187</x:v>
      </x:c>
      <x:c r="D582" s="25" t="str">
        <x:v>广告创意/设计经理</x:v>
      </x:c>
      <x:c r="E582" s="27" t="str">
        <x:v>2-09-06-01</x:v>
      </x:c>
      <x:c r="F582" s="25" t="str">
        <x:v>视觉传达设计人员</x:v>
      </x:c>
      <x:c r="G582" s="27" t="str">
        <x:v>IC01</x:v>
      </x:c>
      <x:c r="H582" s="25" t="str">
        <x:v>数据要素与数字经济产业链</x:v>
      </x:c>
      <x:c r="I582" s="25" t="str">
        <x:v>下游</x:v>
      </x:c>
      <x:c r="J582" s="27" t="str">
        <x:v>ICN003</x:v>
      </x:c>
      <x:c r="K582" s="25" t="str">
        <x:v>数字经济场景应用与内容创意</x:v>
      </x:c>
      <x:c r="L582" s="28" t="n">
        <x:v>72</x:v>
      </x:c>
      <x:c r="M582" s="25" t="str">
        <x:v>中</x:v>
      </x:c>
      <x:c r="N582" s="26" t="str">
        <x:v>广告、视觉、品牌</x:v>
      </x:c>
      <x:c r="O582" s="26" t="str">
        <x:v>岗位名称/描述出现“广告”，工作环节更贴近“广告、视觉、品牌”，因此关联到该节点。</x:v>
      </x:c>
      <x:c r="P582" s="26" t="str">
        <x:v>自动通过</x:v>
      </x:c>
    </x:row>
    <x:row r="583" ht="44" customHeight="1">
      <x:c r="A583" s="27" t="str">
        <x:v>REL000580</x:v>
      </x:c>
      <x:c r="B583" s="25" t="n">
        <x:v>11931</x:v>
      </x:c>
      <x:c r="C583" s="27" t="str">
        <x:v>IC-L3-1188</x:v>
      </x:c>
      <x:c r="D583" s="25" t="str">
        <x:v>广告创意总监</x:v>
      </x:c>
      <x:c r="E583" s="27" t="str">
        <x:v>2-06-07-01</x:v>
      </x:c>
      <x:c r="F583" s="25" t="str">
        <x:v>国际商务专业人员</x:v>
      </x:c>
      <x:c r="G583" s="27" t="str">
        <x:v>IC01</x:v>
      </x:c>
      <x:c r="H583" s="25" t="str">
        <x:v>数据要素与数字经济产业链</x:v>
      </x:c>
      <x:c r="I583" s="25" t="str">
        <x:v>下游</x:v>
      </x:c>
      <x:c r="J583" s="27" t="str">
        <x:v>ICN003</x:v>
      </x:c>
      <x:c r="K583" s="25" t="str">
        <x:v>数字经济场景应用与内容创意</x:v>
      </x:c>
      <x:c r="L583" s="28" t="n">
        <x:v>73</x:v>
      </x:c>
      <x:c r="M583" s="25" t="str">
        <x:v>中</x:v>
      </x:c>
      <x:c r="N583" s="26" t="str">
        <x:v>广告、品牌、视觉</x:v>
      </x:c>
      <x:c r="O583" s="26" t="str">
        <x:v>岗位名称/描述出现“广告”，工作环节更贴近“广告、品牌、视觉”，因此关联到该节点。</x:v>
      </x:c>
      <x:c r="P583" s="26" t="str">
        <x:v>自动通过</x:v>
      </x:c>
    </x:row>
    <x:row r="584" ht="44" customHeight="1">
      <x:c r="A584" s="27" t="str">
        <x:v>REL000581</x:v>
      </x:c>
      <x:c r="B584" s="25" t="n">
        <x:v>11932</x:v>
      </x:c>
      <x:c r="C584" s="27" t="str">
        <x:v>IC-L3-1189</x:v>
      </x:c>
      <x:c r="D584" s="25" t="str">
        <x:v>服装/纺织设计总监</x:v>
      </x:c>
      <x:c r="E584" s="27" t="str">
        <x:v>2-06-07-01</x:v>
      </x:c>
      <x:c r="F584" s="25" t="str">
        <x:v>国际商务专业人员</x:v>
      </x:c>
      <x:c r="G584" s="27" t="str">
        <x:v>IC17</x:v>
      </x:c>
      <x:c r="H584" s="25" t="str">
        <x:v>纺织产业链</x:v>
      </x:c>
      <x:c r="I584" s="25" t="str">
        <x:v>下游</x:v>
      </x:c>
      <x:c r="J584" s="27" t="str">
        <x:v>ICN051</x:v>
      </x:c>
      <x:c r="K584" s="25" t="str">
        <x:v>服装家纺、品牌渠道与终端消费</x:v>
      </x:c>
      <x:c r="L584" s="28" t="n">
        <x:v>88</x:v>
      </x:c>
      <x:c r="M584" s="25" t="str">
        <x:v>高</x:v>
      </x:c>
      <x:c r="N584" s="26" t="str">
        <x:v>纺织、服装、品牌</x:v>
      </x:c>
      <x:c r="O584" s="26" t="str">
        <x:v>岗位名称/描述出现“纺织、服装”，工作环节更贴近“服装、品牌”，因此关联到该节点。</x:v>
      </x:c>
      <x:c r="P584" s="26" t="str">
        <x:v>自动通过</x:v>
      </x:c>
    </x:row>
    <x:row r="585" ht="44" customHeight="1">
      <x:c r="A585" s="27" t="str">
        <x:v>REL000582</x:v>
      </x:c>
      <x:c r="B585" s="25" t="n">
        <x:v>11937</x:v>
      </x:c>
      <x:c r="C585" s="27" t="str">
        <x:v>IC-L3-1194</x:v>
      </x:c>
      <x:c r="D585" s="25" t="str">
        <x:v>建筑/工程会计</x:v>
      </x:c>
      <x:c r="E585" s="27" t="str">
        <x:v>2-06-03-00</x:v>
      </x:c>
      <x:c r="F585" s="25" t="str">
        <x:v>会计专业人员</x:v>
      </x:c>
      <x:c r="G585" s="27" t="str">
        <x:v>IC03</x:v>
      </x:c>
      <x:c r="H585" s="25" t="str">
        <x:v>基础设施与城市建设产业链</x:v>
      </x:c>
      <x:c r="I585" s="25" t="str">
        <x:v>中游</x:v>
      </x:c>
      <x:c r="J585" s="27" t="str">
        <x:v>ICN008</x:v>
      </x:c>
      <x:c r="K585" s="25" t="str">
        <x:v>基础设施建设与房地产开发</x:v>
      </x:c>
      <x:c r="L585" s="28" t="n">
        <x:v>67</x:v>
      </x:c>
      <x:c r="M585" s="25" t="str">
        <x:v>低</x:v>
      </x:c>
      <x:c r="N585" s="26" t="str">
        <x:v>建筑、工程项目</x:v>
      </x:c>
      <x:c r="O585" s="26" t="str">
        <x:v>岗位名称/描述出现“建筑”，工作环节更贴近“工程项目”，因此关联到该节点。</x:v>
      </x:c>
      <x:c r="P585" s="26" t="str">
        <x:v>建议复核</x:v>
      </x:c>
    </x:row>
    <x:row r="586" ht="44" customHeight="1">
      <x:c r="A586" s="27" t="str">
        <x:v>REL000583</x:v>
      </x:c>
      <x:c r="B586" s="25" t="n">
        <x:v>11976</x:v>
      </x:c>
      <x:c r="C586" s="27" t="str">
        <x:v>IC-L3-1233</x:v>
      </x:c>
      <x:c r="D586" s="25" t="str">
        <x:v>产品运营</x:v>
      </x:c>
      <x:c r="E586" s="27" t="str">
        <x:v>4-04-05-01</x:v>
      </x:c>
      <x:c r="F586" s="25" t="str">
        <x:v>计算机程序设计员</x:v>
      </x:c>
      <x:c r="G586" s="27" t="str">
        <x:v>IC01</x:v>
      </x:c>
      <x:c r="H586" s="25" t="str">
        <x:v>数据要素与数字经济产业链</x:v>
      </x:c>
      <x:c r="I586" s="25" t="str">
        <x:v>中游</x:v>
      </x:c>
      <x:c r="J586" s="27" t="str">
        <x:v>ICN002</x:v>
      </x:c>
      <x:c r="K586" s="25" t="str">
        <x:v>数据治理、流通与服务</x:v>
      </x:c>
      <x:c r="L586" s="28" t="n">
        <x:v>66</x:v>
      </x:c>
      <x:c r="M586" s="25" t="str">
        <x:v>低</x:v>
      </x:c>
      <x:c r="N586" s="26" t="str">
        <x:v>产品运营</x:v>
      </x:c>
      <x:c r="O586" s="26" t="str">
        <x:v>岗位名称/描述出现“产品运营”，工作环节更贴近“中游”，因此关联到该节点。</x:v>
      </x:c>
      <x:c r="P586" s="26" t="str">
        <x:v>建议复核</x:v>
      </x:c>
    </x:row>
    <x:row r="587" ht="44" customHeight="1">
      <x:c r="A587" s="27" t="str">
        <x:v>REL000584</x:v>
      </x:c>
      <x:c r="B587" s="25" t="n">
        <x:v>11977</x:v>
      </x:c>
      <x:c r="C587" s="27" t="str">
        <x:v>IC-L3-1234</x:v>
      </x:c>
      <x:c r="D587" s="25" t="str">
        <x:v>数据运营</x:v>
      </x:c>
      <x:c r="E587" s="27" t="str">
        <x:v>2-02-10-03</x:v>
      </x:c>
      <x:c r="F587" s="25" t="str">
        <x:v>计算机软件工程技术人员</x:v>
      </x:c>
      <x:c r="G587" s="27" t="str">
        <x:v>IC01</x:v>
      </x:c>
      <x:c r="H587" s="25" t="str">
        <x:v>数据要素与数字经济产业链</x:v>
      </x:c>
      <x:c r="I587" s="25" t="str">
        <x:v>下游</x:v>
      </x:c>
      <x:c r="J587" s="27" t="str">
        <x:v>ICN003</x:v>
      </x:c>
      <x:c r="K587" s="25" t="str">
        <x:v>数字经济场景应用与内容创意</x:v>
      </x:c>
      <x:c r="L587" s="28" t="n">
        <x:v>76</x:v>
      </x:c>
      <x:c r="M587" s="25" t="str">
        <x:v>中</x:v>
      </x:c>
      <x:c r="N587" s="26" t="str">
        <x:v>数据运营、大数据、数据分析、增长</x:v>
      </x:c>
      <x:c r="O587" s="26" t="str">
        <x:v>岗位名称/描述出现“数据运营、大数据、数据分析”，工作环节更贴近“数据运营、增长”，因此关联到该节点。</x:v>
      </x:c>
      <x:c r="P587" s="26" t="str">
        <x:v>自动通过</x:v>
      </x:c>
    </x:row>
    <x:row r="588" ht="44" customHeight="1">
      <x:c r="A588" s="27" t="str">
        <x:v>REL000585</x:v>
      </x:c>
      <x:c r="B588" s="25" t="n">
        <x:v>11979</x:v>
      </x:c>
      <x:c r="C588" s="27" t="str">
        <x:v>IC-L3-1236</x:v>
      </x:c>
      <x:c r="D588" s="25" t="str">
        <x:v>游戏运营</x:v>
      </x:c>
      <x:c r="E588" s="27" t="str">
        <x:v>2-09-06-01</x:v>
      </x:c>
      <x:c r="F588" s="25" t="str">
        <x:v>视觉传达设计人员</x:v>
      </x:c>
      <x:c r="G588" s="27" t="str">
        <x:v>IC18</x:v>
      </x:c>
      <x:c r="H588" s="25" t="str">
        <x:v>新型显示与虚拟现实产业链</x:v>
      </x:c>
      <x:c r="I588" s="25" t="str">
        <x:v>下游</x:v>
      </x:c>
      <x:c r="J588" s="27" t="str">
        <x:v>ICN054</x:v>
      </x:c>
      <x:c r="K588" s="25" t="str">
        <x:v>沉浸式内容、行业应用与消费场景</x:v>
      </x:c>
      <x:c r="L588" s="28" t="n">
        <x:v>73</x:v>
      </x:c>
      <x:c r="M588" s="25" t="str">
        <x:v>中</x:v>
      </x:c>
      <x:c r="N588" s="26" t="str">
        <x:v>游戏</x:v>
      </x:c>
      <x:c r="O588" s="26" t="str">
        <x:v>岗位名称/描述出现“游戏”，工作环节更贴近“游戏”，因此关联到该节点。</x:v>
      </x:c>
      <x:c r="P588" s="26" t="str">
        <x:v>自动通过</x:v>
      </x:c>
    </x:row>
    <x:row r="589" ht="44" customHeight="1">
      <x:c r="A589" s="27" t="str">
        <x:v>REL000586</x:v>
      </x:c>
      <x:c r="B589" s="25" t="n">
        <x:v>11980</x:v>
      </x:c>
      <x:c r="C589" s="27" t="str">
        <x:v>IC-L3-1237</x:v>
      </x:c>
      <x:c r="D589" s="25" t="str">
        <x:v>用户运营</x:v>
      </x:c>
      <x:c r="E589" s="27" t="str">
        <x:v>4-04-05-01</x:v>
      </x:c>
      <x:c r="F589" s="25" t="str">
        <x:v>计算机程序设计员</x:v>
      </x:c>
      <x:c r="G589" s="27" t="str">
        <x:v>IC01</x:v>
      </x:c>
      <x:c r="H589" s="25" t="str">
        <x:v>数据要素与数字经济产业链</x:v>
      </x:c>
      <x:c r="I589" s="25" t="str">
        <x:v>中游</x:v>
      </x:c>
      <x:c r="J589" s="27" t="str">
        <x:v>ICN002</x:v>
      </x:c>
      <x:c r="K589" s="25" t="str">
        <x:v>数据治理、流通与服务</x:v>
      </x:c>
      <x:c r="L589" s="28" t="n">
        <x:v>66</x:v>
      </x:c>
      <x:c r="M589" s="25" t="str">
        <x:v>低</x:v>
      </x:c>
      <x:c r="N589" s="26" t="str">
        <x:v>用户运营</x:v>
      </x:c>
      <x:c r="O589" s="26" t="str">
        <x:v>岗位名称/描述出现“用户运营”，工作环节更贴近“中游”，因此关联到该节点。</x:v>
      </x:c>
      <x:c r="P589" s="26" t="str">
        <x:v>建议复核</x:v>
      </x:c>
    </x:row>
    <x:row r="590" ht="44" customHeight="1">
      <x:c r="A590" s="27" t="str">
        <x:v>REL000587</x:v>
      </x:c>
      <x:c r="B590" s="25" t="n">
        <x:v>11983</x:v>
      </x:c>
      <x:c r="C590" s="27" t="str">
        <x:v>IC-L3-1240</x:v>
      </x:c>
      <x:c r="D590" s="25" t="str">
        <x:v>网络推广</x:v>
      </x:c>
      <x:c r="E590" s="27" t="str">
        <x:v>2-02-10-01</x:v>
      </x:c>
      <x:c r="F590" s="25" t="str">
        <x:v>通信工程技术人员</x:v>
      </x:c>
      <x:c r="G590" s="27" t="str">
        <x:v>IC01</x:v>
      </x:c>
      <x:c r="H590" s="25" t="str">
        <x:v>数据要素与数字经济产业链</x:v>
      </x:c>
      <x:c r="I590" s="25" t="str">
        <x:v>下游</x:v>
      </x:c>
      <x:c r="J590" s="27" t="str">
        <x:v>ICN003</x:v>
      </x:c>
      <x:c r="K590" s="25" t="str">
        <x:v>数字经济场景应用与内容创意</x:v>
      </x:c>
      <x:c r="L590" s="28" t="n">
        <x:v>63</x:v>
      </x:c>
      <x:c r="M590" s="25" t="str">
        <x:v>低</x:v>
      </x:c>
      <x:c r="N590" s="26" t="str">
        <x:v>大数据、数据分析、广告、seo、sem、增长、品牌</x:v>
      </x:c>
      <x:c r="O590" s="26" t="str">
        <x:v>岗位名称/描述出现“大数据、数据分析、广告、seo、sem”，工作环节更贴近“增长、广告、品牌、seo、sem”，因此关联到该节点。</x:v>
      </x:c>
      <x:c r="P590" s="26" t="str">
        <x:v>建议复核</x:v>
      </x:c>
    </x:row>
    <x:row r="591" ht="44" customHeight="1">
      <x:c r="A591" s="27" t="str">
        <x:v>REL000588</x:v>
      </x:c>
      <x:c r="B591" s="25" t="n">
        <x:v>11990</x:v>
      </x:c>
      <x:c r="C591" s="27" t="str">
        <x:v>IC-L3-1247</x:v>
      </x:c>
      <x:c r="D591" s="25" t="str">
        <x:v>新媒体运营</x:v>
      </x:c>
      <x:c r="E591" s="27" t="str">
        <x:v>4-04-05-01</x:v>
      </x:c>
      <x:c r="F591" s="25" t="str">
        <x:v>计算机程序设计员</x:v>
      </x:c>
      <x:c r="G591" s="27" t="str">
        <x:v>IC01</x:v>
      </x:c>
      <x:c r="H591" s="25" t="str">
        <x:v>数据要素与数字经济产业链</x:v>
      </x:c>
      <x:c r="I591" s="25" t="str">
        <x:v>下游</x:v>
      </x:c>
      <x:c r="J591" s="27" t="str">
        <x:v>ICN003</x:v>
      </x:c>
      <x:c r="K591" s="25" t="str">
        <x:v>数字经济场景应用与内容创意</x:v>
      </x:c>
      <x:c r="L591" s="28" t="n">
        <x:v>81</x:v>
      </x:c>
      <x:c r="M591" s="25" t="str">
        <x:v>中</x:v>
      </x:c>
      <x:c r="N591" s="26" t="str">
        <x:v>新媒体、数据分析、编辑、内容运营、增长、品牌</x:v>
      </x:c>
      <x:c r="O591" s="26" t="str">
        <x:v>岗位名称/描述出现“新媒体、数据分析、编辑、内容运营”，工作环节更贴近“新媒体、内容运营、增长、品牌、编辑”，因此关联到该节点。</x:v>
      </x:c>
      <x:c r="P591" s="26" t="str">
        <x:v>自动通过</x:v>
      </x:c>
    </x:row>
    <x:row r="592" ht="44" customHeight="1">
      <x:c r="A592" s="27" t="str">
        <x:v>REL000589</x:v>
      </x:c>
      <x:c r="B592" s="25" t="n">
        <x:v>11991</x:v>
      </x:c>
      <x:c r="C592" s="27" t="str">
        <x:v>IC-L3-1248</x:v>
      </x:c>
      <x:c r="D592" s="25" t="str">
        <x:v>直播运营</x:v>
      </x:c>
      <x:c r="E592" s="27" t="str">
        <x:v>4-04-05-01</x:v>
      </x:c>
      <x:c r="F592" s="25" t="str">
        <x:v>计算机程序设计员</x:v>
      </x:c>
      <x:c r="G592" s="27" t="str">
        <x:v>IC01</x:v>
      </x:c>
      <x:c r="H592" s="25" t="str">
        <x:v>数据要素与数字经济产业链</x:v>
      </x:c>
      <x:c r="I592" s="25" t="str">
        <x:v>下游</x:v>
      </x:c>
      <x:c r="J592" s="27" t="str">
        <x:v>ICN003</x:v>
      </x:c>
      <x:c r="K592" s="25" t="str">
        <x:v>数字经济场景应用与内容创意</x:v>
      </x:c>
      <x:c r="L592" s="28" t="n">
        <x:v>75</x:v>
      </x:c>
      <x:c r="M592" s="25" t="str">
        <x:v>中</x:v>
      </x:c>
      <x:c r="N592" s="26" t="str">
        <x:v>直播、内容运营、品牌</x:v>
      </x:c>
      <x:c r="O592" s="26" t="str">
        <x:v>岗位名称/描述出现“直播、内容运营”，工作环节更贴近“直播、内容运营、品牌”，因此关联到该节点。</x:v>
      </x:c>
      <x:c r="P592" s="26" t="str">
        <x:v>自动通过</x:v>
      </x:c>
    </x:row>
    <x:row r="593" ht="44" customHeight="1">
      <x:c r="A593" s="27" t="str">
        <x:v>REL000590</x:v>
      </x:c>
      <x:c r="B593" s="25" t="n">
        <x:v>11992</x:v>
      </x:c>
      <x:c r="C593" s="27" t="str">
        <x:v>IC-L3-1249</x:v>
      </x:c>
      <x:c r="D593" s="25" t="str">
        <x:v>记者</x:v>
      </x:c>
      <x:c r="E593" s="27" t="str">
        <x:v>4-04-05-01</x:v>
      </x:c>
      <x:c r="F593" s="25" t="str">
        <x:v>计算机程序设计员</x:v>
      </x:c>
      <x:c r="G593" s="27" t="str">
        <x:v>IC01</x:v>
      </x:c>
      <x:c r="H593" s="25" t="str">
        <x:v>数据要素与数字经济产业链</x:v>
      </x:c>
      <x:c r="I593" s="25" t="str">
        <x:v>下游</x:v>
      </x:c>
      <x:c r="J593" s="27" t="str">
        <x:v>ICN003</x:v>
      </x:c>
      <x:c r="K593" s="25" t="str">
        <x:v>数字经济场景应用与内容创意</x:v>
      </x:c>
      <x:c r="L593" s="28" t="n">
        <x:v>77</x:v>
      </x:c>
      <x:c r="M593" s="25" t="str">
        <x:v>中</x:v>
      </x:c>
      <x:c r="N593" s="26" t="str">
        <x:v>记者、多媒体、内容运营</x:v>
      </x:c>
      <x:c r="O593" s="26" t="str">
        <x:v>岗位名称/描述出现“记者、多媒体、内容运营”，工作环节更贴近“记者、内容运营、多媒体”，因此关联到该节点。</x:v>
      </x:c>
      <x:c r="P593" s="26" t="str">
        <x:v>自动通过</x:v>
      </x:c>
    </x:row>
    <x:row r="594" ht="44" customHeight="1">
      <x:c r="A594" s="27" t="str">
        <x:v>REL000591</x:v>
      </x:c>
      <x:c r="B594" s="25" t="n">
        <x:v>11993</x:v>
      </x:c>
      <x:c r="C594" s="27" t="str">
        <x:v>IC-L3-1250</x:v>
      </x:c>
      <x:c r="D594" s="25" t="str">
        <x:v>电商专员</x:v>
      </x:c>
      <x:c r="E594" s="27" t="str">
        <x:v>4-04-05-01</x:v>
      </x:c>
      <x:c r="F594" s="25" t="str">
        <x:v>计算机程序设计员</x:v>
      </x:c>
      <x:c r="G594" s="27" t="str">
        <x:v>IC01</x:v>
      </x:c>
      <x:c r="H594" s="25" t="str">
        <x:v>数据要素与数字经济产业链</x:v>
      </x:c>
      <x:c r="I594" s="25" t="str">
        <x:v>下游</x:v>
      </x:c>
      <x:c r="J594" s="27" t="str">
        <x:v>ICN003</x:v>
      </x:c>
      <x:c r="K594" s="25" t="str">
        <x:v>数字经济场景应用与内容创意</x:v>
      </x:c>
      <x:c r="L594" s="28" t="n">
        <x:v>78</x:v>
      </x:c>
      <x:c r="M594" s="25" t="str">
        <x:v>中</x:v>
      </x:c>
      <x:c r="N594" s="26" t="str">
        <x:v>电商、数据分析、电子商务、增长、品牌</x:v>
      </x:c>
      <x:c r="O594" s="26" t="str">
        <x:v>岗位名称/描述出现“电商、数据分析、电子商务”，工作环节更贴近“电商、增长、品牌、电子商务”，因此关联到该节点。</x:v>
      </x:c>
      <x:c r="P594" s="26" t="str">
        <x:v>自动通过</x:v>
      </x:c>
    </x:row>
    <x:row r="595" ht="44" customHeight="1">
      <x:c r="A595" s="27" t="str">
        <x:v>REL000592</x:v>
      </x:c>
      <x:c r="B595" s="25" t="n">
        <x:v>11994</x:v>
      </x:c>
      <x:c r="C595" s="27" t="str">
        <x:v>IC-L3-1251</x:v>
      </x:c>
      <x:c r="D595" s="25" t="str">
        <x:v>电商总监</x:v>
      </x:c>
      <x:c r="E595" s="27" t="str">
        <x:v>4-04-05-01</x:v>
      </x:c>
      <x:c r="F595" s="25" t="str">
        <x:v>计算机程序设计员</x:v>
      </x:c>
      <x:c r="G595" s="27" t="str">
        <x:v>IC01</x:v>
      </x:c>
      <x:c r="H595" s="25" t="str">
        <x:v>数据要素与数字经济产业链</x:v>
      </x:c>
      <x:c r="I595" s="25" t="str">
        <x:v>下游</x:v>
      </x:c>
      <x:c r="J595" s="27" t="str">
        <x:v>ICN003</x:v>
      </x:c>
      <x:c r="K595" s="25" t="str">
        <x:v>数字经济场景应用与内容创意</x:v>
      </x:c>
      <x:c r="L595" s="28" t="n">
        <x:v>73</x:v>
      </x:c>
      <x:c r="M595" s="25" t="str">
        <x:v>中</x:v>
      </x:c>
      <x:c r="N595" s="26" t="str">
        <x:v>电商、增长、品牌</x:v>
      </x:c>
      <x:c r="O595" s="26" t="str">
        <x:v>岗位名称/描述出现“电商”，工作环节更贴近“电商、增长、品牌”，因此关联到该节点。</x:v>
      </x:c>
      <x:c r="P595" s="26" t="str">
        <x:v>自动通过</x:v>
      </x:c>
    </x:row>
    <x:row r="596" ht="44" customHeight="1">
      <x:c r="A596" s="27" t="str">
        <x:v>REL000593</x:v>
      </x:c>
      <x:c r="B596" s="25" t="n">
        <x:v>11995</x:v>
      </x:c>
      <x:c r="C596" s="27" t="str">
        <x:v>IC-L3-1252</x:v>
      </x:c>
      <x:c r="D596" s="25" t="str">
        <x:v>电商经理/电商主管</x:v>
      </x:c>
      <x:c r="E596" s="27" t="str">
        <x:v>4-04-05-01</x:v>
      </x:c>
      <x:c r="F596" s="25" t="str">
        <x:v>计算机程序设计员</x:v>
      </x:c>
      <x:c r="G596" s="27" t="str">
        <x:v>IC01</x:v>
      </x:c>
      <x:c r="H596" s="25" t="str">
        <x:v>数据要素与数字经济产业链</x:v>
      </x:c>
      <x:c r="I596" s="25" t="str">
        <x:v>下游</x:v>
      </x:c>
      <x:c r="J596" s="27" t="str">
        <x:v>ICN003</x:v>
      </x:c>
      <x:c r="K596" s="25" t="str">
        <x:v>数字经济场景应用与内容创意</x:v>
      </x:c>
      <x:c r="L596" s="28" t="n">
        <x:v>73</x:v>
      </x:c>
      <x:c r="M596" s="25" t="str">
        <x:v>中</x:v>
      </x:c>
      <x:c r="N596" s="26" t="str">
        <x:v>电商、增长、品牌</x:v>
      </x:c>
      <x:c r="O596" s="26" t="str">
        <x:v>岗位名称/描述出现“电商”，工作环节更贴近“电商、增长、品牌”，因此关联到该节点。</x:v>
      </x:c>
      <x:c r="P596" s="26" t="str">
        <x:v>自动通过</x:v>
      </x:c>
    </x:row>
    <x:row r="597" ht="44" customHeight="1">
      <x:c r="A597" s="27" t="str">
        <x:v>REL000594</x:v>
      </x:c>
      <x:c r="B597" s="25" t="n">
        <x:v>11998</x:v>
      </x:c>
      <x:c r="C597" s="27" t="str">
        <x:v>IC-L3-1255</x:v>
      </x:c>
      <x:c r="D597" s="25" t="str">
        <x:v>国内电商运营</x:v>
      </x:c>
      <x:c r="E597" s="27" t="str">
        <x:v>4-04-05-01</x:v>
      </x:c>
      <x:c r="F597" s="25" t="str">
        <x:v>计算机程序设计员</x:v>
      </x:c>
      <x:c r="G597" s="27" t="str">
        <x:v>IC01</x:v>
      </x:c>
      <x:c r="H597" s="25" t="str">
        <x:v>数据要素与数字经济产业链</x:v>
      </x:c>
      <x:c r="I597" s="25" t="str">
        <x:v>下游</x:v>
      </x:c>
      <x:c r="J597" s="27" t="str">
        <x:v>ICN003</x:v>
      </x:c>
      <x:c r="K597" s="25" t="str">
        <x:v>数字经济场景应用与内容创意</x:v>
      </x:c>
      <x:c r="L597" s="28" t="n">
        <x:v>75</x:v>
      </x:c>
      <x:c r="M597" s="25" t="str">
        <x:v>中</x:v>
      </x:c>
      <x:c r="N597" s="26" t="str">
        <x:v>电商、数据分析、增长、品牌</x:v>
      </x:c>
      <x:c r="O597" s="26" t="str">
        <x:v>岗位名称/描述出现“电商、数据分析”，工作环节更贴近“电商、增长、品牌”，因此关联到该节点。</x:v>
      </x:c>
      <x:c r="P597" s="26" t="str">
        <x:v>自动通过</x:v>
      </x:c>
    </x:row>
    <x:row r="598" ht="44" customHeight="1">
      <x:c r="A598" s="27" t="str">
        <x:v>REL000595</x:v>
      </x:c>
      <x:c r="B598" s="25" t="n">
        <x:v>11999</x:v>
      </x:c>
      <x:c r="C598" s="27" t="str">
        <x:v>IC-L3-1256</x:v>
      </x:c>
      <x:c r="D598" s="25" t="str">
        <x:v>店铺推广</x:v>
      </x:c>
      <x:c r="E598" s="27" t="str">
        <x:v>4-04-05-01</x:v>
      </x:c>
      <x:c r="F598" s="25" t="str">
        <x:v>计算机程序设计员</x:v>
      </x:c>
      <x:c r="G598" s="27" t="str">
        <x:v>IC01</x:v>
      </x:c>
      <x:c r="H598" s="25" t="str">
        <x:v>数据要素与数字经济产业链</x:v>
      </x:c>
      <x:c r="I598" s="25" t="str">
        <x:v>下游</x:v>
      </x:c>
      <x:c r="J598" s="27" t="str">
        <x:v>ICN003</x:v>
      </x:c>
      <x:c r="K598" s="25" t="str">
        <x:v>数字经济场景应用与内容创意</x:v>
      </x:c>
      <x:c r="L598" s="28" t="n">
        <x:v>59</x:v>
      </x:c>
      <x:c r="M598" s="25" t="str">
        <x:v>低</x:v>
      </x:c>
      <x:c r="N598" s="26" t="str">
        <x:v>广告、电子商务、电商、增长、品牌</x:v>
      </x:c>
      <x:c r="O598" s="26" t="str">
        <x:v>岗位名称/描述出现“广告、电子商务、电商”，工作环节更贴近“增长、广告、品牌、电商、电子商务”，因此关联到该节点。</x:v>
      </x:c>
      <x:c r="P598" s="26" t="str">
        <x:v>建议复核</x:v>
      </x:c>
    </x:row>
    <x:row r="599" ht="44" customHeight="1">
      <x:c r="A599" s="27" t="str">
        <x:v>REL000596</x:v>
      </x:c>
      <x:c r="B599" s="25" t="n">
        <x:v>12000</x:v>
      </x:c>
      <x:c r="C599" s="27" t="str">
        <x:v>IC-L3-1257</x:v>
      </x:c>
      <x:c r="D599" s="25" t="str">
        <x:v>跨境电商运营</x:v>
      </x:c>
      <x:c r="E599" s="27" t="str">
        <x:v>4-04-05-01</x:v>
      </x:c>
      <x:c r="F599" s="25" t="str">
        <x:v>计算机程序设计员</x:v>
      </x:c>
      <x:c r="G599" s="27" t="str">
        <x:v>IC01</x:v>
      </x:c>
      <x:c r="H599" s="25" t="str">
        <x:v>数据要素与数字经济产业链</x:v>
      </x:c>
      <x:c r="I599" s="25" t="str">
        <x:v>下游</x:v>
      </x:c>
      <x:c r="J599" s="27" t="str">
        <x:v>ICN003</x:v>
      </x:c>
      <x:c r="K599" s="25" t="str">
        <x:v>数字经济场景应用与内容创意</x:v>
      </x:c>
      <x:c r="L599" s="28" t="n">
        <x:v>73</x:v>
      </x:c>
      <x:c r="M599" s="25" t="str">
        <x:v>中</x:v>
      </x:c>
      <x:c r="N599" s="26" t="str">
        <x:v>电商、增长、品牌</x:v>
      </x:c>
      <x:c r="O599" s="26" t="str">
        <x:v>岗位名称/描述出现“电商”，工作环节更贴近“电商、增长、品牌”，因此关联到该节点。</x:v>
      </x:c>
      <x:c r="P599" s="26" t="str">
        <x:v>自动通过</x:v>
      </x:c>
    </x:row>
    <x:row r="600" ht="44" customHeight="1">
      <x:c r="A600" s="27" t="str">
        <x:v>REL000597</x:v>
      </x:c>
      <x:c r="B600" s="25" t="n">
        <x:v>12007</x:v>
      </x:c>
      <x:c r="C600" s="27" t="str">
        <x:v>IC-L3-1264</x:v>
      </x:c>
      <x:c r="D600" s="25" t="str">
        <x:v>EDA工程师</x:v>
      </x:c>
      <x:c r="E600" s="27" t="str">
        <x:v>2-02-09-02</x:v>
      </x:c>
      <x:c r="F600" s="25" t="str">
        <x:v>电子元器件工程技术人员</x:v>
      </x:c>
      <x:c r="G600" s="27" t="str">
        <x:v>IC16</x:v>
      </x:c>
      <x:c r="H600" s="25" t="str">
        <x:v>半导体与集成电路产业链</x:v>
      </x:c>
      <x:c r="I600" s="25" t="str">
        <x:v>上游</x:v>
      </x:c>
      <x:c r="J600" s="27" t="str">
        <x:v>ICN046</x:v>
      </x:c>
      <x:c r="K600" s="25" t="str">
        <x:v>半导体材料与制造设备</x:v>
      </x:c>
      <x:c r="L600" s="28" t="n">
        <x:v>80</x:v>
      </x:c>
      <x:c r="M600" s="25" t="str">
        <x:v>中</x:v>
      </x:c>
      <x:c r="N600" s="26" t="str">
        <x:v>eda、半导体、芯片、集成电路、芯片设计、研发</x:v>
      </x:c>
      <x:c r="O600" s="26" t="str">
        <x:v>岗位名称/描述出现“eda、半导体、芯片、集成电路、芯片设计”，工作环节更贴近“eda、研发”，因此关联到该节点。</x:v>
      </x:c>
      <x:c r="P600" s="26" t="str">
        <x:v>自动通过</x:v>
      </x:c>
    </x:row>
    <x:row r="601" ht="44" customHeight="1">
      <x:c r="A601" s="27" t="str">
        <x:v>REL000598</x:v>
      </x:c>
      <x:c r="B601" s="25" t="n">
        <x:v>12007</x:v>
      </x:c>
      <x:c r="C601" s="27" t="str">
        <x:v>IC-L3-1264</x:v>
      </x:c>
      <x:c r="D601" s="25" t="str">
        <x:v>EDA工程师</x:v>
      </x:c>
      <x:c r="E601" s="27" t="str">
        <x:v>2-02-09-02</x:v>
      </x:c>
      <x:c r="F601" s="25" t="str">
        <x:v>电子元器件工程技术人员</x:v>
      </x:c>
      <x:c r="G601" s="27" t="str">
        <x:v>IC16</x:v>
      </x:c>
      <x:c r="H601" s="25" t="str">
        <x:v>半导体与集成电路产业链</x:v>
      </x:c>
      <x:c r="I601" s="25" t="str">
        <x:v>中游</x:v>
      </x:c>
      <x:c r="J601" s="27" t="str">
        <x:v>ICN047</x:v>
      </x:c>
      <x:c r="K601" s="25" t="str">
        <x:v>芯片设计、制造、封测与集成电路</x:v>
      </x:c>
      <x:c r="L601" s="28" t="n">
        <x:v>78</x:v>
      </x:c>
      <x:c r="M601" s="25" t="str">
        <x:v>中</x:v>
      </x:c>
      <x:c r="N601" s="26" t="str">
        <x:v>eda、半导体、芯片、集成电路、芯片设计、验证、测试</x:v>
      </x:c>
      <x:c r="O601" s="26" t="str">
        <x:v>岗位名称/描述出现“eda、半导体、芯片、集成电路、芯片设计”，工作环节更贴近“芯片设计、集成电路、验证、测试”，因此关联到该节点。</x:v>
      </x:c>
      <x:c r="P601" s="26" t="str">
        <x:v>自动通过</x:v>
      </x:c>
    </x:row>
    <x:row r="602" ht="44" customHeight="1">
      <x:c r="A602" s="27" t="str">
        <x:v>REL000599</x:v>
      </x:c>
      <x:c r="B602" s="25" t="n">
        <x:v>12007</x:v>
      </x:c>
      <x:c r="C602" s="27" t="str">
        <x:v>IC-L3-1264</x:v>
      </x:c>
      <x:c r="D602" s="25" t="str">
        <x:v>EDA工程师</x:v>
      </x:c>
      <x:c r="E602" s="27" t="str">
        <x:v>2-02-09-02</x:v>
      </x:c>
      <x:c r="F602" s="25" t="str">
        <x:v>电子元器件工程技术人员</x:v>
      </x:c>
      <x:c r="G602" s="27" t="str">
        <x:v>IC06</x:v>
      </x:c>
      <x:c r="H602" s="25" t="str">
        <x:v>智能物联与消费电子产业链</x:v>
      </x:c>
      <x:c r="I602" s="25" t="str">
        <x:v>上游</x:v>
      </x:c>
      <x:c r="J602" s="27" t="str">
        <x:v>ICN016</x:v>
      </x:c>
      <x:c r="K602" s="25" t="str">
        <x:v>传感器、芯片模组与基础器件</x:v>
      </x:c>
      <x:c r="L602" s="28" t="n">
        <x:v>61</x:v>
      </x:c>
      <x:c r="M602" s="25" t="str">
        <x:v>低</x:v>
      </x:c>
      <x:c r="N602" s="26" t="str">
        <x:v>电子元器件、硬件工程、电子行业、电路设计、元器件、电路</x:v>
      </x:c>
      <x:c r="O602" s="26" t="str">
        <x:v>岗位名称/描述出现“电子元器件、硬件工程、电子行业、电路设计”，工作环节更贴近“元器件、电路”，因此关联到该节点。</x:v>
      </x:c>
      <x:c r="P602" s="26" t="str">
        <x:v>建议复核</x:v>
      </x:c>
    </x:row>
    <x:row r="603" ht="44" customHeight="1">
      <x:c r="A603" s="27" t="str">
        <x:v>REL000600</x:v>
      </x:c>
      <x:c r="B603" s="25" t="n">
        <x:v>12009</x:v>
      </x:c>
      <x:c r="C603" s="27" t="str">
        <x:v>IC-L3-1266</x:v>
      </x:c>
      <x:c r="D603" s="25" t="str">
        <x:v>FPGA原型验证工程师</x:v>
      </x:c>
      <x:c r="E603" s="27" t="str">
        <x:v>2-02-09-02</x:v>
      </x:c>
      <x:c r="F603" s="25" t="str">
        <x:v>电子元器件工程技术人员</x:v>
      </x:c>
      <x:c r="G603" s="27" t="str">
        <x:v>IC16</x:v>
      </x:c>
      <x:c r="H603" s="25" t="str">
        <x:v>半导体与集成电路产业链</x:v>
      </x:c>
      <x:c r="I603" s="25" t="str">
        <x:v>中游</x:v>
      </x:c>
      <x:c r="J603" s="27" t="str">
        <x:v>ICN047</x:v>
      </x:c>
      <x:c r="K603" s="25" t="str">
        <x:v>芯片设计、制造、封测与集成电路</x:v>
      </x:c>
      <x:c r="L603" s="28" t="n">
        <x:v>78</x:v>
      </x:c>
      <x:c r="M603" s="25" t="str">
        <x:v>中</x:v>
      </x:c>
      <x:c r="N603" s="26" t="str">
        <x:v>fpga、半导体、芯片、验证、测试</x:v>
      </x:c>
      <x:c r="O603" s="26" t="str">
        <x:v>岗位名称/描述出现“fpga、半导体、芯片”，工作环节更贴近“验证、测试”，因此关联到该节点。</x:v>
      </x:c>
      <x:c r="P603" s="26" t="str">
        <x:v>自动通过</x:v>
      </x:c>
    </x:row>
    <x:row r="604" ht="44" customHeight="1">
      <x:c r="A604" s="27" t="str">
        <x:v>REL000601</x:v>
      </x:c>
      <x:c r="B604" s="25" t="n">
        <x:v>12009</x:v>
      </x:c>
      <x:c r="C604" s="27" t="str">
        <x:v>IC-L3-1266</x:v>
      </x:c>
      <x:c r="D604" s="25" t="str">
        <x:v>FPGA原型验证工程师</x:v>
      </x:c>
      <x:c r="E604" s="27" t="str">
        <x:v>2-02-09-02</x:v>
      </x:c>
      <x:c r="F604" s="25" t="str">
        <x:v>电子元器件工程技术人员</x:v>
      </x:c>
      <x:c r="G604" s="27" t="str">
        <x:v>IC06</x:v>
      </x:c>
      <x:c r="H604" s="25" t="str">
        <x:v>智能物联与消费电子产业链</x:v>
      </x:c>
      <x:c r="I604" s="25" t="str">
        <x:v>上游</x:v>
      </x:c>
      <x:c r="J604" s="27" t="str">
        <x:v>ICN016</x:v>
      </x:c>
      <x:c r="K604" s="25" t="str">
        <x:v>传感器、芯片模组与基础器件</x:v>
      </x:c>
      <x:c r="L604" s="28" t="n">
        <x:v>58</x:v>
      </x:c>
      <x:c r="M604" s="25" t="str">
        <x:v>低</x:v>
      </x:c>
      <x:c r="N604" s="26" t="str">
        <x:v>电子元器件、硬件工程、电子行业、元器件</x:v>
      </x:c>
      <x:c r="O604" s="26" t="str">
        <x:v>岗位名称/描述出现“电子元器件、硬件工程、电子行业”，工作环节更贴近“元器件”，因此关联到该节点。</x:v>
      </x:c>
      <x:c r="P604" s="26" t="str">
        <x:v>建议复核</x:v>
      </x:c>
    </x:row>
    <x:row r="605" ht="44" customHeight="1">
      <x:c r="A605" s="27" t="str">
        <x:v>REL000602</x:v>
      </x:c>
      <x:c r="B605" s="25" t="n">
        <x:v>12010</x:v>
      </x:c>
      <x:c r="C605" s="27" t="str">
        <x:v>IC-L3-1267</x:v>
      </x:c>
      <x:c r="D605" s="25" t="str">
        <x:v>FPGA开发工程师</x:v>
      </x:c>
      <x:c r="E605" s="27" t="str">
        <x:v>2-02-09-02</x:v>
      </x:c>
      <x:c r="F605" s="25" t="str">
        <x:v>电子元器件工程技术人员</x:v>
      </x:c>
      <x:c r="G605" s="27" t="str">
        <x:v>IC16</x:v>
      </x:c>
      <x:c r="H605" s="25" t="str">
        <x:v>半导体与集成电路产业链</x:v>
      </x:c>
      <x:c r="I605" s="25" t="str">
        <x:v>中游</x:v>
      </x:c>
      <x:c r="J605" s="27" t="str">
        <x:v>ICN047</x:v>
      </x:c>
      <x:c r="K605" s="25" t="str">
        <x:v>芯片设计、制造、封测与集成电路</x:v>
      </x:c>
      <x:c r="L605" s="28" t="n">
        <x:v>72</x:v>
      </x:c>
      <x:c r="M605" s="25" t="str">
        <x:v>中</x:v>
      </x:c>
      <x:c r="N605" s="26" t="str">
        <x:v>fpga、半导体、芯片、验证、测试</x:v>
      </x:c>
      <x:c r="O605" s="26" t="str">
        <x:v>岗位名称/描述出现“fpga、半导体、芯片”，工作环节更贴近“验证、测试”，因此关联到该节点。</x:v>
      </x:c>
      <x:c r="P605" s="26" t="str">
        <x:v>自动通过</x:v>
      </x:c>
    </x:row>
    <x:row r="606" ht="44" customHeight="1">
      <x:c r="A606" s="27" t="str">
        <x:v>REL000603</x:v>
      </x:c>
      <x:c r="B606" s="25" t="n">
        <x:v>12010</x:v>
      </x:c>
      <x:c r="C606" s="27" t="str">
        <x:v>IC-L3-1267</x:v>
      </x:c>
      <x:c r="D606" s="25" t="str">
        <x:v>FPGA开发工程师</x:v>
      </x:c>
      <x:c r="E606" s="27" t="str">
        <x:v>2-02-09-02</x:v>
      </x:c>
      <x:c r="F606" s="25" t="str">
        <x:v>电子元器件工程技术人员</x:v>
      </x:c>
      <x:c r="G606" s="27" t="str">
        <x:v>IC06</x:v>
      </x:c>
      <x:c r="H606" s="25" t="str">
        <x:v>智能物联与消费电子产业链</x:v>
      </x:c>
      <x:c r="I606" s="25" t="str">
        <x:v>上游</x:v>
      </x:c>
      <x:c r="J606" s="27" t="str">
        <x:v>ICN016</x:v>
      </x:c>
      <x:c r="K606" s="25" t="str">
        <x:v>传感器、芯片模组与基础器件</x:v>
      </x:c>
      <x:c r="L606" s="28" t="n">
        <x:v>62</x:v>
      </x:c>
      <x:c r="M606" s="25" t="str">
        <x:v>低</x:v>
      </x:c>
      <x:c r="N606" s="26" t="str">
        <x:v>电子元器件、pcb、硬件工程、电子行业、元器件、硬件设计</x:v>
      </x:c>
      <x:c r="O606" s="26" t="str">
        <x:v>岗位名称/描述出现“电子元器件、pcb、硬件工程、电子行业”，工作环节更贴近“元器件、pcb、硬件设计”，因此关联到该节点。</x:v>
      </x:c>
      <x:c r="P606" s="26" t="str">
        <x:v>建议复核</x:v>
      </x:c>
    </x:row>
    <x:row r="607" ht="44" customHeight="1">
      <x:c r="A607" s="27" t="str">
        <x:v>REL000604</x:v>
      </x:c>
      <x:c r="B607" s="25" t="n">
        <x:v>12011</x:v>
      </x:c>
      <x:c r="C607" s="27" t="str">
        <x:v>IC-L3-1268</x:v>
      </x:c>
      <x:c r="D607" s="25" t="str">
        <x:v>IC版图设计</x:v>
      </x:c>
      <x:c r="E607" s="27" t="str">
        <x:v>2-02-09-02</x:v>
      </x:c>
      <x:c r="F607" s="25" t="str">
        <x:v>电子元器件工程技术人员</x:v>
      </x:c>
      <x:c r="G607" s="27" t="str">
        <x:v>IC16</x:v>
      </x:c>
      <x:c r="H607" s="25" t="str">
        <x:v>半导体与集成电路产业链</x:v>
      </x:c>
      <x:c r="I607" s="25" t="str">
        <x:v>中游</x:v>
      </x:c>
      <x:c r="J607" s="27" t="str">
        <x:v>ICN047</x:v>
      </x:c>
      <x:c r="K607" s="25" t="str">
        <x:v>芯片设计、制造、封测与集成电路</x:v>
      </x:c>
      <x:c r="L607" s="28" t="n">
        <x:v>66</x:v>
      </x:c>
      <x:c r="M607" s="25" t="str">
        <x:v>低</x:v>
      </x:c>
      <x:c r="N607" s="26" t="str">
        <x:v>半导体、芯片、集成电路、版图、验证、测试</x:v>
      </x:c>
      <x:c r="O607" s="26" t="str">
        <x:v>岗位名称/描述出现“半导体、芯片、集成电路”，工作环节更贴近“版图、集成电路、验证、测试”，因此关联到该节点。</x:v>
      </x:c>
      <x:c r="P607" s="26" t="str">
        <x:v>建议复核</x:v>
      </x:c>
    </x:row>
    <x:row r="608" ht="44" customHeight="1">
      <x:c r="A608" s="27" t="str">
        <x:v>REL000605</x:v>
      </x:c>
      <x:c r="B608" s="25" t="n">
        <x:v>12012</x:v>
      </x:c>
      <x:c r="C608" s="27" t="str">
        <x:v>IC-L3-1269</x:v>
      </x:c>
      <x:c r="D608" s="25" t="str">
        <x:v>IC验证工程师</x:v>
      </x:c>
      <x:c r="E608" s="27" t="str">
        <x:v>2-02-09-02</x:v>
      </x:c>
      <x:c r="F608" s="25" t="str">
        <x:v>电子元器件工程技术人员</x:v>
      </x:c>
      <x:c r="G608" s="27" t="str">
        <x:v>IC16</x:v>
      </x:c>
      <x:c r="H608" s="25" t="str">
        <x:v>半导体与集成电路产业链</x:v>
      </x:c>
      <x:c r="I608" s="25" t="str">
        <x:v>中游</x:v>
      </x:c>
      <x:c r="J608" s="27" t="str">
        <x:v>ICN047</x:v>
      </x:c>
      <x:c r="K608" s="25" t="str">
        <x:v>芯片设计、制造、封测与集成电路</x:v>
      </x:c>
      <x:c r="L608" s="28" t="n">
        <x:v>65</x:v>
      </x:c>
      <x:c r="M608" s="25" t="str">
        <x:v>低</x:v>
      </x:c>
      <x:c r="N608" s="26" t="str">
        <x:v>半导体、芯片、集成电路、验证、测试</x:v>
      </x:c>
      <x:c r="O608" s="26" t="str">
        <x:v>岗位名称/描述出现“半导体、芯片、集成电路”，工作环节更贴近“验证、集成电路、测试”，因此关联到该节点。</x:v>
      </x:c>
      <x:c r="P608" s="26" t="str">
        <x:v>建议复核</x:v>
      </x:c>
    </x:row>
    <x:row r="609" ht="44" customHeight="1">
      <x:c r="A609" s="27" t="str">
        <x:v>REL000606</x:v>
      </x:c>
      <x:c r="B609" s="25" t="n">
        <x:v>12013</x:v>
      </x:c>
      <x:c r="C609" s="27" t="str">
        <x:v>IC-L3-1270</x:v>
      </x:c>
      <x:c r="D609" s="25" t="str">
        <x:v>MEMS工程师</x:v>
      </x:c>
      <x:c r="E609" s="27" t="str">
        <x:v>2-02-09-02</x:v>
      </x:c>
      <x:c r="F609" s="25" t="str">
        <x:v>电子元器件工程技术人员</x:v>
      </x:c>
      <x:c r="G609" s="27" t="str">
        <x:v>IC06</x:v>
      </x:c>
      <x:c r="H609" s="25" t="str">
        <x:v>智能物联与消费电子产业链</x:v>
      </x:c>
      <x:c r="I609" s="25" t="str">
        <x:v>上游</x:v>
      </x:c>
      <x:c r="J609" s="27" t="str">
        <x:v>ICN016</x:v>
      </x:c>
      <x:c r="K609" s="25" t="str">
        <x:v>传感器、芯片模组与基础器件</x:v>
      </x:c>
      <x:c r="L609" s="28" t="n">
        <x:v>62</x:v>
      </x:c>
      <x:c r="M609" s="25" t="str">
        <x:v>低</x:v>
      </x:c>
      <x:c r="N609" s="26" t="str">
        <x:v>电子元器件、物联网、传感器、电子行业、元器件、电路</x:v>
      </x:c>
      <x:c r="O609" s="26" t="str">
        <x:v>岗位名称/描述出现“电子元器件、物联网、传感器、电子行业”，工作环节更贴近“元器件、传感器、电路”，因此关联到该节点。</x:v>
      </x:c>
      <x:c r="P609" s="26" t="str">
        <x:v>建议复核</x:v>
      </x:c>
    </x:row>
    <x:row r="610" ht="44" customHeight="1">
      <x:c r="A610" s="27" t="str">
        <x:v>REL000607</x:v>
      </x:c>
      <x:c r="B610" s="25" t="n">
        <x:v>12014</x:v>
      </x:c>
      <x:c r="C610" s="27" t="str">
        <x:v>IC-L3-1271</x:v>
      </x:c>
      <x:c r="D610" s="25" t="str">
        <x:v>半导体产品经理/产品工程师</x:v>
      </x:c>
      <x:c r="E610" s="27" t="str">
        <x:v>2-02-09-02</x:v>
      </x:c>
      <x:c r="F610" s="25" t="str">
        <x:v>电子元器件工程技术人员</x:v>
      </x:c>
      <x:c r="G610" s="27" t="str">
        <x:v>IC16</x:v>
      </x:c>
      <x:c r="H610" s="25" t="str">
        <x:v>半导体与集成电路产业链</x:v>
      </x:c>
      <x:c r="I610" s="25" t="str">
        <x:v>下游</x:v>
      </x:c>
      <x:c r="J610" s="27" t="str">
        <x:v>ICN048</x:v>
      </x:c>
      <x:c r="K610" s="25" t="str">
        <x:v>电子终端、汽车与工业芯片应用</x:v>
      </x:c>
      <x:c r="L610" s="28" t="n">
        <x:v>74</x:v>
      </x:c>
      <x:c r="M610" s="25" t="str">
        <x:v>中</x:v>
      </x:c>
      <x:c r="N610" s="26" t="str">
        <x:v>半导体、芯片、产品、销售</x:v>
      </x:c>
      <x:c r="O610" s="26" t="str">
        <x:v>岗位名称/描述出现“半导体、芯片”，工作环节更贴近“产品、销售”，因此关联到该节点。</x:v>
      </x:c>
      <x:c r="P610" s="26" t="str">
        <x:v>自动通过</x:v>
      </x:c>
    </x:row>
    <x:row r="611" ht="44" customHeight="1">
      <x:c r="A611" s="27" t="str">
        <x:v>REL000608</x:v>
      </x:c>
      <x:c r="B611" s="25" t="n">
        <x:v>12015</x:v>
      </x:c>
      <x:c r="C611" s="27" t="str">
        <x:v>IC-L3-1272</x:v>
      </x:c>
      <x:c r="D611" s="25" t="str">
        <x:v>半导体器件工程师</x:v>
      </x:c>
      <x:c r="E611" s="27" t="str">
        <x:v>2-02-09-02</x:v>
      </x:c>
      <x:c r="F611" s="25" t="str">
        <x:v>电子元器件工程技术人员</x:v>
      </x:c>
      <x:c r="G611" s="27" t="str">
        <x:v>IC16</x:v>
      </x:c>
      <x:c r="H611" s="25" t="str">
        <x:v>半导体与集成电路产业链</x:v>
      </x:c>
      <x:c r="I611" s="25" t="str">
        <x:v>上游</x:v>
      </x:c>
      <x:c r="J611" s="27" t="str">
        <x:v>ICN046</x:v>
      </x:c>
      <x:c r="K611" s="25" t="str">
        <x:v>半导体材料与制造设备</x:v>
      </x:c>
      <x:c r="L611" s="28" t="n">
        <x:v>69</x:v>
      </x:c>
      <x:c r="M611" s="25" t="str">
        <x:v>中</x:v>
      </x:c>
      <x:c r="N611" s="26" t="str">
        <x:v>半导体、芯片、半导体材料、材料、研发</x:v>
      </x:c>
      <x:c r="O611" s="26" t="str">
        <x:v>岗位名称/描述出现“半导体、芯片”，工作环节更贴近“半导体材料、材料、研发”，因此关联到该节点。</x:v>
      </x:c>
      <x:c r="P611" s="26" t="str">
        <x:v>自动通过</x:v>
      </x:c>
    </x:row>
    <x:row r="612" ht="44" customHeight="1">
      <x:c r="A612" s="27" t="str">
        <x:v>REL000609</x:v>
      </x:c>
      <x:c r="B612" s="25" t="n">
        <x:v>12016</x:v>
      </x:c>
      <x:c r="C612" s="27" t="str">
        <x:v>IC-L3-1273</x:v>
      </x:c>
      <x:c r="D612" s="25" t="str">
        <x:v>半导体工艺工程师</x:v>
      </x:c>
      <x:c r="E612" s="27" t="str">
        <x:v>2-02-09-02</x:v>
      </x:c>
      <x:c r="F612" s="25" t="str">
        <x:v>电子元器件工程技术人员</x:v>
      </x:c>
      <x:c r="G612" s="27" t="str">
        <x:v>IC16</x:v>
      </x:c>
      <x:c r="H612" s="25" t="str">
        <x:v>半导体与集成电路产业链</x:v>
      </x:c>
      <x:c r="I612" s="25" t="str">
        <x:v>中游</x:v>
      </x:c>
      <x:c r="J612" s="27" t="str">
        <x:v>ICN047</x:v>
      </x:c>
      <x:c r="K612" s="25" t="str">
        <x:v>芯片设计、制造、封测与集成电路</x:v>
      </x:c>
      <x:c r="L612" s="28" t="n">
        <x:v>69</x:v>
      </x:c>
      <x:c r="M612" s="25" t="str">
        <x:v>中</x:v>
      </x:c>
      <x:c r="N612" s="26" t="str">
        <x:v>半导体、芯片、验证</x:v>
      </x:c>
      <x:c r="O612" s="26" t="str">
        <x:v>岗位名称/描述出现“半导体、芯片”，工作环节更贴近“验证”，因此关联到该节点。</x:v>
      </x:c>
      <x:c r="P612" s="26" t="str">
        <x:v>自动通过</x:v>
      </x:c>
    </x:row>
    <x:row r="613" ht="44" customHeight="1">
      <x:c r="A613" s="27" t="str">
        <x:v>REL000610</x:v>
      </x:c>
      <x:c r="B613" s="25" t="n">
        <x:v>12017</x:v>
      </x:c>
      <x:c r="C613" s="27" t="str">
        <x:v>IC-L3-1274</x:v>
      </x:c>
      <x:c r="D613" s="25" t="str">
        <x:v>半导体设备工程师</x:v>
      </x:c>
      <x:c r="E613" s="27" t="str">
        <x:v>2-02-09-02</x:v>
      </x:c>
      <x:c r="F613" s="25" t="str">
        <x:v>电子元器件工程技术人员</x:v>
      </x:c>
      <x:c r="G613" s="27" t="str">
        <x:v>IC16</x:v>
      </x:c>
      <x:c r="H613" s="25" t="str">
        <x:v>半导体与集成电路产业链</x:v>
      </x:c>
      <x:c r="I613" s="25" t="str">
        <x:v>上游</x:v>
      </x:c>
      <x:c r="J613" s="27" t="str">
        <x:v>ICN046</x:v>
      </x:c>
      <x:c r="K613" s="25" t="str">
        <x:v>半导体材料与制造设备</x:v>
      </x:c>
      <x:c r="L613" s="28" t="n">
        <x:v>80</x:v>
      </x:c>
      <x:c r="M613" s="25" t="str">
        <x:v>中</x:v>
      </x:c>
      <x:c r="N613" s="26" t="str">
        <x:v>半导体、芯片、半导体设备、设备、研发</x:v>
      </x:c>
      <x:c r="O613" s="26" t="str">
        <x:v>岗位名称/描述出现“半导体、芯片”，工作环节更贴近“半导体设备、设备、研发”，因此关联到该节点。</x:v>
      </x:c>
      <x:c r="P613" s="26" t="str">
        <x:v>自动通过</x:v>
      </x:c>
    </x:row>
    <x:row r="614" ht="44" customHeight="1">
      <x:c r="A614" s="27" t="str">
        <x:v>REL000611</x:v>
      </x:c>
      <x:c r="B614" s="25" t="n">
        <x:v>12019</x:v>
      </x:c>
      <x:c r="C614" s="27" t="str">
        <x:v>IC-L3-1276</x:v>
      </x:c>
      <x:c r="D614" s="25" t="str">
        <x:v>封装工程师</x:v>
      </x:c>
      <x:c r="E614" s="27" t="str">
        <x:v>2-02-09-02</x:v>
      </x:c>
      <x:c r="F614" s="25" t="str">
        <x:v>电子元器件工程技术人员</x:v>
      </x:c>
      <x:c r="G614" s="27" t="str">
        <x:v>IC16</x:v>
      </x:c>
      <x:c r="H614" s="25" t="str">
        <x:v>半导体与集成电路产业链</x:v>
      </x:c>
      <x:c r="I614" s="25" t="str">
        <x:v>中游</x:v>
      </x:c>
      <x:c r="J614" s="27" t="str">
        <x:v>ICN047</x:v>
      </x:c>
      <x:c r="K614" s="25" t="str">
        <x:v>芯片设计、制造、封测与集成电路</x:v>
      </x:c>
      <x:c r="L614" s="28" t="n">
        <x:v>81</x:v>
      </x:c>
      <x:c r="M614" s="25" t="str">
        <x:v>中</x:v>
      </x:c>
      <x:c r="N614" s="26" t="str">
        <x:v>封装、半导体、芯片、芯片设计、测试</x:v>
      </x:c>
      <x:c r="O614" s="26" t="str">
        <x:v>岗位名称/描述出现“封装、半导体、芯片、芯片设计”，工作环节更贴近“封装、芯片设计、测试”，因此关联到该节点。</x:v>
      </x:c>
      <x:c r="P614" s="26" t="str">
        <x:v>自动通过</x:v>
      </x:c>
    </x:row>
    <x:row r="615" ht="44" customHeight="1">
      <x:c r="A615" s="27" t="str">
        <x:v>REL000612</x:v>
      </x:c>
      <x:c r="B615" s="25" t="n">
        <x:v>12021</x:v>
      </x:c>
      <x:c r="C615" s="27" t="str">
        <x:v>IC-L3-1278</x:v>
      </x:c>
      <x:c r="D615" s="25" t="str">
        <x:v>数字前端工程师</x:v>
      </x:c>
      <x:c r="E615" s="27" t="str">
        <x:v>2-02-09-02</x:v>
      </x:c>
      <x:c r="F615" s="25" t="str">
        <x:v>电子元器件工程技术人员</x:v>
      </x:c>
      <x:c r="G615" s="27" t="str">
        <x:v>IC19</x:v>
      </x:c>
      <x:c r="H615" s="25" t="str">
        <x:v>软件与数字安全产业链</x:v>
      </x:c>
      <x:c r="I615" s="25" t="str">
        <x:v>中游</x:v>
      </x:c>
      <x:c r="J615" s="27" t="str">
        <x:v>ICN056</x:v>
      </x:c>
      <x:c r="K615" s="25" t="str">
        <x:v>应用软件、区块链平台与安全产品</x:v>
      </x:c>
      <x:c r="L615" s="28" t="n">
        <x:v>77</x:v>
      </x:c>
      <x:c r="M615" s="25" t="str">
        <x:v>中</x:v>
      </x:c>
      <x:c r="N615" s="26" t="str">
        <x:v>前端、后端、测试</x:v>
      </x:c>
      <x:c r="O615" s="26" t="str">
        <x:v>岗位名称/描述出现“前端、后端”，工作环节更贴近“前端、后端、测试”，因此关联到该节点。</x:v>
      </x:c>
      <x:c r="P615" s="26" t="str">
        <x:v>自动通过</x:v>
      </x:c>
    </x:row>
    <x:row r="616" ht="44" customHeight="1">
      <x:c r="A616" s="27" t="str">
        <x:v>REL000613</x:v>
      </x:c>
      <x:c r="B616" s="25" t="n">
        <x:v>12022</x:v>
      </x:c>
      <x:c r="C616" s="27" t="str">
        <x:v>IC-L3-1279</x:v>
      </x:c>
      <x:c r="D616" s="25" t="str">
        <x:v>数字后端工程师</x:v>
      </x:c>
      <x:c r="E616" s="27" t="str">
        <x:v>2-02-09-02</x:v>
      </x:c>
      <x:c r="F616" s="25" t="str">
        <x:v>电子元器件工程技术人员</x:v>
      </x:c>
      <x:c r="G616" s="27" t="str">
        <x:v>IC19</x:v>
      </x:c>
      <x:c r="H616" s="25" t="str">
        <x:v>软件与数字安全产业链</x:v>
      </x:c>
      <x:c r="I616" s="25" t="str">
        <x:v>中游</x:v>
      </x:c>
      <x:c r="J616" s="27" t="str">
        <x:v>ICN056</x:v>
      </x:c>
      <x:c r="K616" s="25" t="str">
        <x:v>应用软件、区块链平台与安全产品</x:v>
      </x:c>
      <x:c r="L616" s="28" t="n">
        <x:v>78</x:v>
      </x:c>
      <x:c r="M616" s="25" t="str">
        <x:v>中</x:v>
      </x:c>
      <x:c r="N616" s="26" t="str">
        <x:v>后端、前端、测试、产品开发</x:v>
      </x:c>
      <x:c r="O616" s="26" t="str">
        <x:v>岗位名称/描述出现“后端、前端”，工作环节更贴近“后端、前端、测试、产品开发”，因此关联到该节点。</x:v>
      </x:c>
      <x:c r="P616" s="26" t="str">
        <x:v>自动通过</x:v>
      </x:c>
    </x:row>
    <x:row r="617" ht="44" customHeight="1">
      <x:c r="A617" s="27" t="str">
        <x:v>REL000614</x:v>
      </x:c>
      <x:c r="B617" s="25" t="n">
        <x:v>12023</x:v>
      </x:c>
      <x:c r="C617" s="27" t="str">
        <x:v>IC-L3-1280</x:v>
      </x:c>
      <x:c r="D617" s="25" t="str">
        <x:v>模拟芯片设计</x:v>
      </x:c>
      <x:c r="E617" s="27" t="str">
        <x:v>2-02-09-02</x:v>
      </x:c>
      <x:c r="F617" s="25" t="str">
        <x:v>电子元器件工程技术人员</x:v>
      </x:c>
      <x:c r="G617" s="27" t="str">
        <x:v>IC16</x:v>
      </x:c>
      <x:c r="H617" s="25" t="str">
        <x:v>半导体与集成电路产业链</x:v>
      </x:c>
      <x:c r="I617" s="25" t="str">
        <x:v>中游</x:v>
      </x:c>
      <x:c r="J617" s="27" t="str">
        <x:v>ICN047</x:v>
      </x:c>
      <x:c r="K617" s="25" t="str">
        <x:v>芯片设计、制造、封测与集成电路</x:v>
      </x:c>
      <x:c r="L617" s="28" t="n">
        <x:v>95</x:v>
      </x:c>
      <x:c r="M617" s="25" t="str">
        <x:v>高</x:v>
      </x:c>
      <x:c r="N617" s="26" t="str">
        <x:v>芯片、芯片设计、半导体、集成电路、模拟电路、测试</x:v>
      </x:c>
      <x:c r="O617" s="26" t="str">
        <x:v>岗位名称/描述出现“芯片、芯片设计、半导体、集成电路、模拟电路”，工作环节更贴近“芯片设计、集成电路、测试”，因此关联到该节点。</x:v>
      </x:c>
      <x:c r="P617" s="26" t="str">
        <x:v>自动通过</x:v>
      </x:c>
    </x:row>
    <x:row r="618" ht="44" customHeight="1">
      <x:c r="A618" s="27" t="str">
        <x:v>REL000615</x:v>
      </x:c>
      <x:c r="B618" s="25" t="n">
        <x:v>12024</x:v>
      </x:c>
      <x:c r="C618" s="27" t="str">
        <x:v>IC-L3-1281</x:v>
      </x:c>
      <x:c r="D618" s="25" t="str">
        <x:v>芯片架构工程师</x:v>
      </x:c>
      <x:c r="E618" s="27" t="str">
        <x:v>2-02-09-02</x:v>
      </x:c>
      <x:c r="F618" s="25" t="str">
        <x:v>电子元器件工程技术人员</x:v>
      </x:c>
      <x:c r="G618" s="27" t="str">
        <x:v>IC16</x:v>
      </x:c>
      <x:c r="H618" s="25" t="str">
        <x:v>半导体与集成电路产业链</x:v>
      </x:c>
      <x:c r="I618" s="25" t="str">
        <x:v>中游</x:v>
      </x:c>
      <x:c r="J618" s="27" t="str">
        <x:v>ICN047</x:v>
      </x:c>
      <x:c r="K618" s="25" t="str">
        <x:v>芯片设计、制造、封测与集成电路</x:v>
      </x:c>
      <x:c r="L618" s="28" t="n">
        <x:v>71</x:v>
      </x:c>
      <x:c r="M618" s="25" t="str">
        <x:v>中</x:v>
      </x:c>
      <x:c r="N618" s="26" t="str">
        <x:v>芯片、半导体、芯片设计</x:v>
      </x:c>
      <x:c r="O618" s="26" t="str">
        <x:v>岗位名称/描述出现“芯片、半导体、芯片设计”，工作环节更贴近“芯片设计”，因此关联到该节点。</x:v>
      </x:c>
      <x:c r="P618" s="26" t="str">
        <x:v>自动通过</x:v>
      </x:c>
    </x:row>
    <x:row r="619" ht="44" customHeight="1">
      <x:c r="A619" s="27" t="str">
        <x:v>REL000616</x:v>
      </x:c>
      <x:c r="B619" s="25" t="n">
        <x:v>12024</x:v>
      </x:c>
      <x:c r="C619" s="27" t="str">
        <x:v>IC-L3-1281</x:v>
      </x:c>
      <x:c r="D619" s="25" t="str">
        <x:v>芯片架构工程师</x:v>
      </x:c>
      <x:c r="E619" s="27" t="str">
        <x:v>2-02-09-02</x:v>
      </x:c>
      <x:c r="F619" s="25" t="str">
        <x:v>电子元器件工程技术人员</x:v>
      </x:c>
      <x:c r="G619" s="27" t="str">
        <x:v>IC06</x:v>
      </x:c>
      <x:c r="H619" s="25" t="str">
        <x:v>智能物联与消费电子产业链</x:v>
      </x:c>
      <x:c r="I619" s="25" t="str">
        <x:v>上游</x:v>
      </x:c>
      <x:c r="J619" s="27" t="str">
        <x:v>ICN016</x:v>
      </x:c>
      <x:c r="K619" s="25" t="str">
        <x:v>传感器、芯片模组与基础器件</x:v>
      </x:c>
      <x:c r="L619" s="28" t="n">
        <x:v>58</x:v>
      </x:c>
      <x:c r="M619" s="25" t="str">
        <x:v>低</x:v>
      </x:c>
      <x:c r="N619" s="26" t="str">
        <x:v>电子元器件、硬件工程、电子行业、元器件</x:v>
      </x:c>
      <x:c r="O619" s="26" t="str">
        <x:v>岗位名称/描述出现“电子元器件、硬件工程、电子行业”，工作环节更贴近“元器件”，因此关联到该节点。</x:v>
      </x:c>
      <x:c r="P619" s="26" t="str">
        <x:v>建议复核</x:v>
      </x:c>
    </x:row>
    <x:row r="620" ht="44" customHeight="1">
      <x:c r="A620" s="27" t="str">
        <x:v>REL000617</x:v>
      </x:c>
      <x:c r="B620" s="25" t="n">
        <x:v>12025</x:v>
      </x:c>
      <x:c r="C620" s="27" t="str">
        <x:v>IC-L3-1282</x:v>
      </x:c>
      <x:c r="D620" s="25" t="str">
        <x:v>芯片测试工程师</x:v>
      </x:c>
      <x:c r="E620" s="27" t="str">
        <x:v>2-02-09-02</x:v>
      </x:c>
      <x:c r="F620" s="25" t="str">
        <x:v>电子元器件工程技术人员</x:v>
      </x:c>
      <x:c r="G620" s="27" t="str">
        <x:v>IC16</x:v>
      </x:c>
      <x:c r="H620" s="25" t="str">
        <x:v>半导体与集成电路产业链</x:v>
      </x:c>
      <x:c r="I620" s="25" t="str">
        <x:v>中游</x:v>
      </x:c>
      <x:c r="J620" s="27" t="str">
        <x:v>ICN047</x:v>
      </x:c>
      <x:c r="K620" s="25" t="str">
        <x:v>芯片设计、制造、封测与集成电路</x:v>
      </x:c>
      <x:c r="L620" s="28" t="n">
        <x:v>75</x:v>
      </x:c>
      <x:c r="M620" s="25" t="str">
        <x:v>中</x:v>
      </x:c>
      <x:c r="N620" s="26" t="str">
        <x:v>芯片、半导体、测试</x:v>
      </x:c>
      <x:c r="O620" s="26" t="str">
        <x:v>岗位名称/描述出现“芯片、半导体”，工作环节更贴近“测试”，因此关联到该节点。</x:v>
      </x:c>
      <x:c r="P620" s="26" t="str">
        <x:v>自动通过</x:v>
      </x:c>
    </x:row>
    <x:row r="621" ht="44" customHeight="1">
      <x:c r="A621" s="27" t="str">
        <x:v>REL000618</x:v>
      </x:c>
      <x:c r="B621" s="25" t="n">
        <x:v>12026</x:v>
      </x:c>
      <x:c r="C621" s="27" t="str">
        <x:v>IC-L3-1283</x:v>
      </x:c>
      <x:c r="D621" s="25" t="str">
        <x:v>芯片销售工程师</x:v>
      </x:c>
      <x:c r="E621" s="27" t="str">
        <x:v>4-04-05-01</x:v>
      </x:c>
      <x:c r="F621" s="25" t="str">
        <x:v>计算机程序设计员</x:v>
      </x:c>
      <x:c r="G621" s="27" t="str">
        <x:v>IC16</x:v>
      </x:c>
      <x:c r="H621" s="25" t="str">
        <x:v>半导体与集成电路产业链</x:v>
      </x:c>
      <x:c r="I621" s="25" t="str">
        <x:v>下游</x:v>
      </x:c>
      <x:c r="J621" s="27" t="str">
        <x:v>ICN048</x:v>
      </x:c>
      <x:c r="K621" s="25" t="str">
        <x:v>电子终端、汽车与工业芯片应用</x:v>
      </x:c>
      <x:c r="L621" s="28" t="n">
        <x:v>75</x:v>
      </x:c>
      <x:c r="M621" s="25" t="str">
        <x:v>中</x:v>
      </x:c>
      <x:c r="N621" s="26" t="str">
        <x:v>芯片、半导体、销售、技术支持、产品</x:v>
      </x:c>
      <x:c r="O621" s="26" t="str">
        <x:v>岗位名称/描述出现“芯片、半导体”，工作环节更贴近“销售、技术支持、产品”，因此关联到该节点。</x:v>
      </x:c>
      <x:c r="P621" s="26" t="str">
        <x:v>自动通过</x:v>
      </x:c>
    </x:row>
    <x:row r="622" ht="44" customHeight="1">
      <x:c r="A622" s="27" t="str">
        <x:v>REL000619</x:v>
      </x:c>
      <x:c r="B622" s="25" t="n">
        <x:v>12027</x:v>
      </x:c>
      <x:c r="C622" s="27" t="str">
        <x:v>IC-L3-1284</x:v>
      </x:c>
      <x:c r="D622" s="25" t="str">
        <x:v>集成电路IC设计</x:v>
      </x:c>
      <x:c r="E622" s="27" t="str">
        <x:v>2-09-06-01</x:v>
      </x:c>
      <x:c r="F622" s="25" t="str">
        <x:v>视觉传达设计人员</x:v>
      </x:c>
      <x:c r="G622" s="27" t="str">
        <x:v>IC16</x:v>
      </x:c>
      <x:c r="H622" s="25" t="str">
        <x:v>半导体与集成电路产业链</x:v>
      </x:c>
      <x:c r="I622" s="25" t="str">
        <x:v>中游</x:v>
      </x:c>
      <x:c r="J622" s="27" t="str">
        <x:v>ICN047</x:v>
      </x:c>
      <x:c r="K622" s="25" t="str">
        <x:v>芯片设计、制造、封测与集成电路</x:v>
      </x:c>
      <x:c r="L622" s="28" t="n">
        <x:v>98</x:v>
      </x:c>
      <x:c r="M622" s="25" t="str">
        <x:v>高</x:v>
      </x:c>
      <x:c r="N622" s="26" t="str">
        <x:v>集成电路、ic设计、半导体、芯片、版图、验证、测试</x:v>
      </x:c>
      <x:c r="O622" s="26" t="str">
        <x:v>岗位名称/描述出现“集成电路、ic设计、半导体、芯片”，工作环节更贴近“ic设计、集成电路、版图、验证、测试”，因此关联到该节点。</x:v>
      </x:c>
      <x:c r="P622" s="26" t="str">
        <x:v>自动通过</x:v>
      </x:c>
    </x:row>
    <x:row r="623" ht="44" customHeight="1">
      <x:c r="A623" s="27" t="str">
        <x:v>REL000620</x:v>
      </x:c>
      <x:c r="B623" s="25" t="n">
        <x:v>12028</x:v>
      </x:c>
      <x:c r="C623" s="27" t="str">
        <x:v>IC-L3-1285</x:v>
      </x:c>
      <x:c r="D623" s="25" t="str">
        <x:v>电池/电源开发</x:v>
      </x:c>
      <x:c r="E623" s="27" t="str">
        <x:v>2-02-09-02</x:v>
      </x:c>
      <x:c r="F623" s="25" t="str">
        <x:v>电子元器件工程技术人员</x:v>
      </x:c>
      <x:c r="G623" s="27" t="str">
        <x:v>IC05</x:v>
      </x:c>
      <x:c r="H623" s="25" t="str">
        <x:v>新能源与电力装备产业链</x:v>
      </x:c>
      <x:c r="I623" s="25" t="str">
        <x:v>中游</x:v>
      </x:c>
      <x:c r="J623" s="27" t="str">
        <x:v>ICN014</x:v>
      </x:c>
      <x:c r="K623" s="25" t="str">
        <x:v>发电、储能与输配电装备</x:v>
      </x:c>
      <x:c r="L623" s="28" t="n">
        <x:v>66</x:v>
      </x:c>
      <x:c r="M623" s="25" t="str">
        <x:v>低</x:v>
      </x:c>
      <x:c r="N623" s="26" t="str">
        <x:v>电池</x:v>
      </x:c>
      <x:c r="O623" s="26" t="str">
        <x:v>岗位名称/描述出现“电池”，工作环节更贴近“中游”，因此关联到该节点。</x:v>
      </x:c>
      <x:c r="P623" s="26" t="str">
        <x:v>建议复核</x:v>
      </x:c>
    </x:row>
    <x:row r="624" ht="44" customHeight="1">
      <x:c r="A624" s="27" t="str">
        <x:v>REL000621</x:v>
      </x:c>
      <x:c r="B624" s="25" t="n">
        <x:v>12031</x:v>
      </x:c>
      <x:c r="C624" s="27" t="str">
        <x:v>IC-L3-1288</x:v>
      </x:c>
      <x:c r="D624" s="25" t="str">
        <x:v>通信项目管理</x:v>
      </x:c>
      <x:c r="E624" s="27" t="str">
        <x:v>2-02-30-04</x:v>
      </x:c>
      <x:c r="F624" s="25" t="str">
        <x:v>项目管理工程技术人员</x:v>
      </x:c>
      <x:c r="G624" s="27" t="str">
        <x:v>IC10</x:v>
      </x:c>
      <x:c r="H624" s="25" t="str">
        <x:v>新一代信息基础设施产业链</x:v>
      </x:c>
      <x:c r="I624" s="25" t="str">
        <x:v>中游</x:v>
      </x:c>
      <x:c r="J624" s="27" t="str">
        <x:v>ICN029</x:v>
      </x:c>
      <x:c r="K624" s="25" t="str">
        <x:v>5G网络、数据中心与云边平台</x:v>
      </x:c>
      <x:c r="L624" s="28" t="n">
        <x:v>66</x:v>
      </x:c>
      <x:c r="M624" s="25" t="str">
        <x:v>低</x:v>
      </x:c>
      <x:c r="N624" s="26" t="str">
        <x:v>通信</x:v>
      </x:c>
      <x:c r="O624" s="26" t="str">
        <x:v>岗位名称/描述出现“通信”，工作环节更贴近“中游”，因此关联到该节点。</x:v>
      </x:c>
      <x:c r="P624" s="26" t="str">
        <x:v>建议复核</x:v>
      </x:c>
    </x:row>
    <x:row r="625" ht="44" customHeight="1">
      <x:c r="A625" s="27" t="str">
        <x:v>REL000622</x:v>
      </x:c>
      <x:c r="B625" s="25" t="n">
        <x:v>12039</x:v>
      </x:c>
      <x:c r="C625" s="27" t="str">
        <x:v>IC-L3-1296</x:v>
      </x:c>
      <x:c r="D625" s="25" t="str">
        <x:v>电子工程师</x:v>
      </x:c>
      <x:c r="E625" s="27" t="str">
        <x:v>2-02-09-02</x:v>
      </x:c>
      <x:c r="F625" s="25" t="str">
        <x:v>电子元器件工程技术人员</x:v>
      </x:c>
      <x:c r="G625" s="27" t="str">
        <x:v>IC06</x:v>
      </x:c>
      <x:c r="H625" s="25" t="str">
        <x:v>智能物联与消费电子产业链</x:v>
      </x:c>
      <x:c r="I625" s="25" t="str">
        <x:v>上游</x:v>
      </x:c>
      <x:c r="J625" s="27" t="str">
        <x:v>ICN016</x:v>
      </x:c>
      <x:c r="K625" s="25" t="str">
        <x:v>传感器、芯片模组与基础器件</x:v>
      </x:c>
      <x:c r="L625" s="28" t="n">
        <x:v>60</x:v>
      </x:c>
      <x:c r="M625" s="25" t="str">
        <x:v>低</x:v>
      </x:c>
      <x:c r="N625" s="26" t="str">
        <x:v>电子元器件、pcb、电路设计、元器件、电路</x:v>
      </x:c>
      <x:c r="O625" s="26" t="str">
        <x:v>岗位名称/描述出现“电子元器件、pcb、电路设计”，工作环节更贴近“元器件、pcb、电路”，因此关联到该节点。</x:v>
      </x:c>
      <x:c r="P625" s="26" t="str">
        <x:v>建议复核</x:v>
      </x:c>
    </x:row>
    <x:row r="626" ht="44" customHeight="1">
      <x:c r="A626" s="27" t="str">
        <x:v>REL000623</x:v>
      </x:c>
      <x:c r="B626" s="25" t="n">
        <x:v>12040</x:v>
      </x:c>
      <x:c r="C626" s="27" t="str">
        <x:v>IC-L3-1297</x:v>
      </x:c>
      <x:c r="D626" s="25" t="str">
        <x:v>核心网工程师</x:v>
      </x:c>
      <x:c r="E626" s="27" t="str">
        <x:v>2-02-10-01</x:v>
      </x:c>
      <x:c r="F626" s="25" t="str">
        <x:v>通信工程技术人员</x:v>
      </x:c>
      <x:c r="G626" s="27" t="str">
        <x:v>IC10</x:v>
      </x:c>
      <x:c r="H626" s="25" t="str">
        <x:v>新一代信息基础设施产业链</x:v>
      </x:c>
      <x:c r="I626" s="25" t="str">
        <x:v>中游</x:v>
      </x:c>
      <x:c r="J626" s="27" t="str">
        <x:v>ICN029</x:v>
      </x:c>
      <x:c r="K626" s="25" t="str">
        <x:v>5G网络、数据中心与云边平台</x:v>
      </x:c>
      <x:c r="L626" s="28" t="n">
        <x:v>60</x:v>
      </x:c>
      <x:c r="M626" s="25" t="str">
        <x:v>低</x:v>
      </x:c>
      <x:c r="N626" s="26" t="str">
        <x:v>通信、网络架构、部署、架构</x:v>
      </x:c>
      <x:c r="O626" s="26" t="str">
        <x:v>岗位名称/描述出现“通信、网络架构”，工作环节更贴近“部署、架构”，因此关联到该节点。</x:v>
      </x:c>
      <x:c r="P626" s="26" t="str">
        <x:v>建议复核</x:v>
      </x:c>
    </x:row>
    <x:row r="627" ht="44" customHeight="1">
      <x:c r="A627" s="27" t="str">
        <x:v>REL000624</x:v>
      </x:c>
      <x:c r="B627" s="25" t="n">
        <x:v>12041</x:v>
      </x:c>
      <x:c r="C627" s="27" t="str">
        <x:v>IC-L3-1298</x:v>
      </x:c>
      <x:c r="D627" s="25" t="str">
        <x:v>PCB工程师</x:v>
      </x:c>
      <x:c r="E627" s="27" t="str">
        <x:v>2-02-09-02</x:v>
      </x:c>
      <x:c r="F627" s="25" t="str">
        <x:v>电子元器件工程技术人员</x:v>
      </x:c>
      <x:c r="G627" s="27" t="str">
        <x:v>IC06</x:v>
      </x:c>
      <x:c r="H627" s="25" t="str">
        <x:v>智能物联与消费电子产业链</x:v>
      </x:c>
      <x:c r="I627" s="25" t="str">
        <x:v>上游</x:v>
      </x:c>
      <x:c r="J627" s="27" t="str">
        <x:v>ICN016</x:v>
      </x:c>
      <x:c r="K627" s="25" t="str">
        <x:v>传感器、芯片模组与基础器件</x:v>
      </x:c>
      <x:c r="L627" s="28" t="n">
        <x:v>83</x:v>
      </x:c>
      <x:c r="M627" s="25" t="str">
        <x:v>高</x:v>
      </x:c>
      <x:c r="N627" s="26" t="str">
        <x:v>pcb、电子元器件、电子产品、电子行业、元器件、电路</x:v>
      </x:c>
      <x:c r="O627" s="26" t="str">
        <x:v>岗位名称/描述出现“pcb、电子元器件、电子产品、电子行业”，工作环节更贴近“pcb、元器件、电路”，因此关联到该节点。</x:v>
      </x:c>
      <x:c r="P627" s="26" t="str">
        <x:v>自动通过</x:v>
      </x:c>
    </x:row>
    <x:row r="628" ht="44" customHeight="1">
      <x:c r="A628" s="27" t="str">
        <x:v>REL000625</x:v>
      </x:c>
      <x:c r="B628" s="25" t="n">
        <x:v>12042</x:v>
      </x:c>
      <x:c r="C628" s="27" t="str">
        <x:v>IC-L3-1299</x:v>
      </x:c>
      <x:c r="D628" s="25" t="str">
        <x:v>SMT工程师</x:v>
      </x:c>
      <x:c r="E628" s="27" t="str">
        <x:v>2-02-09-02</x:v>
      </x:c>
      <x:c r="F628" s="25" t="str">
        <x:v>电子元器件工程技术人员</x:v>
      </x:c>
      <x:c r="G628" s="27" t="str">
        <x:v>IC06</x:v>
      </x:c>
      <x:c r="H628" s="25" t="str">
        <x:v>智能物联与消费电子产业链</x:v>
      </x:c>
      <x:c r="I628" s="25" t="str">
        <x:v>中游</x:v>
      </x:c>
      <x:c r="J628" s="27" t="str">
        <x:v>ICN017</x:v>
      </x:c>
      <x:c r="K628" s="25" t="str">
        <x:v>智能终端、家电与物联平台</x:v>
      </x:c>
      <x:c r="L628" s="28" t="n">
        <x:v>76</x:v>
      </x:c>
      <x:c r="M628" s="25" t="str">
        <x:v>中</x:v>
      </x:c>
      <x:c r="N628" s="26" t="str">
        <x:v>smt、电子元器件、电子产品、电子行业、生产、制造、产品</x:v>
      </x:c>
      <x:c r="O628" s="26" t="str">
        <x:v>岗位名称/描述出现“smt、电子元器件、电子产品、电子行业”，工作环节更贴近“电子产品、生产、制造、产品”，因此关联到该节点。</x:v>
      </x:c>
      <x:c r="P628" s="26" t="str">
        <x:v>自动通过</x:v>
      </x:c>
    </x:row>
    <x:row r="629" ht="44" customHeight="1">
      <x:c r="A629" s="27" t="str">
        <x:v>REL000626</x:v>
      </x:c>
      <x:c r="B629" s="25" t="n">
        <x:v>12043</x:v>
      </x:c>
      <x:c r="C629" s="27" t="str">
        <x:v>IC-L3-1300</x:v>
      </x:c>
      <x:c r="D629" s="25" t="str">
        <x:v>仪器/仪表/计量分析师</x:v>
      </x:c>
      <x:c r="E629" s="27" t="str">
        <x:v>2-02-09-02</x:v>
      </x:c>
      <x:c r="F629" s="25" t="str">
        <x:v>电子元器件工程技术人员</x:v>
      </x:c>
      <x:c r="G629" s="27" t="str">
        <x:v>IC06</x:v>
      </x:c>
      <x:c r="H629" s="25" t="str">
        <x:v>智能物联与消费电子产业链</x:v>
      </x:c>
      <x:c r="I629" s="25" t="str">
        <x:v>上游</x:v>
      </x:c>
      <x:c r="J629" s="27" t="str">
        <x:v>ICN016</x:v>
      </x:c>
      <x:c r="K629" s="25" t="str">
        <x:v>传感器、芯片模组与基础器件</x:v>
      </x:c>
      <x:c r="L629" s="28" t="n">
        <x:v>86</x:v>
      </x:c>
      <x:c r="M629" s="25" t="str">
        <x:v>高</x:v>
      </x:c>
      <x:c r="N629" s="26" t="str">
        <x:v>仪器、仪表、电子元器件、电子行业、元器件</x:v>
      </x:c>
      <x:c r="O629" s="26" t="str">
        <x:v>岗位名称/描述出现“仪器、仪表、电子元器件、电子行业”，工作环节更贴近“元器件”，因此关联到该节点。</x:v>
      </x:c>
      <x:c r="P629" s="26" t="str">
        <x:v>自动通过</x:v>
      </x:c>
    </x:row>
    <x:row r="630" ht="44" customHeight="1">
      <x:c r="A630" s="27" t="str">
        <x:v>REL000627</x:v>
      </x:c>
      <x:c r="B630" s="25" t="n">
        <x:v>12044</x:v>
      </x:c>
      <x:c r="C630" s="27" t="str">
        <x:v>IC-L3-1301</x:v>
      </x:c>
      <x:c r="D630" s="25" t="str">
        <x:v>变压器与磁电工程师</x:v>
      </x:c>
      <x:c r="E630" s="27" t="str">
        <x:v>2-02-09-02</x:v>
      </x:c>
      <x:c r="F630" s="25" t="str">
        <x:v>电子元器件工程技术人员</x:v>
      </x:c>
      <x:c r="G630" s="27" t="str">
        <x:v>IC06</x:v>
      </x:c>
      <x:c r="H630" s="25" t="str">
        <x:v>智能物联与消费电子产业链</x:v>
      </x:c>
      <x:c r="I630" s="25" t="str">
        <x:v>上游</x:v>
      </x:c>
      <x:c r="J630" s="27" t="str">
        <x:v>ICN016</x:v>
      </x:c>
      <x:c r="K630" s="25" t="str">
        <x:v>传感器、芯片模组与基础器件</x:v>
      </x:c>
      <x:c r="L630" s="28" t="n">
        <x:v>72</x:v>
      </x:c>
      <x:c r="M630" s="25" t="str">
        <x:v>中</x:v>
      </x:c>
      <x:c r="N630" s="26" t="str">
        <x:v>变压器、电子元器件、电子行业、元器件</x:v>
      </x:c>
      <x:c r="O630" s="26" t="str">
        <x:v>岗位名称/描述出现“变压器、电子元器件、电子行业”，工作环节更贴近“元器件”，因此关联到该节点。</x:v>
      </x:c>
      <x:c r="P630" s="26" t="str">
        <x:v>自动通过</x:v>
      </x:c>
    </x:row>
    <x:row r="631" ht="44" customHeight="1">
      <x:c r="A631" s="27" t="str">
        <x:v>REL000628</x:v>
      </x:c>
      <x:c r="B631" s="25" t="n">
        <x:v>12045</x:v>
      </x:c>
      <x:c r="C631" s="27" t="str">
        <x:v>IC-L3-1302</x:v>
      </x:c>
      <x:c r="D631" s="25" t="str">
        <x:v>安防系统工程师</x:v>
      </x:c>
      <x:c r="E631" s="27" t="str">
        <x:v>2-02-09-02</x:v>
      </x:c>
      <x:c r="F631" s="25" t="str">
        <x:v>电子元器件工程技术人员</x:v>
      </x:c>
      <x:c r="G631" s="27" t="str">
        <x:v>IC06</x:v>
      </x:c>
      <x:c r="H631" s="25" t="str">
        <x:v>智能物联与消费电子产业链</x:v>
      </x:c>
      <x:c r="I631" s="25" t="str">
        <x:v>上游</x:v>
      </x:c>
      <x:c r="J631" s="27" t="str">
        <x:v>ICN016</x:v>
      </x:c>
      <x:c r="K631" s="25" t="str">
        <x:v>传感器、芯片模组与基础器件</x:v>
      </x:c>
      <x:c r="L631" s="28" t="n">
        <x:v>58</x:v>
      </x:c>
      <x:c r="M631" s="25" t="str">
        <x:v>低</x:v>
      </x:c>
      <x:c r="N631" s="26" t="str">
        <x:v>电子元器件、物联网、电子行业、元器件</x:v>
      </x:c>
      <x:c r="O631" s="26" t="str">
        <x:v>岗位名称/描述出现“电子元器件、物联网、电子行业”，工作环节更贴近“元器件”，因此关联到该节点。</x:v>
      </x:c>
      <x:c r="P631" s="26" t="str">
        <x:v>建议复核</x:v>
      </x:c>
    </x:row>
    <x:row r="632" ht="44" customHeight="1">
      <x:c r="A632" s="27" t="str">
        <x:v>REL000629</x:v>
      </x:c>
      <x:c r="B632" s="25" t="n">
        <x:v>12046</x:v>
      </x:c>
      <x:c r="C632" s="27" t="str">
        <x:v>IC-L3-1303</x:v>
      </x:c>
      <x:c r="D632" s="25" t="str">
        <x:v>家用电器/数码产品研发</x:v>
      </x:c>
      <x:c r="E632" s="27" t="str">
        <x:v>2-02-09-02</x:v>
      </x:c>
      <x:c r="F632" s="25" t="str">
        <x:v>电子元器件工程技术人员</x:v>
      </x:c>
      <x:c r="G632" s="27" t="str">
        <x:v>IC06</x:v>
      </x:c>
      <x:c r="H632" s="25" t="str">
        <x:v>智能物联与消费电子产业链</x:v>
      </x:c>
      <x:c r="I632" s="25" t="str">
        <x:v>中游</x:v>
      </x:c>
      <x:c r="J632" s="27" t="str">
        <x:v>ICN017</x:v>
      </x:c>
      <x:c r="K632" s="25" t="str">
        <x:v>智能终端、家电与物联平台</x:v>
      </x:c>
      <x:c r="L632" s="28" t="n">
        <x:v>93</x:v>
      </x:c>
      <x:c r="M632" s="25" t="str">
        <x:v>高</x:v>
      </x:c>
      <x:c r="N632" s="26" t="str">
        <x:v>家用电器、电器、电子元器件、产品、生产、制造</x:v>
      </x:c>
      <x:c r="O632" s="26" t="str">
        <x:v>岗位名称/描述出现“家用电器、电器、电子元器件”，工作环节更贴近“产品、生产、制造”，因此关联到该节点。</x:v>
      </x:c>
      <x:c r="P632" s="26" t="str">
        <x:v>自动通过</x:v>
      </x:c>
    </x:row>
    <x:row r="633" ht="44" customHeight="1">
      <x:c r="A633" s="27" t="str">
        <x:v>REL000630</x:v>
      </x:c>
      <x:c r="B633" s="25" t="n">
        <x:v>12047</x:v>
      </x:c>
      <x:c r="C633" s="27" t="str">
        <x:v>IC-L3-1304</x:v>
      </x:c>
      <x:c r="D633" s="25" t="str">
        <x:v>嵌入式硬件开发</x:v>
      </x:c>
      <x:c r="E633" s="27" t="str">
        <x:v>2-02-10-03</x:v>
      </x:c>
      <x:c r="F633" s="25" t="str">
        <x:v>计算机软件工程技术人员</x:v>
      </x:c>
      <x:c r="G633" s="27" t="str">
        <x:v>IC06</x:v>
      </x:c>
      <x:c r="H633" s="25" t="str">
        <x:v>智能物联与消费电子产业链</x:v>
      </x:c>
      <x:c r="I633" s="25" t="str">
        <x:v>上游</x:v>
      </x:c>
      <x:c r="J633" s="27" t="str">
        <x:v>ICN016</x:v>
      </x:c>
      <x:c r="K633" s="25" t="str">
        <x:v>传感器、芯片模组与基础器件</x:v>
      </x:c>
      <x:c r="L633" s="28" t="n">
        <x:v>82</x:v>
      </x:c>
      <x:c r="M633" s="25" t="str">
        <x:v>高</x:v>
      </x:c>
      <x:c r="N633" s="26" t="str">
        <x:v>嵌入式、pcb、电子行业、电路设计、元器件、电路</x:v>
      </x:c>
      <x:c r="O633" s="26" t="str">
        <x:v>岗位名称/描述出现“嵌入式、pcb、电子行业、电路设计”，工作环节更贴近“嵌入式、元器件、pcb、电路”，因此关联到该节点。</x:v>
      </x:c>
      <x:c r="P633" s="26" t="str">
        <x:v>自动通过</x:v>
      </x:c>
    </x:row>
    <x:row r="634" ht="44" customHeight="1">
      <x:c r="A634" s="27" t="str">
        <x:v>REL000631</x:v>
      </x:c>
      <x:c r="B634" s="25" t="n">
        <x:v>12048</x:v>
      </x:c>
      <x:c r="C634" s="27" t="str">
        <x:v>IC-L3-1305</x:v>
      </x:c>
      <x:c r="D634" s="25" t="str">
        <x:v>嵌入式软件开发</x:v>
      </x:c>
      <x:c r="E634" s="27" t="str">
        <x:v>2-02-10-03</x:v>
      </x:c>
      <x:c r="F634" s="25" t="str">
        <x:v>计算机软件工程技术人员</x:v>
      </x:c>
      <x:c r="G634" s="27" t="str">
        <x:v>IC19</x:v>
      </x:c>
      <x:c r="H634" s="25" t="str">
        <x:v>软件与数字安全产业链</x:v>
      </x:c>
      <x:c r="I634" s="25" t="str">
        <x:v>中游</x:v>
      </x:c>
      <x:c r="J634" s="27" t="str">
        <x:v>ICN056</x:v>
      </x:c>
      <x:c r="K634" s="25" t="str">
        <x:v>应用软件、区块链平台与安全产品</x:v>
      </x:c>
      <x:c r="L634" s="28" t="n">
        <x:v>79</x:v>
      </x:c>
      <x:c r="M634" s="25" t="str">
        <x:v>中</x:v>
      </x:c>
      <x:c r="N634" s="26" t="str">
        <x:v>软件、软件开发、应用软件、测试</x:v>
      </x:c>
      <x:c r="O634" s="26" t="str">
        <x:v>岗位名称/描述出现“软件”，工作环节更贴近“软件开发、应用软件、测试”，因此关联到该节点。</x:v>
      </x:c>
      <x:c r="P634" s="26" t="str">
        <x:v>自动通过</x:v>
      </x:c>
    </x:row>
    <x:row r="635" ht="44" customHeight="1">
      <x:c r="A635" s="27" t="str">
        <x:v>REL000632</x:v>
      </x:c>
      <x:c r="B635" s="25" t="n">
        <x:v>12048</x:v>
      </x:c>
      <x:c r="C635" s="27" t="str">
        <x:v>IC-L3-1305</x:v>
      </x:c>
      <x:c r="D635" s="25" t="str">
        <x:v>嵌入式软件开发</x:v>
      </x:c>
      <x:c r="E635" s="27" t="str">
        <x:v>2-02-10-03</x:v>
      </x:c>
      <x:c r="F635" s="25" t="str">
        <x:v>计算机软件工程技术人员</x:v>
      </x:c>
      <x:c r="G635" s="27" t="str">
        <x:v>IC06</x:v>
      </x:c>
      <x:c r="H635" s="25" t="str">
        <x:v>智能物联与消费电子产业链</x:v>
      </x:c>
      <x:c r="I635" s="25" t="str">
        <x:v>上游</x:v>
      </x:c>
      <x:c r="J635" s="27" t="str">
        <x:v>ICN016</x:v>
      </x:c>
      <x:c r="K635" s="25" t="str">
        <x:v>传感器、芯片模组与基础器件</x:v>
      </x:c>
      <x:c r="L635" s="28" t="n">
        <x:v>77</x:v>
      </x:c>
      <x:c r="M635" s="25" t="str">
        <x:v>中</x:v>
      </x:c>
      <x:c r="N635" s="26" t="str">
        <x:v>嵌入式、硬件工程、电子行业</x:v>
      </x:c>
      <x:c r="O635" s="26" t="str">
        <x:v>岗位名称/描述出现“嵌入式、硬件工程、电子行业”，工作环节更贴近“嵌入式”，因此关联到该节点。</x:v>
      </x:c>
      <x:c r="P635" s="26" t="str">
        <x:v>自动通过</x:v>
      </x:c>
    </x:row>
    <x:row r="636" ht="44" customHeight="1">
      <x:c r="A636" s="27" t="str">
        <x:v>REL000633</x:v>
      </x:c>
      <x:c r="B636" s="25" t="n">
        <x:v>12050</x:v>
      </x:c>
      <x:c r="C636" s="27" t="str">
        <x:v>IC-L3-1307</x:v>
      </x:c>
      <x:c r="D636" s="25" t="str">
        <x:v>智能硬件装调员</x:v>
      </x:c>
      <x:c r="E636" s="27" t="str">
        <x:v>2-02-09-02</x:v>
      </x:c>
      <x:c r="F636" s="25" t="str">
        <x:v>电子元器件工程技术人员</x:v>
      </x:c>
      <x:c r="G636" s="27" t="str">
        <x:v>IC06</x:v>
      </x:c>
      <x:c r="H636" s="25" t="str">
        <x:v>智能物联与消费电子产业链</x:v>
      </x:c>
      <x:c r="I636" s="25" t="str">
        <x:v>上游</x:v>
      </x:c>
      <x:c r="J636" s="27" t="str">
        <x:v>ICN016</x:v>
      </x:c>
      <x:c r="K636" s="25" t="str">
        <x:v>传感器、芯片模组与基础器件</x:v>
      </x:c>
      <x:c r="L636" s="28" t="n">
        <x:v>74</x:v>
      </x:c>
      <x:c r="M636" s="25" t="str">
        <x:v>中</x:v>
      </x:c>
      <x:c r="N636" s="26" t="str">
        <x:v>智能硬件、电子元器件、物联网、电子行业、元器件</x:v>
      </x:c>
      <x:c r="O636" s="26" t="str">
        <x:v>岗位名称/描述出现“智能硬件、电子元器件、物联网、电子行业”，工作环节更贴近“元器件”，因此关联到该节点。</x:v>
      </x:c>
      <x:c r="P636" s="26" t="str">
        <x:v>自动通过</x:v>
      </x:c>
    </x:row>
    <x:row r="637" ht="44" customHeight="1">
      <x:c r="A637" s="27" t="str">
        <x:v>REL000634</x:v>
      </x:c>
      <x:c r="B637" s="25" t="n">
        <x:v>12051</x:v>
      </x:c>
      <x:c r="C637" s="27" t="str">
        <x:v>IC-L3-1308</x:v>
      </x:c>
      <x:c r="D637" s="25" t="str">
        <x:v>服务机器人应用技术员</x:v>
      </x:c>
      <x:c r="E637" s="27" t="str">
        <x:v>2-02-09-02</x:v>
      </x:c>
      <x:c r="F637" s="25" t="str">
        <x:v>电子元器件工程技术人员</x:v>
      </x:c>
      <x:c r="G637" s="27" t="str">
        <x:v>IC14</x:v>
      </x:c>
      <x:c r="H637" s="25" t="str">
        <x:v>机器人产业链</x:v>
      </x:c>
      <x:c r="I637" s="25" t="str">
        <x:v>下游</x:v>
      </x:c>
      <x:c r="J637" s="27" t="str">
        <x:v>ICN042</x:v>
      </x:c>
      <x:c r="K637" s="25" t="str">
        <x:v>工业、服务与特种场景应用</x:v>
      </x:c>
      <x:c r="L637" s="28" t="n">
        <x:v>94</x:v>
      </x:c>
      <x:c r="M637" s="25" t="str">
        <x:v>高</x:v>
      </x:c>
      <x:c r="N637" s="26" t="str">
        <x:v>机器人、服务机器人、机器人应用、场景</x:v>
      </x:c>
      <x:c r="O637" s="26" t="str">
        <x:v>岗位名称/描述出现“机器人、服务机器人”，工作环节更贴近“机器人应用、服务机器人、场景”，因此关联到该节点。</x:v>
      </x:c>
      <x:c r="P637" s="26" t="str">
        <x:v>自动通过</x:v>
      </x:c>
    </x:row>
    <x:row r="638" ht="44" customHeight="1">
      <x:c r="A638" s="27" t="str">
        <x:v>REL000635</x:v>
      </x:c>
      <x:c r="B638" s="25" t="n">
        <x:v>12051</x:v>
      </x:c>
      <x:c r="C638" s="27" t="str">
        <x:v>IC-L3-1308</x:v>
      </x:c>
      <x:c r="D638" s="25" t="str">
        <x:v>服务机器人应用技术员</x:v>
      </x:c>
      <x:c r="E638" s="27" t="str">
        <x:v>2-02-09-02</x:v>
      </x:c>
      <x:c r="F638" s="25" t="str">
        <x:v>电子元器件工程技术人员</x:v>
      </x:c>
      <x:c r="G638" s="27" t="str">
        <x:v>IC06</x:v>
      </x:c>
      <x:c r="H638" s="25" t="str">
        <x:v>智能物联与消费电子产业链</x:v>
      </x:c>
      <x:c r="I638" s="25" t="str">
        <x:v>上游</x:v>
      </x:c>
      <x:c r="J638" s="27" t="str">
        <x:v>ICN016</x:v>
      </x:c>
      <x:c r="K638" s="25" t="str">
        <x:v>传感器、芯片模组与基础器件</x:v>
      </x:c>
      <x:c r="L638" s="28" t="n">
        <x:v>58</x:v>
      </x:c>
      <x:c r="M638" s="25" t="str">
        <x:v>低</x:v>
      </x:c>
      <x:c r="N638" s="26" t="str">
        <x:v>电子元器件、物联网、电子行业、元器件</x:v>
      </x:c>
      <x:c r="O638" s="26" t="str">
        <x:v>岗位名称/描述出现“电子元器件、物联网、电子行业”，工作环节更贴近“元器件”，因此关联到该节点。</x:v>
      </x:c>
      <x:c r="P638" s="26" t="str">
        <x:v>建议复核</x:v>
      </x:c>
    </x:row>
    <x:row r="639" ht="44" customHeight="1">
      <x:c r="A639" s="27" t="str">
        <x:v>REL000636</x:v>
      </x:c>
      <x:c r="B639" s="25" t="n">
        <x:v>12052</x:v>
      </x:c>
      <x:c r="C639" s="27" t="str">
        <x:v>IC-L3-1309</x:v>
      </x:c>
      <x:c r="D639" s="25" t="str">
        <x:v>机器人调试工程师</x:v>
      </x:c>
      <x:c r="E639" s="27" t="str">
        <x:v>2-02-09-02</x:v>
      </x:c>
      <x:c r="F639" s="25" t="str">
        <x:v>电子元器件工程技术人员</x:v>
      </x:c>
      <x:c r="G639" s="27" t="str">
        <x:v>IC14</x:v>
      </x:c>
      <x:c r="H639" s="25" t="str">
        <x:v>机器人产业链</x:v>
      </x:c>
      <x:c r="I639" s="25" t="str">
        <x:v>中游</x:v>
      </x:c>
      <x:c r="J639" s="27" t="str">
        <x:v>ICN041</x:v>
      </x:c>
      <x:c r="K639" s="25" t="str">
        <x:v>机器人本体制造与系统集成</x:v>
      </x:c>
      <x:c r="L639" s="28" t="n">
        <x:v>75</x:v>
      </x:c>
      <x:c r="M639" s="25" t="str">
        <x:v>中</x:v>
      </x:c>
      <x:c r="N639" s="26" t="str">
        <x:v>机器人、调试、开发、生产</x:v>
      </x:c>
      <x:c r="O639" s="26" t="str">
        <x:v>岗位名称/描述出现“机器人”，工作环节更贴近“调试、开发、生产”，因此关联到该节点。</x:v>
      </x:c>
      <x:c r="P639" s="26" t="str">
        <x:v>自动通过</x:v>
      </x:c>
    </x:row>
    <x:row r="640" ht="44" customHeight="1">
      <x:c r="A640" s="27" t="str">
        <x:v>REL000637</x:v>
      </x:c>
      <x:c r="B640" s="25" t="n">
        <x:v>12053</x:v>
      </x:c>
      <x:c r="C640" s="27" t="str">
        <x:v>IC-L3-1310</x:v>
      </x:c>
      <x:c r="D640" s="25" t="str">
        <x:v>激光/光电子技术</x:v>
      </x:c>
      <x:c r="E640" s="27" t="str">
        <x:v>2-02-09-02</x:v>
      </x:c>
      <x:c r="F640" s="25" t="str">
        <x:v>电子元器件工程技术人员</x:v>
      </x:c>
      <x:c r="G640" s="27" t="str">
        <x:v>IC02</x:v>
      </x:c>
      <x:c r="H640" s="25" t="str">
        <x:v>高端装备与智能制造产业链</x:v>
      </x:c>
      <x:c r="I640" s="25" t="str">
        <x:v>中游</x:v>
      </x:c>
      <x:c r="J640" s="27" t="str">
        <x:v>ICN005</x:v>
      </x:c>
      <x:c r="K640" s="25" t="str">
        <x:v>高端装备制造与激光加工</x:v>
      </x:c>
      <x:c r="L640" s="28" t="n">
        <x:v>68</x:v>
      </x:c>
      <x:c r="M640" s="25" t="str">
        <x:v>中</x:v>
      </x:c>
      <x:c r="N640" s="26" t="str">
        <x:v>激光、生产、工艺</x:v>
      </x:c>
      <x:c r="O640" s="26" t="str">
        <x:v>岗位名称/描述出现“激光”，工作环节更贴近“生产、工艺”，因此关联到该节点。</x:v>
      </x:c>
      <x:c r="P640" s="26" t="str">
        <x:v>自动通过</x:v>
      </x:c>
    </x:row>
    <x:row r="641" ht="44" customHeight="1">
      <x:c r="A641" s="27" t="str">
        <x:v>REL000638</x:v>
      </x:c>
      <x:c r="B641" s="25" t="n">
        <x:v>12053</x:v>
      </x:c>
      <x:c r="C641" s="27" t="str">
        <x:v>IC-L3-1310</x:v>
      </x:c>
      <x:c r="D641" s="25" t="str">
        <x:v>激光/光电子技术</x:v>
      </x:c>
      <x:c r="E641" s="27" t="str">
        <x:v>2-02-09-02</x:v>
      </x:c>
      <x:c r="F641" s="25" t="str">
        <x:v>电子元器件工程技术人员</x:v>
      </x:c>
      <x:c r="G641" s="27" t="str">
        <x:v>IC06</x:v>
      </x:c>
      <x:c r="H641" s="25" t="str">
        <x:v>智能物联与消费电子产业链</x:v>
      </x:c>
      <x:c r="I641" s="25" t="str">
        <x:v>上游</x:v>
      </x:c>
      <x:c r="J641" s="27" t="str">
        <x:v>ICN016</x:v>
      </x:c>
      <x:c r="K641" s="25" t="str">
        <x:v>传感器、芯片模组与基础器件</x:v>
      </x:c>
      <x:c r="L641" s="28" t="n">
        <x:v>63</x:v>
      </x:c>
      <x:c r="M641" s="25" t="str">
        <x:v>低</x:v>
      </x:c>
      <x:c r="N641" s="26" t="str">
        <x:v>电子元器件、电子产品、电子行业、仪器、元器件</x:v>
      </x:c>
      <x:c r="O641" s="26" t="str">
        <x:v>岗位名称/描述出现“电子元器件、电子产品、电子行业、仪器”，工作环节更贴近“元器件”，因此关联到该节点。</x:v>
      </x:c>
      <x:c r="P641" s="26" t="str">
        <x:v>建议复核</x:v>
      </x:c>
    </x:row>
    <x:row r="642" ht="44" customHeight="1">
      <x:c r="A642" s="27" t="str">
        <x:v>REL000639</x:v>
      </x:c>
      <x:c r="B642" s="25" t="n">
        <x:v>12055</x:v>
      </x:c>
      <x:c r="C642" s="27" t="str">
        <x:v>IC-L3-1312</x:v>
      </x:c>
      <x:c r="D642" s="25" t="str">
        <x:v>电子/电器维修工程师/技师</x:v>
      </x:c>
      <x:c r="E642" s="27" t="str">
        <x:v>2-02-09-02</x:v>
      </x:c>
      <x:c r="F642" s="25" t="str">
        <x:v>电子元器件工程技术人员</x:v>
      </x:c>
      <x:c r="G642" s="27" t="str">
        <x:v>IC06</x:v>
      </x:c>
      <x:c r="H642" s="25" t="str">
        <x:v>智能物联与消费电子产业链</x:v>
      </x:c>
      <x:c r="I642" s="25" t="str">
        <x:v>上游</x:v>
      </x:c>
      <x:c r="J642" s="27" t="str">
        <x:v>ICN016</x:v>
      </x:c>
      <x:c r="K642" s="25" t="str">
        <x:v>传感器、芯片模组与基础器件</x:v>
      </x:c>
      <x:c r="L642" s="28" t="n">
        <x:v>72</x:v>
      </x:c>
      <x:c r="M642" s="25" t="str">
        <x:v>中</x:v>
      </x:c>
      <x:c r="N642" s="26" t="str">
        <x:v>电器、电子元器件、电子行业、元器件</x:v>
      </x:c>
      <x:c r="O642" s="26" t="str">
        <x:v>岗位名称/描述出现“电器、电子元器件、电子行业”，工作环节更贴近“元器件”，因此关联到该节点。</x:v>
      </x:c>
      <x:c r="P642" s="26" t="str">
        <x:v>自动通过</x:v>
      </x:c>
    </x:row>
    <x:row r="643" ht="44" customHeight="1">
      <x:c r="A643" s="27" t="str">
        <x:v>REL000640</x:v>
      </x:c>
      <x:c r="B643" s="25" t="n">
        <x:v>12056</x:v>
      </x:c>
      <x:c r="C643" s="27" t="str">
        <x:v>IC-L3-1313</x:v>
      </x:c>
      <x:c r="D643" s="25" t="str">
        <x:v>电子产品经理/产品工程师</x:v>
      </x:c>
      <x:c r="E643" s="27" t="str">
        <x:v>2-02-09-02</x:v>
      </x:c>
      <x:c r="F643" s="25" t="str">
        <x:v>电子元器件工程技术人员</x:v>
      </x:c>
      <x:c r="G643" s="27" t="str">
        <x:v>IC06</x:v>
      </x:c>
      <x:c r="H643" s="25" t="str">
        <x:v>智能物联与消费电子产业链</x:v>
      </x:c>
      <x:c r="I643" s="25" t="str">
        <x:v>中游</x:v>
      </x:c>
      <x:c r="J643" s="27" t="str">
        <x:v>ICN017</x:v>
      </x:c>
      <x:c r="K643" s="25" t="str">
        <x:v>智能终端、家电与物联平台</x:v>
      </x:c>
      <x:c r="L643" s="28" t="n">
        <x:v>84</x:v>
      </x:c>
      <x:c r="M643" s="25" t="str">
        <x:v>高</x:v>
      </x:c>
      <x:c r="N643" s="26" t="str">
        <x:v>电子产品、电子元器件、电子行业、产品、生产</x:v>
      </x:c>
      <x:c r="O643" s="26" t="str">
        <x:v>岗位名称/描述出现“电子产品、电子元器件、电子行业”，工作环节更贴近“电子产品、产品、生产”，因此关联到该节点。</x:v>
      </x:c>
      <x:c r="P643" s="26" t="str">
        <x:v>自动通过</x:v>
      </x:c>
    </x:row>
    <x:row r="644" ht="44" customHeight="1">
      <x:c r="A644" s="27" t="str">
        <x:v>REL000641</x:v>
      </x:c>
      <x:c r="B644" s="25" t="n">
        <x:v>12057</x:v>
      </x:c>
      <x:c r="C644" s="27" t="str">
        <x:v>IC-L3-1314</x:v>
      </x:c>
      <x:c r="D644" s="25" t="str">
        <x:v>电子元器件工程师</x:v>
      </x:c>
      <x:c r="E644" s="27" t="str">
        <x:v>2-02-09-02</x:v>
      </x:c>
      <x:c r="F644" s="25" t="str">
        <x:v>电子元器件工程技术人员</x:v>
      </x:c>
      <x:c r="G644" s="27" t="str">
        <x:v>IC06</x:v>
      </x:c>
      <x:c r="H644" s="25" t="str">
        <x:v>智能物联与消费电子产业链</x:v>
      </x:c>
      <x:c r="I644" s="25" t="str">
        <x:v>上游</x:v>
      </x:c>
      <x:c r="J644" s="27" t="str">
        <x:v>ICN016</x:v>
      </x:c>
      <x:c r="K644" s="25" t="str">
        <x:v>传感器、芯片模组与基础器件</x:v>
      </x:c>
      <x:c r="L644" s="28" t="n">
        <x:v>84</x:v>
      </x:c>
      <x:c r="M644" s="25" t="str">
        <x:v>高</x:v>
      </x:c>
      <x:c r="N644" s="26" t="str">
        <x:v>电子元器件、电子产品、电子行业、电路设计、元器件、电路</x:v>
      </x:c>
      <x:c r="O644" s="26" t="str">
        <x:v>岗位名称/描述出现“电子元器件、电子产品、电子行业、电路设计”，工作环节更贴近“元器件、电路”，因此关联到该节点。</x:v>
      </x:c>
      <x:c r="P644" s="26" t="str">
        <x:v>自动通过</x:v>
      </x:c>
    </x:row>
    <x:row r="645" ht="44" customHeight="1">
      <x:c r="A645" s="27" t="str">
        <x:v>REL000642</x:v>
      </x:c>
      <x:c r="B645" s="25" t="n">
        <x:v>12058</x:v>
      </x:c>
      <x:c r="C645" s="27" t="str">
        <x:v>IC-L3-1315</x:v>
      </x:c>
      <x:c r="D645" s="25" t="str">
        <x:v>电子工程师</x:v>
      </x:c>
      <x:c r="E645" s="27" t="str">
        <x:v>2-02-09-02</x:v>
      </x:c>
      <x:c r="F645" s="25" t="str">
        <x:v>电子元器件工程技术人员</x:v>
      </x:c>
      <x:c r="G645" s="27" t="str">
        <x:v>IC06</x:v>
      </x:c>
      <x:c r="H645" s="25" t="str">
        <x:v>智能物联与消费电子产业链</x:v>
      </x:c>
      <x:c r="I645" s="25" t="str">
        <x:v>上游</x:v>
      </x:c>
      <x:c r="J645" s="27" t="str">
        <x:v>ICN016</x:v>
      </x:c>
      <x:c r="K645" s="25" t="str">
        <x:v>传感器、芯片模组与基础器件</x:v>
      </x:c>
      <x:c r="L645" s="28" t="n">
        <x:v>71</x:v>
      </x:c>
      <x:c r="M645" s="25" t="str">
        <x:v>中</x:v>
      </x:c>
      <x:c r="N645" s="26" t="str">
        <x:v>电子元器件、pcb、电子产品、电子行业、电路设计、元器件、电路</x:v>
      </x:c>
      <x:c r="O645" s="26" t="str">
        <x:v>岗位名称/描述出现“电子元器件、pcb、电子产品、电子行业、电路设计”，工作环节更贴近“元器件、pcb、电路”，因此关联到该节点。</x:v>
      </x:c>
      <x:c r="P645" s="26" t="str">
        <x:v>自动通过</x:v>
      </x:c>
    </x:row>
    <x:row r="646" ht="44" customHeight="1">
      <x:c r="A646" s="27" t="str">
        <x:v>REL000643</x:v>
      </x:c>
      <x:c r="B646" s="25" t="n">
        <x:v>12059</x:v>
      </x:c>
      <x:c r="C646" s="27" t="str">
        <x:v>IC-L3-1316</x:v>
      </x:c>
      <x:c r="D646" s="25" t="str">
        <x:v>电子工艺工程师</x:v>
      </x:c>
      <x:c r="E646" s="27" t="str">
        <x:v>2-02-09-02</x:v>
      </x:c>
      <x:c r="F646" s="25" t="str">
        <x:v>电子元器件工程技术人员</x:v>
      </x:c>
      <x:c r="G646" s="27" t="str">
        <x:v>IC06</x:v>
      </x:c>
      <x:c r="H646" s="25" t="str">
        <x:v>智能物联与消费电子产业链</x:v>
      </x:c>
      <x:c r="I646" s="25" t="str">
        <x:v>中游</x:v>
      </x:c>
      <x:c r="J646" s="27" t="str">
        <x:v>ICN017</x:v>
      </x:c>
      <x:c r="K646" s="25" t="str">
        <x:v>智能终端、家电与物联平台</x:v>
      </x:c>
      <x:c r="L646" s="28" t="n">
        <x:v>60</x:v>
      </x:c>
      <x:c r="M646" s="25" t="str">
        <x:v>低</x:v>
      </x:c>
      <x:c r="N646" s="26" t="str">
        <x:v>电子元器件、电子产品、电子行业、生产、制造、产品</x:v>
      </x:c>
      <x:c r="O646" s="26" t="str">
        <x:v>岗位名称/描述出现“电子元器件、电子产品、电子行业”，工作环节更贴近“电子产品、生产、制造、产品”，因此关联到该节点。</x:v>
      </x:c>
      <x:c r="P646" s="26" t="str">
        <x:v>建议复核</x:v>
      </x:c>
    </x:row>
    <x:row r="647" ht="44" customHeight="1">
      <x:c r="A647" s="27" t="str">
        <x:v>REL000644</x:v>
      </x:c>
      <x:c r="B647" s="25" t="n">
        <x:v>12060</x:v>
      </x:c>
      <x:c r="C647" s="27" t="str">
        <x:v>IC-L3-1317</x:v>
      </x:c>
      <x:c r="D647" s="25" t="str">
        <x:v>电子文档工程师</x:v>
      </x:c>
      <x:c r="E647" s="27" t="str">
        <x:v>2-02-09-02</x:v>
      </x:c>
      <x:c r="F647" s="25" t="str">
        <x:v>电子元器件工程技术人员</x:v>
      </x:c>
      <x:c r="G647" s="27" t="str">
        <x:v>IC06</x:v>
      </x:c>
      <x:c r="H647" s="25" t="str">
        <x:v>智能物联与消费电子产业链</x:v>
      </x:c>
      <x:c r="I647" s="25" t="str">
        <x:v>中游</x:v>
      </x:c>
      <x:c r="J647" s="27" t="str">
        <x:v>ICN017</x:v>
      </x:c>
      <x:c r="K647" s="25" t="str">
        <x:v>智能终端、家电与物联平台</x:v>
      </x:c>
      <x:c r="L647" s="28" t="n">
        <x:v>60</x:v>
      </x:c>
      <x:c r="M647" s="25" t="str">
        <x:v>低</x:v>
      </x:c>
      <x:c r="N647" s="26" t="str">
        <x:v>电子元器件、电子产品、电子行业、生产、制造、产品</x:v>
      </x:c>
      <x:c r="O647" s="26" t="str">
        <x:v>岗位名称/描述出现“电子元器件、电子产品、电子行业”，工作环节更贴近“电子产品、生产、制造、产品”，因此关联到该节点。</x:v>
      </x:c>
      <x:c r="P647" s="26" t="str">
        <x:v>建议复核</x:v>
      </x:c>
    </x:row>
    <x:row r="648" ht="44" customHeight="1">
      <x:c r="A648" s="27" t="str">
        <x:v>REL000645</x:v>
      </x:c>
      <x:c r="B648" s="25" t="n">
        <x:v>12061</x:v>
      </x:c>
      <x:c r="C648" s="27" t="str">
        <x:v>IC-L3-1318</x:v>
      </x:c>
      <x:c r="D648" s="25" t="str">
        <x:v>电子设备工程师</x:v>
      </x:c>
      <x:c r="E648" s="27" t="str">
        <x:v>2-02-09-02</x:v>
      </x:c>
      <x:c r="F648" s="25" t="str">
        <x:v>电子元器件工程技术人员</x:v>
      </x:c>
      <x:c r="G648" s="27" t="str">
        <x:v>IC06</x:v>
      </x:c>
      <x:c r="H648" s="25" t="str">
        <x:v>智能物联与消费电子产业链</x:v>
      </x:c>
      <x:c r="I648" s="25" t="str">
        <x:v>上游</x:v>
      </x:c>
      <x:c r="J648" s="27" t="str">
        <x:v>ICN016</x:v>
      </x:c>
      <x:c r="K648" s="25" t="str">
        <x:v>传感器、芯片模组与基础器件</x:v>
      </x:c>
      <x:c r="L648" s="28" t="n">
        <x:v>63</x:v>
      </x:c>
      <x:c r="M648" s="25" t="str">
        <x:v>低</x:v>
      </x:c>
      <x:c r="N648" s="26" t="str">
        <x:v>电子元器件、pcb、电子行业、电路设计、元器件、电路</x:v>
      </x:c>
      <x:c r="O648" s="26" t="str">
        <x:v>岗位名称/描述出现“电子元器件、pcb、电子行业、电路设计”，工作环节更贴近“元器件、pcb、电路”，因此关联到该节点。</x:v>
      </x:c>
      <x:c r="P648" s="26" t="str">
        <x:v>建议复核</x:v>
      </x:c>
    </x:row>
    <x:row r="649" ht="44" customHeight="1">
      <x:c r="A649" s="27" t="str">
        <x:v>REL000646</x:v>
      </x:c>
      <x:c r="B649" s="25" t="n">
        <x:v>12062</x:v>
      </x:c>
      <x:c r="C649" s="27" t="str">
        <x:v>IC-L3-1319</x:v>
      </x:c>
      <x:c r="D649" s="25" t="str">
        <x:v>电子软件开发</x:v>
      </x:c>
      <x:c r="E649" s="27" t="str">
        <x:v>2-02-09-02</x:v>
      </x:c>
      <x:c r="F649" s="25" t="str">
        <x:v>电子元器件工程技术人员</x:v>
      </x:c>
      <x:c r="G649" s="27" t="str">
        <x:v>IC19</x:v>
      </x:c>
      <x:c r="H649" s="25" t="str">
        <x:v>软件与数字安全产业链</x:v>
      </x:c>
      <x:c r="I649" s="25" t="str">
        <x:v>中游</x:v>
      </x:c>
      <x:c r="J649" s="27" t="str">
        <x:v>ICN056</x:v>
      </x:c>
      <x:c r="K649" s="25" t="str">
        <x:v>应用软件、区块链平台与安全产品</x:v>
      </x:c>
      <x:c r="L649" s="28" t="n">
        <x:v>74</x:v>
      </x:c>
      <x:c r="M649" s="25" t="str">
        <x:v>中</x:v>
      </x:c>
      <x:c r="N649" s="26" t="str">
        <x:v>软件、软件开发、测试</x:v>
      </x:c>
      <x:c r="O649" s="26" t="str">
        <x:v>岗位名称/描述出现“软件”，工作环节更贴近“软件开发、测试”，因此关联到该节点。</x:v>
      </x:c>
      <x:c r="P649" s="26" t="str">
        <x:v>自动通过</x:v>
      </x:c>
    </x:row>
    <x:row r="650" ht="44" customHeight="1">
      <x:c r="A650" s="27" t="str">
        <x:v>REL000647</x:v>
      </x:c>
      <x:c r="B650" s="25" t="n">
        <x:v>12062</x:v>
      </x:c>
      <x:c r="C650" s="27" t="str">
        <x:v>IC-L3-1319</x:v>
      </x:c>
      <x:c r="D650" s="25" t="str">
        <x:v>电子软件开发</x:v>
      </x:c>
      <x:c r="E650" s="27" t="str">
        <x:v>2-02-09-02</x:v>
      </x:c>
      <x:c r="F650" s="25" t="str">
        <x:v>电子元器件工程技术人员</x:v>
      </x:c>
      <x:c r="G650" s="27" t="str">
        <x:v>IC06</x:v>
      </x:c>
      <x:c r="H650" s="25" t="str">
        <x:v>智能物联与消费电子产业链</x:v>
      </x:c>
      <x:c r="I650" s="25" t="str">
        <x:v>上游</x:v>
      </x:c>
      <x:c r="J650" s="27" t="str">
        <x:v>ICN016</x:v>
      </x:c>
      <x:c r="K650" s="25" t="str">
        <x:v>传感器、芯片模组与基础器件</x:v>
      </x:c>
      <x:c r="L650" s="28" t="n">
        <x:v>63</x:v>
      </x:c>
      <x:c r="M650" s="25" t="str">
        <x:v>低</x:v>
      </x:c>
      <x:c r="N650" s="26" t="str">
        <x:v>电子元器件、嵌入式、硬件工程、电子产品、电子行业、元器件</x:v>
      </x:c>
      <x:c r="O650" s="26" t="str">
        <x:v>岗位名称/描述出现“电子元器件、嵌入式、硬件工程、电子产品、电子行业”，工作环节更贴近“元器件、嵌入式”，因此关联到该节点。</x:v>
      </x:c>
      <x:c r="P650" s="26" t="str">
        <x:v>建议复核</x:v>
      </x:c>
    </x:row>
    <x:row r="651" ht="44" customHeight="1">
      <x:c r="A651" s="27" t="str">
        <x:v>REL000648</x:v>
      </x:c>
      <x:c r="B651" s="25" t="n">
        <x:v>12064</x:v>
      </x:c>
      <x:c r="C651" s="27" t="str">
        <x:v>IC-L3-1321</x:v>
      </x:c>
      <x:c r="D651" s="25" t="str">
        <x:v>电气工程师</x:v>
      </x:c>
      <x:c r="E651" s="27" t="str">
        <x:v>2-02-09-02</x:v>
      </x:c>
      <x:c r="F651" s="25" t="str">
        <x:v>电子元器件工程技术人员</x:v>
      </x:c>
      <x:c r="G651" s="27" t="str">
        <x:v>IC05</x:v>
      </x:c>
      <x:c r="H651" s="25" t="str">
        <x:v>新能源与电力装备产业链</x:v>
      </x:c>
      <x:c r="I651" s="25" t="str">
        <x:v>中游</x:v>
      </x:c>
      <x:c r="J651" s="27" t="str">
        <x:v>ICN014</x:v>
      </x:c>
      <x:c r="K651" s="25" t="str">
        <x:v>发电、储能与输配电装备</x:v>
      </x:c>
      <x:c r="L651" s="28" t="n">
        <x:v>69</x:v>
      </x:c>
      <x:c r="M651" s="25" t="str">
        <x:v>中</x:v>
      </x:c>
      <x:c r="N651" s="26" t="str">
        <x:v>电气工程、生产、制造、调试</x:v>
      </x:c>
      <x:c r="O651" s="26" t="str">
        <x:v>岗位名称/描述出现“电气工程”，工作环节更贴近“生产、制造、调试”，因此关联到该节点。</x:v>
      </x:c>
      <x:c r="P651" s="26" t="str">
        <x:v>自动通过</x:v>
      </x:c>
    </x:row>
    <x:row r="652" ht="44" customHeight="1">
      <x:c r="A652" s="27" t="str">
        <x:v>REL000649</x:v>
      </x:c>
      <x:c r="B652" s="25" t="n">
        <x:v>12065</x:v>
      </x:c>
      <x:c r="C652" s="27" t="str">
        <x:v>IC-L3-1322</x:v>
      </x:c>
      <x:c r="D652" s="25" t="str">
        <x:v>电池/电源开发</x:v>
      </x:c>
      <x:c r="E652" s="27" t="str">
        <x:v>2-02-09-02</x:v>
      </x:c>
      <x:c r="F652" s="25" t="str">
        <x:v>电子元器件工程技术人员</x:v>
      </x:c>
      <x:c r="G652" s="27" t="str">
        <x:v>IC05</x:v>
      </x:c>
      <x:c r="H652" s="25" t="str">
        <x:v>新能源与电力装备产业链</x:v>
      </x:c>
      <x:c r="I652" s="25" t="str">
        <x:v>中游</x:v>
      </x:c>
      <x:c r="J652" s="27" t="str">
        <x:v>ICN014</x:v>
      </x:c>
      <x:c r="K652" s="25" t="str">
        <x:v>发电、储能与输配电装备</x:v>
      </x:c>
      <x:c r="L652" s="28" t="n">
        <x:v>70</x:v>
      </x:c>
      <x:c r="M652" s="25" t="str">
        <x:v>中</x:v>
      </x:c>
      <x:c r="N652" s="26" t="str">
        <x:v>电池、能源、生产、制造</x:v>
      </x:c>
      <x:c r="O652" s="26" t="str">
        <x:v>岗位名称/描述出现“电池、能源”，工作环节更贴近“生产、制造”，因此关联到该节点。</x:v>
      </x:c>
      <x:c r="P652" s="26" t="str">
        <x:v>自动通过</x:v>
      </x:c>
    </x:row>
    <x:row r="653" ht="44" customHeight="1">
      <x:c r="A653" s="27" t="str">
        <x:v>REL000650</x:v>
      </x:c>
      <x:c r="B653" s="25" t="n">
        <x:v>12065</x:v>
      </x:c>
      <x:c r="C653" s="27" t="str">
        <x:v>IC-L3-1322</x:v>
      </x:c>
      <x:c r="D653" s="25" t="str">
        <x:v>电池/电源开发</x:v>
      </x:c>
      <x:c r="E653" s="27" t="str">
        <x:v>2-02-09-02</x:v>
      </x:c>
      <x:c r="F653" s="25" t="str">
        <x:v>电子元器件工程技术人员</x:v>
      </x:c>
      <x:c r="G653" s="27" t="str">
        <x:v>IC06</x:v>
      </x:c>
      <x:c r="H653" s="25" t="str">
        <x:v>智能物联与消费电子产业链</x:v>
      </x:c>
      <x:c r="I653" s="25" t="str">
        <x:v>中游</x:v>
      </x:c>
      <x:c r="J653" s="27" t="str">
        <x:v>ICN017</x:v>
      </x:c>
      <x:c r="K653" s="25" t="str">
        <x:v>智能终端、家电与物联平台</x:v>
      </x:c>
      <x:c r="L653" s="28" t="n">
        <x:v>59</x:v>
      </x:c>
      <x:c r="M653" s="25" t="str">
        <x:v>低</x:v>
      </x:c>
      <x:c r="N653" s="26" t="str">
        <x:v>电子元器件、硬件工程、电子行业、生产、制造、产品</x:v>
      </x:c>
      <x:c r="O653" s="26" t="str">
        <x:v>岗位名称/描述出现“电子元器件、硬件工程、电子行业”，工作环节更贴近“生产、制造、产品”，因此关联到该节点。</x:v>
      </x:c>
      <x:c r="P653" s="26" t="str">
        <x:v>建议复核</x:v>
      </x:c>
    </x:row>
    <x:row r="654" ht="44" customHeight="1">
      <x:c r="A654" s="27" t="str">
        <x:v>REL000651</x:v>
      </x:c>
      <x:c r="B654" s="25" t="n">
        <x:v>12066</x:v>
      </x:c>
      <x:c r="C654" s="27" t="str">
        <x:v>IC-L3-1323</x:v>
      </x:c>
      <x:c r="D654" s="25" t="str">
        <x:v>电路工程师/技术员</x:v>
      </x:c>
      <x:c r="E654" s="27" t="str">
        <x:v>2-02-11-01</x:v>
      </x:c>
      <x:c r="F654" s="25" t="str">
        <x:v>电工电器工程技术人员</x:v>
      </x:c>
      <x:c r="G654" s="27" t="str">
        <x:v>IC06</x:v>
      </x:c>
      <x:c r="H654" s="25" t="str">
        <x:v>智能物联与消费电子产业链</x:v>
      </x:c>
      <x:c r="I654" s="25" t="str">
        <x:v>上游</x:v>
      </x:c>
      <x:c r="J654" s="27" t="str">
        <x:v>ICN016</x:v>
      </x:c>
      <x:c r="K654" s="25" t="str">
        <x:v>传感器、芯片模组与基础器件</x:v>
      </x:c>
      <x:c r="L654" s="28" t="n">
        <x:v>65</x:v>
      </x:c>
      <x:c r="M654" s="25" t="str">
        <x:v>低</x:v>
      </x:c>
      <x:c r="N654" s="26" t="str">
        <x:v>电器、pcb、电子行业、电路设计、电路、元器件</x:v>
      </x:c>
      <x:c r="O654" s="26" t="str">
        <x:v>岗位名称/描述出现“电器、pcb、电子行业、电路设计”，工作环节更贴近“电路、元器件、pcb”，因此关联到该节点。</x:v>
      </x:c>
      <x:c r="P654" s="26" t="str">
        <x:v>建议复核</x:v>
      </x:c>
    </x:row>
    <x:row r="655" ht="44" customHeight="1">
      <x:c r="A655" s="27" t="str">
        <x:v>REL000652</x:v>
      </x:c>
      <x:c r="B655" s="25" t="n">
        <x:v>12067</x:v>
      </x:c>
      <x:c r="C655" s="27" t="str">
        <x:v>IC-L3-1324</x:v>
      </x:c>
      <x:c r="D655" s="25" t="str">
        <x:v>硬件工程师</x:v>
      </x:c>
      <x:c r="E655" s="27" t="str">
        <x:v>2-02-09-02</x:v>
      </x:c>
      <x:c r="F655" s="25" t="str">
        <x:v>电子元器件工程技术人员</x:v>
      </x:c>
      <x:c r="G655" s="27" t="str">
        <x:v>IC06</x:v>
      </x:c>
      <x:c r="H655" s="25" t="str">
        <x:v>智能物联与消费电子产业链</x:v>
      </x:c>
      <x:c r="I655" s="25" t="str">
        <x:v>上游</x:v>
      </x:c>
      <x:c r="J655" s="27" t="str">
        <x:v>ICN016</x:v>
      </x:c>
      <x:c r="K655" s="25" t="str">
        <x:v>传感器、芯片模组与基础器件</x:v>
      </x:c>
      <x:c r="L655" s="28" t="n">
        <x:v>74</x:v>
      </x:c>
      <x:c r="M655" s="25" t="str">
        <x:v>中</x:v>
      </x:c>
      <x:c r="N655" s="26" t="str">
        <x:v>硬件工程、电子元器件、电子行业、元器件、电路</x:v>
      </x:c>
      <x:c r="O655" s="26" t="str">
        <x:v>岗位名称/描述出现“硬件工程、电子元器件、电子行业”，工作环节更贴近“元器件、电路”，因此关联到该节点。</x:v>
      </x:c>
      <x:c r="P655" s="26" t="str">
        <x:v>自动通过</x:v>
      </x:c>
    </x:row>
    <x:row r="656" ht="44" customHeight="1">
      <x:c r="A656" s="27" t="str">
        <x:v>REL000653</x:v>
      </x:c>
      <x:c r="B656" s="25" t="n">
        <x:v>12069</x:v>
      </x:c>
      <x:c r="C656" s="27" t="str">
        <x:v>IC-L3-1326</x:v>
      </x:c>
      <x:c r="D656" s="25" t="str">
        <x:v>自动控制工程师/技术员</x:v>
      </x:c>
      <x:c r="E656" s="27" t="str">
        <x:v>2-02-09-02</x:v>
      </x:c>
      <x:c r="F656" s="25" t="str">
        <x:v>电子元器件工程技术人员</x:v>
      </x:c>
      <x:c r="G656" s="27" t="str">
        <x:v>IC06</x:v>
      </x:c>
      <x:c r="H656" s="25" t="str">
        <x:v>智能物联与消费电子产业链</x:v>
      </x:c>
      <x:c r="I656" s="25" t="str">
        <x:v>中游</x:v>
      </x:c>
      <x:c r="J656" s="27" t="str">
        <x:v>ICN017</x:v>
      </x:c>
      <x:c r="K656" s="25" t="str">
        <x:v>智能终端、家电与物联平台</x:v>
      </x:c>
      <x:c r="L656" s="28" t="n">
        <x:v>73</x:v>
      </x:c>
      <x:c r="M656" s="25" t="str">
        <x:v>中</x:v>
      </x:c>
      <x:c r="N656" s="26" t="str">
        <x:v>自动控制、电子元器件、电子行业、生产、制造、产品</x:v>
      </x:c>
      <x:c r="O656" s="26" t="str">
        <x:v>岗位名称/描述出现“自动控制、电子元器件、电子行业”，工作环节更贴近“生产、制造、产品”，因此关联到该节点。</x:v>
      </x:c>
      <x:c r="P656" s="26" t="str">
        <x:v>自动通过</x:v>
      </x:c>
    </x:row>
    <x:row r="657" ht="44" customHeight="1">
      <x:c r="A657" s="27" t="str">
        <x:v>REL000654</x:v>
      </x:c>
      <x:c r="B657" s="25" t="n">
        <x:v>12070</x:v>
      </x:c>
      <x:c r="C657" s="27" t="str">
        <x:v>IC-L3-1327</x:v>
      </x:c>
      <x:c r="D657" s="25" t="str">
        <x:v>计量工程师</x:v>
      </x:c>
      <x:c r="E657" s="27" t="str">
        <x:v>2-02-09-02</x:v>
      </x:c>
      <x:c r="F657" s="25" t="str">
        <x:v>电子元器件工程技术人员</x:v>
      </x:c>
      <x:c r="G657" s="27" t="str">
        <x:v>IC06</x:v>
      </x:c>
      <x:c r="H657" s="25" t="str">
        <x:v>智能物联与消费电子产业链</x:v>
      </x:c>
      <x:c r="I657" s="25" t="str">
        <x:v>上游</x:v>
      </x:c>
      <x:c r="J657" s="27" t="str">
        <x:v>ICN016</x:v>
      </x:c>
      <x:c r="K657" s="25" t="str">
        <x:v>传感器、芯片模组与基础器件</x:v>
      </x:c>
      <x:c r="L657" s="28" t="n">
        <x:v>59</x:v>
      </x:c>
      <x:c r="M657" s="25" t="str">
        <x:v>低</x:v>
      </x:c>
      <x:c r="N657" s="26" t="str">
        <x:v>电子元器件、电子行业、仪器、元器件</x:v>
      </x:c>
      <x:c r="O657" s="26" t="str">
        <x:v>岗位名称/描述出现“电子元器件、电子行业、仪器”，工作环节更贴近“元器件”，因此关联到该节点。</x:v>
      </x:c>
      <x:c r="P657" s="26" t="str">
        <x:v>建议复核</x:v>
      </x:c>
    </x:row>
    <x:row r="658" ht="44" customHeight="1">
      <x:c r="A658" s="27" t="str">
        <x:v>REL000655</x:v>
      </x:c>
      <x:c r="B658" s="25" t="n">
        <x:v>12071</x:v>
      </x:c>
      <x:c r="C658" s="27" t="str">
        <x:v>IC-L3-1328</x:v>
      </x:c>
      <x:c r="D658" s="25" t="str">
        <x:v>高级硬件工程师</x:v>
      </x:c>
      <x:c r="E658" s="27" t="str">
        <x:v>2-02-09-02</x:v>
      </x:c>
      <x:c r="F658" s="25" t="str">
        <x:v>电子元器件工程技术人员</x:v>
      </x:c>
      <x:c r="G658" s="27" t="str">
        <x:v>IC06</x:v>
      </x:c>
      <x:c r="H658" s="25" t="str">
        <x:v>智能物联与消费电子产业链</x:v>
      </x:c>
      <x:c r="I658" s="25" t="str">
        <x:v>上游</x:v>
      </x:c>
      <x:c r="J658" s="27" t="str">
        <x:v>ICN016</x:v>
      </x:c>
      <x:c r="K658" s="25" t="str">
        <x:v>传感器、芯片模组与基础器件</x:v>
      </x:c>
      <x:c r="L658" s="28" t="n">
        <x:v>75</x:v>
      </x:c>
      <x:c r="M658" s="25" t="str">
        <x:v>中</x:v>
      </x:c>
      <x:c r="N658" s="26" t="str">
        <x:v>硬件工程、电子元器件、电子行业、元器件、电路、硬件设计</x:v>
      </x:c>
      <x:c r="O658" s="26" t="str">
        <x:v>岗位名称/描述出现“硬件工程、电子元器件、电子行业”，工作环节更贴近“元器件、电路、硬件设计”，因此关联到该节点。</x:v>
      </x:c>
      <x:c r="P658" s="26" t="str">
        <x:v>自动通过</x:v>
      </x:c>
    </x:row>
    <x:row r="659" ht="44" customHeight="1">
      <x:c r="A659" s="27" t="str">
        <x:v>REL000656</x:v>
      </x:c>
      <x:c r="B659" s="25" t="n">
        <x:v>12072</x:v>
      </x:c>
      <x:c r="C659" s="27" t="str">
        <x:v>IC-L3-1329</x:v>
      </x:c>
      <x:c r="D659" s="25" t="str">
        <x:v>产品运营</x:v>
      </x:c>
      <x:c r="E659" s="27" t="str">
        <x:v>2-02-09-02</x:v>
      </x:c>
      <x:c r="F659" s="25" t="str">
        <x:v>电子元器件工程技术人员</x:v>
      </x:c>
      <x:c r="G659" s="27" t="str">
        <x:v>IC01</x:v>
      </x:c>
      <x:c r="H659" s="25" t="str">
        <x:v>数据要素与数字经济产业链</x:v>
      </x:c>
      <x:c r="I659" s="25" t="str">
        <x:v>中游</x:v>
      </x:c>
      <x:c r="J659" s="27" t="str">
        <x:v>ICN002</x:v>
      </x:c>
      <x:c r="K659" s="25" t="str">
        <x:v>数据治理、流通与服务</x:v>
      </x:c>
      <x:c r="L659" s="28" t="n">
        <x:v>69</x:v>
      </x:c>
      <x:c r="M659" s="25" t="str">
        <x:v>中</x:v>
      </x:c>
      <x:c r="N659" s="26" t="str">
        <x:v>产品运营、数据分析</x:v>
      </x:c>
      <x:c r="O659" s="26" t="str">
        <x:v>岗位名称/描述出现“产品运营、数据分析”，工作环节更贴近“数据分析”，因此关联到该节点。</x:v>
      </x:c>
      <x:c r="P659" s="26" t="str">
        <x:v>自动通过</x:v>
      </x:c>
    </x:row>
    <x:row r="660" ht="44" customHeight="1">
      <x:c r="A660" s="27" t="str">
        <x:v>REL000657</x:v>
      </x:c>
      <x:c r="B660" s="25" t="n">
        <x:v>12074</x:v>
      </x:c>
      <x:c r="C660" s="27" t="str">
        <x:v>IC-L3-1331</x:v>
      </x:c>
      <x:c r="D660" s="25" t="str">
        <x:v>新媒体运营</x:v>
      </x:c>
      <x:c r="E660" s="27" t="str">
        <x:v>2-02-09-02</x:v>
      </x:c>
      <x:c r="F660" s="25" t="str">
        <x:v>电子元器件工程技术人员</x:v>
      </x:c>
      <x:c r="G660" s="27" t="str">
        <x:v>IC01</x:v>
      </x:c>
      <x:c r="H660" s="25" t="str">
        <x:v>数据要素与数字经济产业链</x:v>
      </x:c>
      <x:c r="I660" s="25" t="str">
        <x:v>下游</x:v>
      </x:c>
      <x:c r="J660" s="27" t="str">
        <x:v>ICN003</x:v>
      </x:c>
      <x:c r="K660" s="25" t="str">
        <x:v>数字经济场景应用与内容创意</x:v>
      </x:c>
      <x:c r="L660" s="28" t="n">
        <x:v>76</x:v>
      </x:c>
      <x:c r="M660" s="25" t="str">
        <x:v>中</x:v>
      </x:c>
      <x:c r="N660" s="26" t="str">
        <x:v>新媒体、数据分析、内容创意、品牌</x:v>
      </x:c>
      <x:c r="O660" s="26" t="str">
        <x:v>岗位名称/描述出现“新媒体、数据分析、内容创意”，工作环节更贴近“新媒体、品牌”，因此关联到该节点。</x:v>
      </x:c>
      <x:c r="P660" s="26" t="str">
        <x:v>自动通过</x:v>
      </x:c>
    </x:row>
    <x:row r="661" ht="44" customHeight="1">
      <x:c r="A661" s="27" t="str">
        <x:v>REL000658</x:v>
      </x:c>
      <x:c r="B661" s="25" t="n">
        <x:v>12075</x:v>
      </x:c>
      <x:c r="C661" s="27" t="str">
        <x:v>IC-L3-1332</x:v>
      </x:c>
      <x:c r="D661" s="25" t="str">
        <x:v>嵌入式硬件开发</x:v>
      </x:c>
      <x:c r="E661" s="27" t="str">
        <x:v>2-02-10-03</x:v>
      </x:c>
      <x:c r="F661" s="25" t="str">
        <x:v>计算机软件工程技术人员</x:v>
      </x:c>
      <x:c r="G661" s="27" t="str">
        <x:v>IC06</x:v>
      </x:c>
      <x:c r="H661" s="25" t="str">
        <x:v>智能物联与消费电子产业链</x:v>
      </x:c>
      <x:c r="I661" s="25" t="str">
        <x:v>上游</x:v>
      </x:c>
      <x:c r="J661" s="27" t="str">
        <x:v>ICN016</x:v>
      </x:c>
      <x:c r="K661" s="25" t="str">
        <x:v>传感器、芯片模组与基础器件</x:v>
      </x:c>
      <x:c r="L661" s="28" t="n">
        <x:v>81</x:v>
      </x:c>
      <x:c r="M661" s="25" t="str">
        <x:v>中</x:v>
      </x:c>
      <x:c r="N661" s="26" t="str">
        <x:v>嵌入式、智能手机、电子行业、电路设计、电路、硬件设计</x:v>
      </x:c>
      <x:c r="O661" s="26" t="str">
        <x:v>岗位名称/描述出现“嵌入式、智能手机、电子行业、电路设计”，工作环节更贴近“嵌入式、电路、硬件设计”，因此关联到该节点。</x:v>
      </x:c>
      <x:c r="P661" s="26" t="str">
        <x:v>自动通过</x:v>
      </x:c>
    </x:row>
    <x:row r="662" ht="44" customHeight="1">
      <x:c r="A662" s="27" t="str">
        <x:v>REL000659</x:v>
      </x:c>
      <x:c r="B662" s="25" t="n">
        <x:v>12076</x:v>
      </x:c>
      <x:c r="C662" s="27" t="str">
        <x:v>IC-L3-1333</x:v>
      </x:c>
      <x:c r="D662" s="25" t="str">
        <x:v>硬件工程师</x:v>
      </x:c>
      <x:c r="E662" s="27" t="str">
        <x:v>2-02-09-02</x:v>
      </x:c>
      <x:c r="F662" s="25" t="str">
        <x:v>电子元器件工程技术人员</x:v>
      </x:c>
      <x:c r="G662" s="27" t="str">
        <x:v>IC06</x:v>
      </x:c>
      <x:c r="H662" s="25" t="str">
        <x:v>智能物联与消费电子产业链</x:v>
      </x:c>
      <x:c r="I662" s="25" t="str">
        <x:v>上游</x:v>
      </x:c>
      <x:c r="J662" s="27" t="str">
        <x:v>ICN016</x:v>
      </x:c>
      <x:c r="K662" s="25" t="str">
        <x:v>传感器、芯片模组与基础器件</x:v>
      </x:c>
      <x:c r="L662" s="28" t="n">
        <x:v>77</x:v>
      </x:c>
      <x:c r="M662" s="25" t="str">
        <x:v>中</x:v>
      </x:c>
      <x:c r="N662" s="26" t="str">
        <x:v>硬件工程、电子元器件、pcb、电子行业、元器件、电路</x:v>
      </x:c>
      <x:c r="O662" s="26" t="str">
        <x:v>岗位名称/描述出现“硬件工程、电子元器件、pcb、电子行业”，工作环节更贴近“元器件、pcb、电路”，因此关联到该节点。</x:v>
      </x:c>
      <x:c r="P662" s="26" t="str">
        <x:v>自动通过</x:v>
      </x:c>
    </x:row>
    <x:row r="663" ht="44" customHeight="1">
      <x:c r="A663" s="27" t="str">
        <x:v>REL000660</x:v>
      </x:c>
      <x:c r="B663" s="25" t="n">
        <x:v>12078</x:v>
      </x:c>
      <x:c r="C663" s="27" t="str">
        <x:v>IC-L3-1335</x:v>
      </x:c>
      <x:c r="D663" s="25" t="str">
        <x:v>高级硬件工程师</x:v>
      </x:c>
      <x:c r="E663" s="27" t="str">
        <x:v>2-02-09-02</x:v>
      </x:c>
      <x:c r="F663" s="25" t="str">
        <x:v>电子元器件工程技术人员</x:v>
      </x:c>
      <x:c r="G663" s="27" t="str">
        <x:v>IC06</x:v>
      </x:c>
      <x:c r="H663" s="25" t="str">
        <x:v>智能物联与消费电子产业链</x:v>
      </x:c>
      <x:c r="I663" s="25" t="str">
        <x:v>上游</x:v>
      </x:c>
      <x:c r="J663" s="27" t="str">
        <x:v>ICN016</x:v>
      </x:c>
      <x:c r="K663" s="25" t="str">
        <x:v>传感器、芯片模组与基础器件</x:v>
      </x:c>
      <x:c r="L663" s="28" t="n">
        <x:v>75</x:v>
      </x:c>
      <x:c r="M663" s="25" t="str">
        <x:v>中</x:v>
      </x:c>
      <x:c r="N663" s="26" t="str">
        <x:v>硬件工程、电子元器件、电子行业、元器件、电路、硬件设计</x:v>
      </x:c>
      <x:c r="O663" s="26" t="str">
        <x:v>岗位名称/描述出现“硬件工程、电子元器件、电子行业”，工作环节更贴近“元器件、电路、硬件设计”，因此关联到该节点。</x:v>
      </x:c>
      <x:c r="P663" s="26" t="str">
        <x:v>自动通过</x:v>
      </x:c>
    </x:row>
    <x:row r="664" ht="44" customHeight="1">
      <x:c r="A664" s="27" t="str">
        <x:v>REL000661</x:v>
      </x:c>
      <x:c r="B664" s="25" t="n">
        <x:v>12079</x:v>
      </x:c>
      <x:c r="C664" s="27" t="str">
        <x:v>IC-L3-1336</x:v>
      </x:c>
      <x:c r="D664" s="25" t="str">
        <x:v>模具设计</x:v>
      </x:c>
      <x:c r="E664" s="27" t="str">
        <x:v>2-02-09-02</x:v>
      </x:c>
      <x:c r="F664" s="25" t="str">
        <x:v>电子元器件工程技术人员</x:v>
      </x:c>
      <x:c r="G664" s="27" t="str">
        <x:v>IC02</x:v>
      </x:c>
      <x:c r="H664" s="25" t="str">
        <x:v>高端装备与智能制造产业链</x:v>
      </x:c>
      <x:c r="I664" s="25" t="str">
        <x:v>上游</x:v>
      </x:c>
      <x:c r="J664" s="27" t="str">
        <x:v>ICN004</x:v>
      </x:c>
      <x:c r="K664" s="25" t="str">
        <x:v>关键基础件与工业母机</x:v>
      </x:c>
      <x:c r="L664" s="28" t="n">
        <x:v>71</x:v>
      </x:c>
      <x:c r="M664" s="25" t="str">
        <x:v>中</x:v>
      </x:c>
      <x:c r="N664" s="26" t="str">
        <x:v>模具</x:v>
      </x:c>
      <x:c r="O664" s="26" t="str">
        <x:v>岗位名称/描述出现“模具”，工作环节更贴近“模具”，因此关联到该节点。</x:v>
      </x:c>
      <x:c r="P664" s="26" t="str">
        <x:v>自动通过</x:v>
      </x:c>
    </x:row>
    <x:row r="665" ht="44" customHeight="1">
      <x:c r="A665" s="27" t="str">
        <x:v>REL000662</x:v>
      </x:c>
      <x:c r="B665" s="25" t="n">
        <x:v>12080</x:v>
      </x:c>
      <x:c r="C665" s="27" t="str">
        <x:v>IC-L3-1337</x:v>
      </x:c>
      <x:c r="D665" s="25" t="str">
        <x:v>材料工程师</x:v>
      </x:c>
      <x:c r="E665" s="27" t="str">
        <x:v>2-02-09-02</x:v>
      </x:c>
      <x:c r="F665" s="25" t="str">
        <x:v>电子元器件工程技术人员</x:v>
      </x:c>
      <x:c r="G665" s="27" t="str">
        <x:v>IC12</x:v>
      </x:c>
      <x:c r="H665" s="25" t="str">
        <x:v>新材料产业链</x:v>
      </x:c>
      <x:c r="I665" s="25" t="str">
        <x:v>中游</x:v>
      </x:c>
      <x:c r="J665" s="27" t="str">
        <x:v>ICN035</x:v>
      </x:c>
      <x:c r="K665" s="25" t="str">
        <x:v>先进材料制备与加工</x:v>
      </x:c>
      <x:c r="L665" s="28" t="n">
        <x:v>71</x:v>
      </x:c>
      <x:c r="M665" s="25" t="str">
        <x:v>中</x:v>
      </x:c>
      <x:c r="N665" s="26" t="str">
        <x:v>材料工程、新材料、材料研发、工艺</x:v>
      </x:c>
      <x:c r="O665" s="26" t="str">
        <x:v>岗位名称/描述出现“材料工程、新材料、材料研发”，工作环节更贴近“工艺”，因此关联到该节点。</x:v>
      </x:c>
      <x:c r="P665" s="26" t="str">
        <x:v>自动通过</x:v>
      </x:c>
    </x:row>
    <x:row r="666" ht="44" customHeight="1">
      <x:c r="A666" s="27" t="str">
        <x:v>REL000663</x:v>
      </x:c>
      <x:c r="B666" s="25" t="n">
        <x:v>12081</x:v>
      </x:c>
      <x:c r="C666" s="27" t="str">
        <x:v>IC-L3-1338</x:v>
      </x:c>
      <x:c r="D666" s="25" t="str">
        <x:v>射频工程师</x:v>
      </x:c>
      <x:c r="E666" s="27" t="str">
        <x:v>2-02-09-02</x:v>
      </x:c>
      <x:c r="F666" s="25" t="str">
        <x:v>电子元器件工程技术人员</x:v>
      </x:c>
      <x:c r="G666" s="27" t="str">
        <x:v>IC16</x:v>
      </x:c>
      <x:c r="H666" s="25" t="str">
        <x:v>半导体与集成电路产业链</x:v>
      </x:c>
      <x:c r="I666" s="25" t="str">
        <x:v>中游</x:v>
      </x:c>
      <x:c r="J666" s="27" t="str">
        <x:v>ICN047</x:v>
      </x:c>
      <x:c r="K666" s="25" t="str">
        <x:v>芯片设计、制造、封测与集成电路</x:v>
      </x:c>
      <x:c r="L666" s="28" t="n">
        <x:v>67</x:v>
      </x:c>
      <x:c r="M666" s="25" t="str">
        <x:v>低</x:v>
      </x:c>
      <x:c r="N666" s="26" t="str">
        <x:v>射频、测试</x:v>
      </x:c>
      <x:c r="O666" s="26" t="str">
        <x:v>岗位名称/描述出现“射频”，工作环节更贴近“测试”，因此关联到该节点。</x:v>
      </x:c>
      <x:c r="P666" s="26" t="str">
        <x:v>建议复核</x:v>
      </x:c>
    </x:row>
    <x:row r="667" ht="44" customHeight="1">
      <x:c r="A667" s="27" t="str">
        <x:v>REL000664</x:v>
      </x:c>
      <x:c r="B667" s="25" t="n">
        <x:v>12086</x:v>
      </x:c>
      <x:c r="C667" s="27" t="str">
        <x:v>IC-L3-1343</x:v>
      </x:c>
      <x:c r="D667" s="25" t="str">
        <x:v>通信电源工程师</x:v>
      </x:c>
      <x:c r="E667" s="27" t="str">
        <x:v>2-02-09-02</x:v>
      </x:c>
      <x:c r="F667" s="25" t="str">
        <x:v>电子元器件工程技术人员</x:v>
      </x:c>
      <x:c r="G667" s="27" t="str">
        <x:v>IC10</x:v>
      </x:c>
      <x:c r="H667" s="25" t="str">
        <x:v>新一代信息基础设施产业链</x:v>
      </x:c>
      <x:c r="I667" s="25" t="str">
        <x:v>上游</x:v>
      </x:c>
      <x:c r="J667" s="27" t="str">
        <x:v>ICN028</x:v>
      </x:c>
      <x:c r="K667" s="25" t="str">
        <x:v>通信与算力硬件设备</x:v>
      </x:c>
      <x:c r="L667" s="28" t="n">
        <x:v>67</x:v>
      </x:c>
      <x:c r="M667" s="25" t="str">
        <x:v>低</x:v>
      </x:c>
      <x:c r="N667" s="26" t="str">
        <x:v>通信、通信设备、硬件、设计</x:v>
      </x:c>
      <x:c r="O667" s="26" t="str">
        <x:v>岗位名称/描述出现“通信”，工作环节更贴近“通信设备、硬件、设计”，因此关联到该节点。</x:v>
      </x:c>
      <x:c r="P667" s="26" t="str">
        <x:v>建议复核</x:v>
      </x:c>
    </x:row>
    <x:row r="668" ht="44" customHeight="1">
      <x:c r="A668" s="27" t="str">
        <x:v>REL000665</x:v>
      </x:c>
      <x:c r="B668" s="25" t="n">
        <x:v>12087</x:v>
      </x:c>
      <x:c r="C668" s="27" t="str">
        <x:v>IC-L3-1344</x:v>
      </x:c>
      <x:c r="D668" s="25" t="str">
        <x:v>通信技术工程师</x:v>
      </x:c>
      <x:c r="E668" s="27" t="str">
        <x:v>2-02-09-02</x:v>
      </x:c>
      <x:c r="F668" s="25" t="str">
        <x:v>电子元器件工程技术人员</x:v>
      </x:c>
      <x:c r="G668" s="27" t="str">
        <x:v>IC10</x:v>
      </x:c>
      <x:c r="H668" s="25" t="str">
        <x:v>新一代信息基础设施产业链</x:v>
      </x:c>
      <x:c r="I668" s="25" t="str">
        <x:v>上游</x:v>
      </x:c>
      <x:c r="J668" s="27" t="str">
        <x:v>ICN028</x:v>
      </x:c>
      <x:c r="K668" s="25" t="str">
        <x:v>通信与算力硬件设备</x:v>
      </x:c>
      <x:c r="L668" s="28" t="n">
        <x:v>68</x:v>
      </x:c>
      <x:c r="M668" s="25" t="str">
        <x:v>中</x:v>
      </x:c>
      <x:c r="N668" s="26" t="str">
        <x:v>通信、通信设备、硬件、研发、设计</x:v>
      </x:c>
      <x:c r="O668" s="26" t="str">
        <x:v>岗位名称/描述出现“通信”，工作环节更贴近“通信设备、硬件、研发、设计”，因此关联到该节点。</x:v>
      </x:c>
      <x:c r="P668" s="26" t="str">
        <x:v>自动通过</x:v>
      </x:c>
    </x:row>
    <x:row r="669" ht="44" customHeight="1">
      <x:c r="A669" s="27" t="str">
        <x:v>REL000666</x:v>
      </x:c>
      <x:c r="B669" s="25" t="n">
        <x:v>12088</x:v>
      </x:c>
      <x:c r="C669" s="27" t="str">
        <x:v>IC-L3-1345</x:v>
      </x:c>
      <x:c r="D669" s="25" t="str">
        <x:v>数据通信工程师</x:v>
      </x:c>
      <x:c r="E669" s="27" t="str">
        <x:v>2-02-10-03</x:v>
      </x:c>
      <x:c r="F669" s="25" t="str">
        <x:v>计算机软件工程技术人员</x:v>
      </x:c>
      <x:c r="G669" s="27" t="str">
        <x:v>IC10</x:v>
      </x:c>
      <x:c r="H669" s="25" t="str">
        <x:v>新一代信息基础设施产业链</x:v>
      </x:c>
      <x:c r="I669" s="25" t="str">
        <x:v>上游</x:v>
      </x:c>
      <x:c r="J669" s="27" t="str">
        <x:v>ICN028</x:v>
      </x:c>
      <x:c r="K669" s="25" t="str">
        <x:v>通信与算力硬件设备</x:v>
      </x:c>
      <x:c r="L669" s="28" t="n">
        <x:v>68</x:v>
      </x:c>
      <x:c r="M669" s="25" t="str">
        <x:v>中</x:v>
      </x:c>
      <x:c r="N669" s="26" t="str">
        <x:v>通信、通信设备、硬件、研发、设计</x:v>
      </x:c>
      <x:c r="O669" s="26" t="str">
        <x:v>岗位名称/描述出现“通信”，工作环节更贴近“通信设备、硬件、研发、设计”，因此关联到该节点。</x:v>
      </x:c>
      <x:c r="P669" s="26" t="str">
        <x:v>自动通过</x:v>
      </x:c>
    </x:row>
    <x:row r="670" ht="44" customHeight="1">
      <x:c r="A670" s="27" t="str">
        <x:v>REL000667</x:v>
      </x:c>
      <x:c r="B670" s="25" t="n">
        <x:v>12089</x:v>
      </x:c>
      <x:c r="C670" s="27" t="str">
        <x:v>IC-L3-1346</x:v>
      </x:c>
      <x:c r="D670" s="25" t="str">
        <x:v>BI工程师</x:v>
      </x:c>
      <x:c r="E670" s="27" t="str">
        <x:v>2-02-09-02</x:v>
      </x:c>
      <x:c r="F670" s="25" t="str">
        <x:v>电子元器件工程技术人员</x:v>
      </x:c>
      <x:c r="G670" s="27" t="str">
        <x:v>IC01</x:v>
      </x:c>
      <x:c r="H670" s="25" t="str">
        <x:v>数据要素与数字经济产业链</x:v>
      </x:c>
      <x:c r="I670" s="25" t="str">
        <x:v>中游</x:v>
      </x:c>
      <x:c r="J670" s="27" t="str">
        <x:v>ICN002</x:v>
      </x:c>
      <x:c r="K670" s="25" t="str">
        <x:v>数据治理、流通与服务</x:v>
      </x:c>
      <x:c r="L670" s="28" t="n">
        <x:v>83</x:v>
      </x:c>
      <x:c r="M670" s="25" t="str">
        <x:v>高</x:v>
      </x:c>
      <x:c r="N670" s="26" t="str">
        <x:v>bi工程、数据分析、数据仓库、商业智能、bi、建模</x:v>
      </x:c>
      <x:c r="O670" s="26" t="str">
        <x:v>岗位名称/描述出现“bi工程、数据分析、数据仓库、商业智能”，工作环节更贴近“bi、数据分析、数据仓库、商业智能、建模”，因此关联到该节点。</x:v>
      </x:c>
      <x:c r="P670" s="26" t="str">
        <x:v>自动通过</x:v>
      </x:c>
    </x:row>
    <x:row r="671" ht="44" customHeight="1">
      <x:c r="A671" s="27" t="str">
        <x:v>REL000668</x:v>
      </x:c>
      <x:c r="B671" s="25" t="n">
        <x:v>12090</x:v>
      </x:c>
      <x:c r="C671" s="27" t="str">
        <x:v>IC-L3-1347</x:v>
      </x:c>
      <x:c r="D671" s="25" t="str">
        <x:v>数据分析师</x:v>
      </x:c>
      <x:c r="E671" s="27" t="str">
        <x:v>2-02-10-03</x:v>
      </x:c>
      <x:c r="F671" s="25" t="str">
        <x:v>计算机软件工程技术人员</x:v>
      </x:c>
      <x:c r="G671" s="27" t="str">
        <x:v>IC01</x:v>
      </x:c>
      <x:c r="H671" s="25" t="str">
        <x:v>数据要素与数字经济产业链</x:v>
      </x:c>
      <x:c r="I671" s="25" t="str">
        <x:v>中游</x:v>
      </x:c>
      <x:c r="J671" s="27" t="str">
        <x:v>ICN002</x:v>
      </x:c>
      <x:c r="K671" s="25" t="str">
        <x:v>数据治理、流通与服务</x:v>
      </x:c>
      <x:c r="L671" s="28" t="n">
        <x:v>77</x:v>
      </x:c>
      <x:c r="M671" s="25" t="str">
        <x:v>中</x:v>
      </x:c>
      <x:c r="N671" s="26" t="str">
        <x:v>数据分析、商业智能、建模</x:v>
      </x:c>
      <x:c r="O671" s="26" t="str">
        <x:v>岗位名称/描述出现“数据分析、商业智能”，工作环节更贴近“数据分析、商业智能、建模”，因此关联到该节点。</x:v>
      </x:c>
      <x:c r="P671" s="26" t="str">
        <x:v>自动通过</x:v>
      </x:c>
    </x:row>
    <x:row r="672" ht="44" customHeight="1">
      <x:c r="A672" s="27" t="str">
        <x:v>REL000669</x:v>
      </x:c>
      <x:c r="B672" s="25" t="n">
        <x:v>12091</x:v>
      </x:c>
      <x:c r="C672" s="27" t="str">
        <x:v>IC-L3-1348</x:v>
      </x:c>
      <x:c r="D672" s="25" t="str">
        <x:v>测试开发</x:v>
      </x:c>
      <x:c r="E672" s="27" t="str">
        <x:v>2-02-09-02</x:v>
      </x:c>
      <x:c r="F672" s="25" t="str">
        <x:v>电子元器件工程技术人员</x:v>
      </x:c>
      <x:c r="G672" s="27" t="str">
        <x:v>IC19</x:v>
      </x:c>
      <x:c r="H672" s="25" t="str">
        <x:v>软件与数字安全产业链</x:v>
      </x:c>
      <x:c r="I672" s="25" t="str">
        <x:v>中游</x:v>
      </x:c>
      <x:c r="J672" s="27" t="str">
        <x:v>ICN056</x:v>
      </x:c>
      <x:c r="K672" s="25" t="str">
        <x:v>应用软件、区块链平台与安全产品</x:v>
      </x:c>
      <x:c r="L672" s="28" t="n">
        <x:v>73</x:v>
      </x:c>
      <x:c r="M672" s="25" t="str">
        <x:v>中</x:v>
      </x:c>
      <x:c r="N672" s="26" t="str">
        <x:v>测试开发、测试</x:v>
      </x:c>
      <x:c r="O672" s="26" t="str">
        <x:v>岗位名称/描述出现“测试开发”，工作环节更贴近“测试”，因此关联到该节点。</x:v>
      </x:c>
      <x:c r="P672" s="26" t="str">
        <x:v>自动通过</x:v>
      </x:c>
    </x:row>
    <x:row r="673" ht="44" customHeight="1">
      <x:c r="A673" s="27" t="str">
        <x:v>REL000670</x:v>
      </x:c>
      <x:c r="B673" s="25" t="n">
        <x:v>12094</x:v>
      </x:c>
      <x:c r="C673" s="27" t="str">
        <x:v>IC-L3-1351</x:v>
      </x:c>
      <x:c r="D673" s="25" t="str">
        <x:v>封装工程师</x:v>
      </x:c>
      <x:c r="E673" s="27" t="str">
        <x:v>2-02-09-02</x:v>
      </x:c>
      <x:c r="F673" s="25" t="str">
        <x:v>电子元器件工程技术人员</x:v>
      </x:c>
      <x:c r="G673" s="27" t="str">
        <x:v>IC16</x:v>
      </x:c>
      <x:c r="H673" s="25" t="str">
        <x:v>半导体与集成电路产业链</x:v>
      </x:c>
      <x:c r="I673" s="25" t="str">
        <x:v>中游</x:v>
      </x:c>
      <x:c r="J673" s="27" t="str">
        <x:v>ICN047</x:v>
      </x:c>
      <x:c r="K673" s="25" t="str">
        <x:v>芯片设计、制造、封测与集成电路</x:v>
      </x:c>
      <x:c r="L673" s="28" t="n">
        <x:v>77</x:v>
      </x:c>
      <x:c r="M673" s="25" t="str">
        <x:v>中</x:v>
      </x:c>
      <x:c r="N673" s="26" t="str">
        <x:v>封装、芯片、验证、测试</x:v>
      </x:c>
      <x:c r="O673" s="26" t="str">
        <x:v>岗位名称/描述出现“封装、芯片”，工作环节更贴近“封装、验证、测试”，因此关联到该节点。</x:v>
      </x:c>
      <x:c r="P673" s="26" t="str">
        <x:v>自动通过</x:v>
      </x:c>
    </x:row>
    <x:row r="674" ht="44" customHeight="1">
      <x:c r="A674" s="27" t="str">
        <x:v>REL000671</x:v>
      </x:c>
      <x:c r="B674" s="25" t="n">
        <x:v>12095</x:v>
      </x:c>
      <x:c r="C674" s="27" t="str">
        <x:v>IC-L3-1352</x:v>
      </x:c>
      <x:c r="D674" s="25" t="str">
        <x:v>通信设备工程师</x:v>
      </x:c>
      <x:c r="E674" s="27" t="str">
        <x:v>2-02-09-02</x:v>
      </x:c>
      <x:c r="F674" s="25" t="str">
        <x:v>电子元器件工程技术人员</x:v>
      </x:c>
      <x:c r="G674" s="27" t="str">
        <x:v>IC10</x:v>
      </x:c>
      <x:c r="H674" s="25" t="str">
        <x:v>新一代信息基础设施产业链</x:v>
      </x:c>
      <x:c r="I674" s="25" t="str">
        <x:v>上游</x:v>
      </x:c>
      <x:c r="J674" s="27" t="str">
        <x:v>ICN028</x:v>
      </x:c>
      <x:c r="K674" s="25" t="str">
        <x:v>通信与算力硬件设备</x:v>
      </x:c>
      <x:c r="L674" s="28" t="n">
        <x:v>74</x:v>
      </x:c>
      <x:c r="M674" s="25" t="str">
        <x:v>中</x:v>
      </x:c>
      <x:c r="N674" s="26" t="str">
        <x:v>通信、通信设备、硬件、研发、设计</x:v>
      </x:c>
      <x:c r="O674" s="26" t="str">
        <x:v>岗位名称/描述出现“通信”，工作环节更贴近“通信设备、硬件、研发、设计”，因此关联到该节点。</x:v>
      </x:c>
      <x:c r="P674" s="26" t="str">
        <x:v>自动通过</x:v>
      </x:c>
    </x:row>
    <x:row r="675" ht="44" customHeight="1">
      <x:c r="A675" s="27" t="str">
        <x:v>REL000672</x:v>
      </x:c>
      <x:c r="B675" s="25" t="n">
        <x:v>12097</x:v>
      </x:c>
      <x:c r="C675" s="27" t="str">
        <x:v>IC-L3-1354</x:v>
      </x:c>
      <x:c r="D675" s="25" t="str">
        <x:v>光通信工程师</x:v>
      </x:c>
      <x:c r="E675" s="27" t="str">
        <x:v>2-02-10-01</x:v>
      </x:c>
      <x:c r="F675" s="25" t="str">
        <x:v>通信工程技术人员</x:v>
      </x:c>
      <x:c r="G675" s="27" t="str">
        <x:v>IC10</x:v>
      </x:c>
      <x:c r="H675" s="25" t="str">
        <x:v>新一代信息基础设施产业链</x:v>
      </x:c>
      <x:c r="I675" s="25" t="str">
        <x:v>上游</x:v>
      </x:c>
      <x:c r="J675" s="27" t="str">
        <x:v>ICN028</x:v>
      </x:c>
      <x:c r="K675" s="25" t="str">
        <x:v>通信与算力硬件设备</x:v>
      </x:c>
      <x:c r="L675" s="28" t="n">
        <x:v>94</x:v>
      </x:c>
      <x:c r="M675" s="25" t="str">
        <x:v>高</x:v>
      </x:c>
      <x:c r="N675" s="26" t="str">
        <x:v>通信、光通信、5g、硬件、研发、设计</x:v>
      </x:c>
      <x:c r="O675" s="26" t="str">
        <x:v>岗位名称/描述出现“通信、光通信、5g”，工作环节更贴近“光通信、硬件、研发、设计”，因此关联到该节点。</x:v>
      </x:c>
      <x:c r="P675" s="26" t="str">
        <x:v>自动通过</x:v>
      </x:c>
    </x:row>
    <x:row r="676" ht="44" customHeight="1">
      <x:c r="A676" s="27" t="str">
        <x:v>REL000673</x:v>
      </x:c>
      <x:c r="B676" s="25" t="n">
        <x:v>12098</x:v>
      </x:c>
      <x:c r="C676" s="27" t="str">
        <x:v>IC-L3-1355</x:v>
      </x:c>
      <x:c r="D676" s="25" t="str">
        <x:v>基站工程师</x:v>
      </x:c>
      <x:c r="E676" s="27" t="str">
        <x:v>2-02-10-01</x:v>
      </x:c>
      <x:c r="F676" s="25" t="str">
        <x:v>通信工程技术人员</x:v>
      </x:c>
      <x:c r="G676" s="27" t="str">
        <x:v>IC10</x:v>
      </x:c>
      <x:c r="H676" s="25" t="str">
        <x:v>新一代信息基础设施产业链</x:v>
      </x:c>
      <x:c r="I676" s="25" t="str">
        <x:v>中游</x:v>
      </x:c>
      <x:c r="J676" s="27" t="str">
        <x:v>ICN029</x:v>
      </x:c>
      <x:c r="K676" s="25" t="str">
        <x:v>5G网络、数据中心与云边平台</x:v>
      </x:c>
      <x:c r="L676" s="28" t="n">
        <x:v>77</x:v>
      </x:c>
      <x:c r="M676" s="25" t="str">
        <x:v>中</x:v>
      </x:c>
      <x:c r="N676" s="26" t="str">
        <x:v>基站、通信、5g、通信网络、部署</x:v>
      </x:c>
      <x:c r="O676" s="26" t="str">
        <x:v>岗位名称/描述出现“基站、通信、5g”，工作环节更贴近“5g、通信网络、部署”，因此关联到该节点。</x:v>
      </x:c>
      <x:c r="P676" s="26" t="str">
        <x:v>自动通过</x:v>
      </x:c>
    </x:row>
    <x:row r="677" ht="44" customHeight="1">
      <x:c r="A677" s="27" t="str">
        <x:v>REL000674</x:v>
      </x:c>
      <x:c r="B677" s="25" t="n">
        <x:v>12099</x:v>
      </x:c>
      <x:c r="C677" s="27" t="str">
        <x:v>IC-L3-1356</x:v>
      </x:c>
      <x:c r="D677" s="25" t="str">
        <x:v>射频工程师</x:v>
      </x:c>
      <x:c r="E677" s="27" t="str">
        <x:v>2-02-10-01</x:v>
      </x:c>
      <x:c r="F677" s="25" t="str">
        <x:v>通信工程技术人员</x:v>
      </x:c>
      <x:c r="G677" s="27" t="str">
        <x:v>IC16</x:v>
      </x:c>
      <x:c r="H677" s="25" t="str">
        <x:v>半导体与集成电路产业链</x:v>
      </x:c>
      <x:c r="I677" s="25" t="str">
        <x:v>中游</x:v>
      </x:c>
      <x:c r="J677" s="27" t="str">
        <x:v>ICN047</x:v>
      </x:c>
      <x:c r="K677" s="25" t="str">
        <x:v>芯片设计、制造、封测与集成电路</x:v>
      </x:c>
      <x:c r="L677" s="28" t="n">
        <x:v>67</x:v>
      </x:c>
      <x:c r="M677" s="25" t="str">
        <x:v>低</x:v>
      </x:c>
      <x:c r="N677" s="26" t="str">
        <x:v>射频、测试</x:v>
      </x:c>
      <x:c r="O677" s="26" t="str">
        <x:v>岗位名称/描述出现“射频”，工作环节更贴近“测试”，因此关联到该节点。</x:v>
      </x:c>
      <x:c r="P677" s="26" t="str">
        <x:v>建议复核</x:v>
      </x:c>
    </x:row>
    <x:row r="678" ht="44" customHeight="1">
      <x:c r="A678" s="27" t="str">
        <x:v>REL000675</x:v>
      </x:c>
      <x:c r="B678" s="25" t="n">
        <x:v>12100</x:v>
      </x:c>
      <x:c r="C678" s="27" t="str">
        <x:v>IC-L3-1357</x:v>
      </x:c>
      <x:c r="D678" s="25" t="str">
        <x:v>数据通信工程师</x:v>
      </x:c>
      <x:c r="E678" s="27" t="str">
        <x:v>2-02-10-03</x:v>
      </x:c>
      <x:c r="F678" s="25" t="str">
        <x:v>计算机软件工程技术人员</x:v>
      </x:c>
      <x:c r="G678" s="27" t="str">
        <x:v>IC10</x:v>
      </x:c>
      <x:c r="H678" s="25" t="str">
        <x:v>新一代信息基础设施产业链</x:v>
      </x:c>
      <x:c r="I678" s="25" t="str">
        <x:v>中游</x:v>
      </x:c>
      <x:c r="J678" s="27" t="str">
        <x:v>ICN029</x:v>
      </x:c>
      <x:c r="K678" s="25" t="str">
        <x:v>5G网络、数据中心与云边平台</x:v>
      </x:c>
      <x:c r="L678" s="28" t="n">
        <x:v>71</x:v>
      </x:c>
      <x:c r="M678" s="25" t="str">
        <x:v>中</x:v>
      </x:c>
      <x:c r="N678" s="26" t="str">
        <x:v>通信、网络架构、通信网络、部署、架构</x:v>
      </x:c>
      <x:c r="O678" s="26" t="str">
        <x:v>岗位名称/描述出现“通信、网络架构”，工作环节更贴近“通信网络、部署、架构”，因此关联到该节点。</x:v>
      </x:c>
      <x:c r="P678" s="26" t="str">
        <x:v>自动通过</x:v>
      </x:c>
    </x:row>
    <x:row r="679" ht="44" customHeight="1">
      <x:c r="A679" s="27" t="str">
        <x:v>REL000676</x:v>
      </x:c>
      <x:c r="B679" s="25" t="n">
        <x:v>12101</x:v>
      </x:c>
      <x:c r="C679" s="27" t="str">
        <x:v>IC-L3-1358</x:v>
      </x:c>
      <x:c r="D679" s="25" t="str">
        <x:v>无线通信工程师</x:v>
      </x:c>
      <x:c r="E679" s="27" t="str">
        <x:v>2-02-10-01</x:v>
      </x:c>
      <x:c r="F679" s="25" t="str">
        <x:v>通信工程技术人员</x:v>
      </x:c>
      <x:c r="G679" s="27" t="str">
        <x:v>IC10</x:v>
      </x:c>
      <x:c r="H679" s="25" t="str">
        <x:v>新一代信息基础设施产业链</x:v>
      </x:c>
      <x:c r="I679" s="25" t="str">
        <x:v>中游</x:v>
      </x:c>
      <x:c r="J679" s="27" t="str">
        <x:v>ICN029</x:v>
      </x:c>
      <x:c r="K679" s="25" t="str">
        <x:v>5G网络、数据中心与云边平台</x:v>
      </x:c>
      <x:c r="L679" s="28" t="n">
        <x:v>73</x:v>
      </x:c>
      <x:c r="M679" s="25" t="str">
        <x:v>中</x:v>
      </x:c>
      <x:c r="N679" s="26" t="str">
        <x:v>通信、5g</x:v>
      </x:c>
      <x:c r="O679" s="26" t="str">
        <x:v>岗位名称/描述出现“通信、5g”，工作环节更贴近“5g”，因此关联到该节点。</x:v>
      </x:c>
      <x:c r="P679" s="26" t="str">
        <x:v>自动通过</x:v>
      </x:c>
    </x:row>
    <x:row r="680" ht="44" customHeight="1">
      <x:c r="A680" s="27" t="str">
        <x:v>REL000677</x:v>
      </x:c>
      <x:c r="B680" s="25" t="n">
        <x:v>12102</x:v>
      </x:c>
      <x:c r="C680" s="27" t="str">
        <x:v>IC-L3-1359</x:v>
      </x:c>
      <x:c r="D680" s="25" t="str">
        <x:v>有线传输工程师</x:v>
      </x:c>
      <x:c r="E680" s="27" t="str">
        <x:v>2-02-10-01</x:v>
      </x:c>
      <x:c r="F680" s="25" t="str">
        <x:v>通信工程技术人员</x:v>
      </x:c>
      <x:c r="G680" s="27" t="str">
        <x:v>IC10</x:v>
      </x:c>
      <x:c r="H680" s="25" t="str">
        <x:v>新一代信息基础设施产业链</x:v>
      </x:c>
      <x:c r="I680" s="25" t="str">
        <x:v>中游</x:v>
      </x:c>
      <x:c r="J680" s="27" t="str">
        <x:v>ICN029</x:v>
      </x:c>
      <x:c r="K680" s="25" t="str">
        <x:v>5G网络、数据中心与云边平台</x:v>
      </x:c>
      <x:c r="L680" s="28" t="n">
        <x:v>60</x:v>
      </x:c>
      <x:c r="M680" s="25" t="str">
        <x:v>低</x:v>
      </x:c>
      <x:c r="N680" s="26" t="str">
        <x:v>通信、网络架构、通信网络、架构</x:v>
      </x:c>
      <x:c r="O680" s="26" t="str">
        <x:v>岗位名称/描述出现“通信、网络架构”，工作环节更贴近“通信网络、架构”，因此关联到该节点。</x:v>
      </x:c>
      <x:c r="P680" s="26" t="str">
        <x:v>建议复核</x:v>
      </x:c>
    </x:row>
    <x:row r="681" ht="44" customHeight="1">
      <x:c r="A681" s="27" t="str">
        <x:v>REL000678</x:v>
      </x:c>
      <x:c r="B681" s="25" t="n">
        <x:v>12103</x:v>
      </x:c>
      <x:c r="C681" s="27" t="str">
        <x:v>IC-L3-1360</x:v>
      </x:c>
      <x:c r="D681" s="25" t="str">
        <x:v>核心网工程师</x:v>
      </x:c>
      <x:c r="E681" s="27" t="str">
        <x:v>2-02-10-01</x:v>
      </x:c>
      <x:c r="F681" s="25" t="str">
        <x:v>通信工程技术人员</x:v>
      </x:c>
      <x:c r="G681" s="27" t="str">
        <x:v>IC10</x:v>
      </x:c>
      <x:c r="H681" s="25" t="str">
        <x:v>新一代信息基础设施产业链</x:v>
      </x:c>
      <x:c r="I681" s="25" t="str">
        <x:v>中游</x:v>
      </x:c>
      <x:c r="J681" s="27" t="str">
        <x:v>ICN029</x:v>
      </x:c>
      <x:c r="K681" s="25" t="str">
        <x:v>5G网络、数据中心与云边平台</x:v>
      </x:c>
      <x:c r="L681" s="28" t="n">
        <x:v>59</x:v>
      </x:c>
      <x:c r="M681" s="25" t="str">
        <x:v>低</x:v>
      </x:c>
      <x:c r="N681" s="26" t="str">
        <x:v>通信、网络架构、架构</x:v>
      </x:c>
      <x:c r="O681" s="26" t="str">
        <x:v>岗位名称/描述出现“通信、网络架构”，工作环节更贴近“架构”，因此关联到该节点。</x:v>
      </x:c>
      <x:c r="P681" s="26" t="str">
        <x:v>建议复核</x:v>
      </x:c>
    </x:row>
    <x:row r="682" ht="44" customHeight="1">
      <x:c r="A682" s="27" t="str">
        <x:v>REL000679</x:v>
      </x:c>
      <x:c r="B682" s="25" t="n">
        <x:v>12104</x:v>
      </x:c>
      <x:c r="C682" s="27" t="str">
        <x:v>IC-L3-1361</x:v>
      </x:c>
      <x:c r="D682" s="25" t="str">
        <x:v>通信产品经理/产品工程师</x:v>
      </x:c>
      <x:c r="E682" s="27" t="str">
        <x:v>2-02-10-01</x:v>
      </x:c>
      <x:c r="F682" s="25" t="str">
        <x:v>通信工程技术人员</x:v>
      </x:c>
      <x:c r="G682" s="27" t="str">
        <x:v>IC10</x:v>
      </x:c>
      <x:c r="H682" s="25" t="str">
        <x:v>新一代信息基础设施产业链</x:v>
      </x:c>
      <x:c r="I682" s="25" t="str">
        <x:v>上游</x:v>
      </x:c>
      <x:c r="J682" s="27" t="str">
        <x:v>ICN028</x:v>
      </x:c>
      <x:c r="K682" s="25" t="str">
        <x:v>通信与算力硬件设备</x:v>
      </x:c>
      <x:c r="L682" s="28" t="n">
        <x:v>70</x:v>
      </x:c>
      <x:c r="M682" s="25" t="str">
        <x:v>中</x:v>
      </x:c>
      <x:c r="N682" s="26" t="str">
        <x:v>通信、研发、设计</x:v>
      </x:c>
      <x:c r="O682" s="26" t="str">
        <x:v>岗位名称/描述出现“通信”，工作环节更贴近“研发、设计”，因此关联到该节点。</x:v>
      </x:c>
      <x:c r="P682" s="26" t="str">
        <x:v>自动通过</x:v>
      </x:c>
    </x:row>
    <x:row r="683" ht="44" customHeight="1">
      <x:c r="A683" s="27" t="str">
        <x:v>REL000680</x:v>
      </x:c>
      <x:c r="B683" s="25" t="n">
        <x:v>12105</x:v>
      </x:c>
      <x:c r="C683" s="27" t="str">
        <x:v>IC-L3-1362</x:v>
      </x:c>
      <x:c r="D683" s="25" t="str">
        <x:v>通信测试工程师</x:v>
      </x:c>
      <x:c r="E683" s="27" t="str">
        <x:v>2-02-10-01</x:v>
      </x:c>
      <x:c r="F683" s="25" t="str">
        <x:v>通信工程技术人员</x:v>
      </x:c>
      <x:c r="G683" s="27" t="str">
        <x:v>IC10</x:v>
      </x:c>
      <x:c r="H683" s="25" t="str">
        <x:v>新一代信息基础设施产业链</x:v>
      </x:c>
      <x:c r="I683" s="25" t="str">
        <x:v>上游</x:v>
      </x:c>
      <x:c r="J683" s="27" t="str">
        <x:v>ICN028</x:v>
      </x:c>
      <x:c r="K683" s="25" t="str">
        <x:v>通信与算力硬件设备</x:v>
      </x:c>
      <x:c r="L683" s="28" t="n">
        <x:v>71</x:v>
      </x:c>
      <x:c r="M683" s="25" t="str">
        <x:v>中</x:v>
      </x:c>
      <x:c r="N683" s="26" t="str">
        <x:v>通信、通信设备、研发、设计</x:v>
      </x:c>
      <x:c r="O683" s="26" t="str">
        <x:v>岗位名称/描述出现“通信”，工作环节更贴近“通信设备、研发、设计”，因此关联到该节点。</x:v>
      </x:c>
      <x:c r="P683" s="26" t="str">
        <x:v>自动通过</x:v>
      </x:c>
    </x:row>
    <x:row r="684" ht="44" customHeight="1">
      <x:c r="A684" s="27" t="str">
        <x:v>REL000681</x:v>
      </x:c>
      <x:c r="B684" s="25" t="n">
        <x:v>12106</x:v>
      </x:c>
      <x:c r="C684" s="27" t="str">
        <x:v>IC-L3-1363</x:v>
      </x:c>
      <x:c r="D684" s="25" t="str">
        <x:v>通信电源工程师</x:v>
      </x:c>
      <x:c r="E684" s="27" t="str">
        <x:v>2-02-10-01</x:v>
      </x:c>
      <x:c r="F684" s="25" t="str">
        <x:v>通信工程技术人员</x:v>
      </x:c>
      <x:c r="G684" s="27" t="str">
        <x:v>IC10</x:v>
      </x:c>
      <x:c r="H684" s="25" t="str">
        <x:v>新一代信息基础设施产业链</x:v>
      </x:c>
      <x:c r="I684" s="25" t="str">
        <x:v>上游</x:v>
      </x:c>
      <x:c r="J684" s="27" t="str">
        <x:v>ICN028</x:v>
      </x:c>
      <x:c r="K684" s="25" t="str">
        <x:v>通信与算力硬件设备</x:v>
      </x:c>
      <x:c r="L684" s="28" t="n">
        <x:v>71</x:v>
      </x:c>
      <x:c r="M684" s="25" t="str">
        <x:v>中</x:v>
      </x:c>
      <x:c r="N684" s="26" t="str">
        <x:v>通信、通信设备、研发、设计</x:v>
      </x:c>
      <x:c r="O684" s="26" t="str">
        <x:v>岗位名称/描述出现“通信”，工作环节更贴近“通信设备、研发、设计”，因此关联到该节点。</x:v>
      </x:c>
      <x:c r="P684" s="26" t="str">
        <x:v>自动通过</x:v>
      </x:c>
    </x:row>
    <x:row r="685" ht="44" customHeight="1">
      <x:c r="A685" s="27" t="str">
        <x:v>REL000682</x:v>
      </x:c>
      <x:c r="B685" s="25" t="n">
        <x:v>12107</x:v>
      </x:c>
      <x:c r="C685" s="27" t="str">
        <x:v>IC-L3-1364</x:v>
      </x:c>
      <x:c r="D685" s="25" t="str">
        <x:v>通信网络工程师</x:v>
      </x:c>
      <x:c r="E685" s="27" t="str">
        <x:v>2-02-10-01</x:v>
      </x:c>
      <x:c r="F685" s="25" t="str">
        <x:v>通信工程技术人员</x:v>
      </x:c>
      <x:c r="G685" s="27" t="str">
        <x:v>IC10</x:v>
      </x:c>
      <x:c r="H685" s="25" t="str">
        <x:v>新一代信息基础设施产业链</x:v>
      </x:c>
      <x:c r="I685" s="25" t="str">
        <x:v>中游</x:v>
      </x:c>
      <x:c r="J685" s="27" t="str">
        <x:v>ICN029</x:v>
      </x:c>
      <x:c r="K685" s="25" t="str">
        <x:v>5G网络、数据中心与云边平台</x:v>
      </x:c>
      <x:c r="L685" s="28" t="n">
        <x:v>95</x:v>
      </x:c>
      <x:c r="M685" s="25" t="str">
        <x:v>高</x:v>
      </x:c>
      <x:c r="N685" s="26" t="str">
        <x:v>通信、网络工程、5g、网络架构、通信网络、架构</x:v>
      </x:c>
      <x:c r="O685" s="26" t="str">
        <x:v>岗位名称/描述出现“通信、网络工程、5g、网络架构”，工作环节更贴近“通信网络、5g、架构”，因此关联到该节点。</x:v>
      </x:c>
      <x:c r="P685" s="26" t="str">
        <x:v>自动通过</x:v>
      </x:c>
    </x:row>
    <x:row r="686" ht="44" customHeight="1">
      <x:c r="A686" s="27" t="str">
        <x:v>REL000683</x:v>
      </x:c>
      <x:c r="B686" s="25" t="n">
        <x:v>12108</x:v>
      </x:c>
      <x:c r="C686" s="27" t="str">
        <x:v>IC-L3-1365</x:v>
      </x:c>
      <x:c r="D686" s="25" t="str">
        <x:v>通信设备工程师</x:v>
      </x:c>
      <x:c r="E686" s="27" t="str">
        <x:v>2-02-10-01</x:v>
      </x:c>
      <x:c r="F686" s="25" t="str">
        <x:v>通信工程技术人员</x:v>
      </x:c>
      <x:c r="G686" s="27" t="str">
        <x:v>IC10</x:v>
      </x:c>
      <x:c r="H686" s="25" t="str">
        <x:v>新一代信息基础设施产业链</x:v>
      </x:c>
      <x:c r="I686" s="25" t="str">
        <x:v>上游</x:v>
      </x:c>
      <x:c r="J686" s="27" t="str">
        <x:v>ICN028</x:v>
      </x:c>
      <x:c r="K686" s="25" t="str">
        <x:v>通信与算力硬件设备</x:v>
      </x:c>
      <x:c r="L686" s="28" t="n">
        <x:v>77</x:v>
      </x:c>
      <x:c r="M686" s="25" t="str">
        <x:v>中</x:v>
      </x:c>
      <x:c r="N686" s="26" t="str">
        <x:v>通信、通信设备、研发、设计</x:v>
      </x:c>
      <x:c r="O686" s="26" t="str">
        <x:v>岗位名称/描述出现“通信”，工作环节更贴近“通信设备、研发、设计”，因此关联到该节点。</x:v>
      </x:c>
      <x:c r="P686" s="26" t="str">
        <x:v>自动通过</x:v>
      </x:c>
    </x:row>
    <x:row r="687" ht="44" customHeight="1">
      <x:c r="A687" s="27" t="str">
        <x:v>REL000684</x:v>
      </x:c>
      <x:c r="B687" s="25" t="n">
        <x:v>12109</x:v>
      </x:c>
      <x:c r="C687" s="27" t="str">
        <x:v>IC-L3-1366</x:v>
      </x:c>
      <x:c r="D687" s="25" t="str">
        <x:v>通信销售工程师</x:v>
      </x:c>
      <x:c r="E687" s="27" t="str">
        <x:v>4-04-05-01</x:v>
      </x:c>
      <x:c r="F687" s="25" t="str">
        <x:v>计算机程序设计员</x:v>
      </x:c>
      <x:c r="G687" s="27" t="str">
        <x:v>IC10</x:v>
      </x:c>
      <x:c r="H687" s="25" t="str">
        <x:v>新一代信息基础设施产业链</x:v>
      </x:c>
      <x:c r="I687" s="25" t="str">
        <x:v>下游</x:v>
      </x:c>
      <x:c r="J687" s="27" t="str">
        <x:v>ICN030</x:v>
      </x:c>
      <x:c r="K687" s="25" t="str">
        <x:v>云网算服务与行业数字化支撑</x:v>
      </x:c>
      <x:c r="L687" s="28" t="n">
        <x:v>73</x:v>
      </x:c>
      <x:c r="M687" s="25" t="str">
        <x:v>中</x:v>
      </x:c>
      <x:c r="N687" s="26" t="str">
        <x:v>通信、销售、技术支持、售前</x:v>
      </x:c>
      <x:c r="O687" s="26" t="str">
        <x:v>岗位名称/描述出现“通信”，工作环节更贴近“销售、技术支持、售前”，因此关联到该节点。</x:v>
      </x:c>
      <x:c r="P687" s="26" t="str">
        <x:v>自动通过</x:v>
      </x:c>
    </x:row>
    <x:row r="688" ht="44" customHeight="1">
      <x:c r="A688" s="27" t="str">
        <x:v>REL000685</x:v>
      </x:c>
      <x:c r="B688" s="25" t="n">
        <x:v>12110</x:v>
      </x:c>
      <x:c r="C688" s="27" t="str">
        <x:v>IC-L3-1367</x:v>
      </x:c>
      <x:c r="D688" s="25" t="str">
        <x:v>通信项目管理</x:v>
      </x:c>
      <x:c r="E688" s="27" t="str">
        <x:v>2-02-10-01</x:v>
      </x:c>
      <x:c r="F688" s="25" t="str">
        <x:v>通信工程技术人员</x:v>
      </x:c>
      <x:c r="G688" s="27" t="str">
        <x:v>IC10</x:v>
      </x:c>
      <x:c r="H688" s="25" t="str">
        <x:v>新一代信息基础设施产业链</x:v>
      </x:c>
      <x:c r="I688" s="25" t="str">
        <x:v>中游</x:v>
      </x:c>
      <x:c r="J688" s="27" t="str">
        <x:v>ICN029</x:v>
      </x:c>
      <x:c r="K688" s="25" t="str">
        <x:v>5G网络、数据中心与云边平台</x:v>
      </x:c>
      <x:c r="L688" s="28" t="n">
        <x:v>73</x:v>
      </x:c>
      <x:c r="M688" s="25" t="str">
        <x:v>中</x:v>
      </x:c>
      <x:c r="N688" s="26" t="str">
        <x:v>通信、5g</x:v>
      </x:c>
      <x:c r="O688" s="26" t="str">
        <x:v>岗位名称/描述出现“通信、5g”，工作环节更贴近“5g”，因此关联到该节点。</x:v>
      </x:c>
      <x:c r="P688" s="26" t="str">
        <x:v>自动通过</x:v>
      </x:c>
    </x:row>
    <x:row r="689" ht="44" customHeight="1">
      <x:c r="A689" s="27" t="str">
        <x:v>REL000686</x:v>
      </x:c>
      <x:c r="B689" s="25" t="n">
        <x:v>12112</x:v>
      </x:c>
      <x:c r="C689" s="27" t="str">
        <x:v>IC-L3-1369</x:v>
      </x:c>
      <x:c r="D689" s="25" t="str">
        <x:v>机场代表</x:v>
      </x:c>
      <x:c r="E689" s="27" t="str">
        <x:v>4-07-01-01</x:v>
      </x:c>
      <x:c r="F689" s="25" t="str">
        <x:v>租赁业务员</x:v>
      </x:c>
      <x:c r="G689" s="27" t="str">
        <x:v>IC13</x:v>
      </x:c>
      <x:c r="H689" s="25" t="str">
        <x:v>空天装备与低空经济产业链</x:v>
      </x:c>
      <x:c r="I689" s="25" t="str">
        <x:v>下游</x:v>
      </x:c>
      <x:c r="J689" s="27" t="str">
        <x:v>ICN039</x:v>
      </x:c>
      <x:c r="K689" s="25" t="str">
        <x:v>低空运营、空域服务与场景应用</x:v>
      </x:c>
      <x:c r="L689" s="28" t="n">
        <x:v>66</x:v>
      </x:c>
      <x:c r="M689" s="25" t="str">
        <x:v>低</x:v>
      </x:c>
      <x:c r="N689" s="26" t="str">
        <x:v>机场</x:v>
      </x:c>
      <x:c r="O689" s="26" t="str">
        <x:v>岗位名称/描述出现“机场”，工作环节更贴近“下游”，因此关联到该节点。</x:v>
      </x:c>
      <x:c r="P689" s="26" t="str">
        <x:v>建议复核</x:v>
      </x:c>
    </x:row>
    <x:row r="690" ht="44" customHeight="1">
      <x:c r="A690" s="27" t="str">
        <x:v>REL000687</x:v>
      </x:c>
      <x:c r="B690" s="25" t="n">
        <x:v>12131</x:v>
      </x:c>
      <x:c r="C690" s="27" t="str">
        <x:v>IC-L3-1388</x:v>
      </x:c>
      <x:c r="D690" s="25" t="str">
        <x:v>服装/纺织/皮革跟单</x:v>
      </x:c>
      <x:c r="E690" s="27" t="str">
        <x:v>4-01-02-01</x:v>
      </x:c>
      <x:c r="F690" s="25" t="str">
        <x:v>营销员</x:v>
      </x:c>
      <x:c r="G690" s="27" t="str">
        <x:v>IC17</x:v>
      </x:c>
      <x:c r="H690" s="25" t="str">
        <x:v>纺织产业链</x:v>
      </x:c>
      <x:c r="I690" s="25" t="str">
        <x:v>下游</x:v>
      </x:c>
      <x:c r="J690" s="27" t="str">
        <x:v>ICN051</x:v>
      </x:c>
      <x:c r="K690" s="25" t="str">
        <x:v>服装家纺、品牌渠道与终端消费</x:v>
      </x:c>
      <x:c r="L690" s="28" t="n">
        <x:v>88</x:v>
      </x:c>
      <x:c r="M690" s="25" t="str">
        <x:v>高</x:v>
      </x:c>
      <x:c r="N690" s="26" t="str">
        <x:v>纺织、服装、销售</x:v>
      </x:c>
      <x:c r="O690" s="26" t="str">
        <x:v>岗位名称/描述出现“纺织、服装”，工作环节更贴近“服装、销售”，因此关联到该节点。</x:v>
      </x:c>
      <x:c r="P690" s="26" t="str">
        <x:v>自动通过</x:v>
      </x:c>
    </x:row>
    <x:row r="691" ht="44" customHeight="1">
      <x:c r="A691" s="27" t="str">
        <x:v>REL000688</x:v>
      </x:c>
      <x:c r="B691" s="25" t="n">
        <x:v>12214</x:v>
      </x:c>
      <x:c r="C691" s="27" t="str">
        <x:v>IC-L3-1471</x:v>
      </x:c>
      <x:c r="D691" s="25" t="str">
        <x:v>ERP实施顾问</x:v>
      </x:c>
      <x:c r="E691" s="27" t="str">
        <x:v>2-02-30-04</x:v>
      </x:c>
      <x:c r="F691" s="25" t="str">
        <x:v>项目管理工程技术人员</x:v>
      </x:c>
      <x:c r="G691" s="27" t="str">
        <x:v>IC19</x:v>
      </x:c>
      <x:c r="H691" s="25" t="str">
        <x:v>软件与数字安全产业链</x:v>
      </x:c>
      <x:c r="I691" s="25" t="str">
        <x:v>中游</x:v>
      </x:c>
      <x:c r="J691" s="27" t="str">
        <x:v>ICN056</x:v>
      </x:c>
      <x:c r="K691" s="25" t="str">
        <x:v>应用软件、区块链平台与安全产品</x:v>
      </x:c>
      <x:c r="L691" s="28" t="n">
        <x:v>73</x:v>
      </x:c>
      <x:c r="M691" s="25" t="str">
        <x:v>中</x:v>
      </x:c>
      <x:c r="N691" s="26" t="str">
        <x:v>erp</x:v>
      </x:c>
      <x:c r="O691" s="26" t="str">
        <x:v>岗位名称/描述出现“erp”，工作环节更贴近“erp”，因此关联到该节点。</x:v>
      </x:c>
      <x:c r="P691" s="26" t="str">
        <x:v>自动通过</x:v>
      </x:c>
    </x:row>
    <x:row r="692" ht="44" customHeight="1">
      <x:c r="A692" s="27" t="str">
        <x:v>REL000689</x:v>
      </x:c>
      <x:c r="B692" s="25" t="n">
        <x:v>12214</x:v>
      </x:c>
      <x:c r="C692" s="27" t="str">
        <x:v>IC-L3-1471</x:v>
      </x:c>
      <x:c r="D692" s="25" t="str">
        <x:v>ERP实施顾问</x:v>
      </x:c>
      <x:c r="E692" s="27" t="str">
        <x:v>2-02-30-04</x:v>
      </x:c>
      <x:c r="F692" s="25" t="str">
        <x:v>项目管理工程技术人员</x:v>
      </x:c>
      <x:c r="G692" s="27" t="str">
        <x:v>IC19</x:v>
      </x:c>
      <x:c r="H692" s="25" t="str">
        <x:v>软件与数字安全产业链</x:v>
      </x:c>
      <x:c r="I692" s="25" t="str">
        <x:v>下游</x:v>
      </x:c>
      <x:c r="J692" s="27" t="str">
        <x:v>ICN057</x:v>
      </x:c>
      <x:c r="K692" s="25" t="str">
        <x:v>政企数字化、可信流通与安全运营</x:v>
      </x:c>
      <x:c r="L692" s="28" t="n">
        <x:v>73</x:v>
      </x:c>
      <x:c r="M692" s="25" t="str">
        <x:v>中</x:v>
      </x:c>
      <x:c r="N692" s="26" t="str">
        <x:v>erp、实施、数字化、技术支持</x:v>
      </x:c>
      <x:c r="O692" s="26" t="str">
        <x:v>岗位名称/描述出现“erp”，工作环节更贴近“实施、数字化、技术支持”，因此关联到该节点。</x:v>
      </x:c>
      <x:c r="P692" s="26" t="str">
        <x:v>自动通过</x:v>
      </x:c>
    </x:row>
    <x:row r="693" ht="44" customHeight="1">
      <x:c r="A693" s="27" t="str">
        <x:v>REL000690</x:v>
      </x:c>
      <x:c r="B693" s="25" t="n">
        <x:v>12215</x:v>
      </x:c>
      <x:c r="C693" s="27" t="str">
        <x:v>IC-L3-1472</x:v>
      </x:c>
      <x:c r="D693" s="25" t="str">
        <x:v>建筑工程管理/项目经理</x:v>
      </x:c>
      <x:c r="E693" s="27" t="str">
        <x:v>2-02-30-04</x:v>
      </x:c>
      <x:c r="F693" s="25" t="str">
        <x:v>项目管理工程技术人员</x:v>
      </x:c>
      <x:c r="G693" s="27" t="str">
        <x:v>IC03</x:v>
      </x:c>
      <x:c r="H693" s="25" t="str">
        <x:v>基础设施与城市建设产业链</x:v>
      </x:c>
      <x:c r="I693" s="25" t="str">
        <x:v>中游</x:v>
      </x:c>
      <x:c r="J693" s="27" t="str">
        <x:v>ICN008</x:v>
      </x:c>
      <x:c r="K693" s="25" t="str">
        <x:v>基础设施建设与房地产开发</x:v>
      </x:c>
      <x:c r="L693" s="28" t="n">
        <x:v>70</x:v>
      </x:c>
      <x:c r="M693" s="25" t="str">
        <x:v>中</x:v>
      </x:c>
      <x:c r="N693" s="26" t="str">
        <x:v>建筑、施工、项目管理、工程项目</x:v>
      </x:c>
      <x:c r="O693" s="26" t="str">
        <x:v>岗位名称/描述出现“建筑、施工”，工作环节更贴近“项目管理、施工、工程项目”，因此关联到该节点。</x:v>
      </x:c>
      <x:c r="P693" s="26" t="str">
        <x:v>自动通过</x:v>
      </x:c>
    </x:row>
    <x:row r="694" ht="44" customHeight="1">
      <x:c r="A694" s="27" t="str">
        <x:v>REL000691</x:v>
      </x:c>
      <x:c r="B694" s="25" t="n">
        <x:v>12216</x:v>
      </x:c>
      <x:c r="C694" s="27" t="str">
        <x:v>IC-L3-1473</x:v>
      </x:c>
      <x:c r="D694" s="25" t="str">
        <x:v>机械项目管理</x:v>
      </x:c>
      <x:c r="E694" s="27" t="str">
        <x:v>2-02-30-04</x:v>
      </x:c>
      <x:c r="F694" s="25" t="str">
        <x:v>项目管理工程技术人员</x:v>
      </x:c>
      <x:c r="G694" s="27" t="str">
        <x:v>IC02</x:v>
      </x:c>
      <x:c r="H694" s="25" t="str">
        <x:v>高端装备与智能制造产业链</x:v>
      </x:c>
      <x:c r="I694" s="25" t="str">
        <x:v>中游</x:v>
      </x:c>
      <x:c r="J694" s="27" t="str">
        <x:v>ICN005</x:v>
      </x:c>
      <x:c r="K694" s="25" t="str">
        <x:v>高端装备制造与激光加工</x:v>
      </x:c>
      <x:c r="L694" s="28" t="n">
        <x:v>69</x:v>
      </x:c>
      <x:c r="M694" s="25" t="str">
        <x:v>中</x:v>
      </x:c>
      <x:c r="N694" s="26" t="str">
        <x:v>机械、机械设备、生产</x:v>
      </x:c>
      <x:c r="O694" s="26" t="str">
        <x:v>岗位名称/描述出现“机械、机械设备”，工作环节更贴近“生产”，因此关联到该节点。</x:v>
      </x:c>
      <x:c r="P694" s="26" t="str">
        <x:v>自动通过</x:v>
      </x:c>
    </x:row>
    <x:row r="695" ht="44" customHeight="1">
      <x:c r="A695" s="27" t="str">
        <x:v>REL000692</x:v>
      </x:c>
      <x:c r="B695" s="25" t="n">
        <x:v>12217</x:v>
      </x:c>
      <x:c r="C695" s="27" t="str">
        <x:v>IC-L3-1474</x:v>
      </x:c>
      <x:c r="D695" s="25" t="str">
        <x:v>汽车项目管理</x:v>
      </x:c>
      <x:c r="E695" s="27" t="str">
        <x:v>2-02-07-11</x:v>
      </x:c>
      <x:c r="F695" s="25" t="str">
        <x:v>汽车工程技术人员</x:v>
      </x:c>
      <x:c r="G695" s="27" t="str">
        <x:v>IC08</x:v>
      </x:c>
      <x:c r="H695" s="25" t="str">
        <x:v>汽车与智能网联汽车产业链</x:v>
      </x:c>
      <x:c r="I695" s="25" t="str">
        <x:v>中游</x:v>
      </x:c>
      <x:c r="J695" s="27" t="str">
        <x:v>ICN023</x:v>
      </x:c>
      <x:c r="K695" s="25" t="str">
        <x:v>整车制造与智能网联系统集成</x:v>
      </x:c>
      <x:c r="L695" s="28" t="n">
        <x:v>74</x:v>
      </x:c>
      <x:c r="M695" s="25" t="str">
        <x:v>中</x:v>
      </x:c>
      <x:c r="N695" s="26" t="str">
        <x:v>汽车、新能源汽车、生产、智能网联</x:v>
      </x:c>
      <x:c r="O695" s="26" t="str">
        <x:v>岗位名称/描述出现“汽车、新能源汽车”，工作环节更贴近“生产、智能网联”，因此关联到该节点。</x:v>
      </x:c>
      <x:c r="P695" s="26" t="str">
        <x:v>自动通过</x:v>
      </x:c>
    </x:row>
    <x:row r="696" ht="44" customHeight="1">
      <x:c r="A696" s="27" t="str">
        <x:v>REL000693</x:v>
      </x:c>
      <x:c r="B696" s="25" t="n">
        <x:v>12218</x:v>
      </x:c>
      <x:c r="C696" s="27" t="str">
        <x:v>IC-L3-1475</x:v>
      </x:c>
      <x:c r="D696" s="25" t="str">
        <x:v>通信项目管理</x:v>
      </x:c>
      <x:c r="E696" s="27" t="str">
        <x:v>2-02-30-04</x:v>
      </x:c>
      <x:c r="F696" s="25" t="str">
        <x:v>项目管理工程技术人员</x:v>
      </x:c>
      <x:c r="G696" s="27" t="str">
        <x:v>IC10</x:v>
      </x:c>
      <x:c r="H696" s="25" t="str">
        <x:v>新一代信息基础设施产业链</x:v>
      </x:c>
      <x:c r="I696" s="25" t="str">
        <x:v>中游</x:v>
      </x:c>
      <x:c r="J696" s="27" t="str">
        <x:v>ICN029</x:v>
      </x:c>
      <x:c r="K696" s="25" t="str">
        <x:v>5G网络、数据中心与云边平台</x:v>
      </x:c>
      <x:c r="L696" s="28" t="n">
        <x:v>67</x:v>
      </x:c>
      <x:c r="M696" s="25" t="str">
        <x:v>低</x:v>
      </x:c>
      <x:c r="N696" s="26" t="str">
        <x:v>通信、部署</x:v>
      </x:c>
      <x:c r="O696" s="26" t="str">
        <x:v>岗位名称/描述出现“通信”，工作环节更贴近“部署”，因此关联到该节点。</x:v>
      </x:c>
      <x:c r="P696" s="26" t="str">
        <x:v>建议复核</x:v>
      </x:c>
    </x:row>
    <x:row r="697" ht="44" customHeight="1">
      <x:c r="A697" s="27" t="str">
        <x:v>REL000694</x:v>
      </x:c>
      <x:c r="B697" s="25" t="n">
        <x:v>12226</x:v>
      </x:c>
      <x:c r="C697" s="27" t="str">
        <x:v>IC-L3-1483</x:v>
      </x:c>
      <x:c r="D697" s="25" t="str">
        <x:v>咖啡师</x:v>
      </x:c>
      <x:c r="E697" s="27" t="str">
        <x:v>4-07-02-01</x:v>
      </x:c>
      <x:c r="F697" s="25" t="str">
        <x:v>风险管理师</x:v>
      </x:c>
      <x:c r="G697" s="27" t="str">
        <x:v>IC09</x:v>
      </x:c>
      <x:c r="H697" s="25" t="str">
        <x:v>食品饮料产业链</x:v>
      </x:c>
      <x:c r="I697" s="25" t="str">
        <x:v>下游</x:v>
      </x:c>
      <x:c r="J697" s="27" t="str">
        <x:v>ICN027</x:v>
      </x:c>
      <x:c r="K697" s="25" t="str">
        <x:v>品牌渠道、餐饮零售与消费服务</x:v>
      </x:c>
      <x:c r="L697" s="28" t="n">
        <x:v>80</x:v>
      </x:c>
      <x:c r="M697" s="25" t="str">
        <x:v>中</x:v>
      </x:c>
      <x:c r="N697" s="26" t="str">
        <x:v>咖啡、餐饮、厨师、品牌</x:v>
      </x:c>
      <x:c r="O697" s="26" t="str">
        <x:v>岗位名称/描述出现“咖啡、餐饮、厨师”，工作环节更贴近“咖啡、餐饮、厨师、品牌”，因此关联到该节点。</x:v>
      </x:c>
      <x:c r="P697" s="26" t="str">
        <x:v>自动通过</x:v>
      </x:c>
    </x:row>
    <x:row r="698" ht="44" customHeight="1">
      <x:c r="A698" s="27" t="str">
        <x:v>REL000695</x:v>
      </x:c>
      <x:c r="B698" s="25" t="n">
        <x:v>12228</x:v>
      </x:c>
      <x:c r="C698" s="27" t="str">
        <x:v>IC-L3-1485</x:v>
      </x:c>
      <x:c r="D698" s="25" t="str">
        <x:v>茶艺师</x:v>
      </x:c>
      <x:c r="E698" s="27" t="str">
        <x:v>4-07-02-01</x:v>
      </x:c>
      <x:c r="F698" s="25" t="str">
        <x:v>风险管理师</x:v>
      </x:c>
      <x:c r="G698" s="27" t="str">
        <x:v>IC09</x:v>
      </x:c>
      <x:c r="H698" s="25" t="str">
        <x:v>食品饮料产业链</x:v>
      </x:c>
      <x:c r="I698" s="25" t="str">
        <x:v>下游</x:v>
      </x:c>
      <x:c r="J698" s="27" t="str">
        <x:v>ICN027</x:v>
      </x:c>
      <x:c r="K698" s="25" t="str">
        <x:v>品牌渠道、餐饮零售与消费服务</x:v>
      </x:c>
      <x:c r="L698" s="28" t="n">
        <x:v>78</x:v>
      </x:c>
      <x:c r="M698" s="25" t="str">
        <x:v>中</x:v>
      </x:c>
      <x:c r="N698" s="26" t="str">
        <x:v>茶艺、餐饮、品牌、销售</x:v>
      </x:c>
      <x:c r="O698" s="26" t="str">
        <x:v>岗位名称/描述出现“茶艺、餐饮”，工作环节更贴近“茶艺、餐饮、品牌、销售”，因此关联到该节点。</x:v>
      </x:c>
      <x:c r="P698" s="26" t="str">
        <x:v>自动通过</x:v>
      </x:c>
    </x:row>
    <x:row r="699" ht="44" customHeight="1">
      <x:c r="A699" s="27" t="str">
        <x:v>REL000696</x:v>
      </x:c>
      <x:c r="B699" s="25" t="n">
        <x:v>12230</x:v>
      </x:c>
      <x:c r="C699" s="27" t="str">
        <x:v>IC-L3-1487</x:v>
      </x:c>
      <x:c r="D699" s="25" t="str">
        <x:v>调饮师</x:v>
      </x:c>
      <x:c r="E699" s="27" t="str">
        <x:v>4-07-02-01</x:v>
      </x:c>
      <x:c r="F699" s="25" t="str">
        <x:v>风险管理师</x:v>
      </x:c>
      <x:c r="G699" s="27" t="str">
        <x:v>IC09</x:v>
      </x:c>
      <x:c r="H699" s="25" t="str">
        <x:v>食品饮料产业链</x:v>
      </x:c>
      <x:c r="I699" s="25" t="str">
        <x:v>下游</x:v>
      </x:c>
      <x:c r="J699" s="27" t="str">
        <x:v>ICN027</x:v>
      </x:c>
      <x:c r="K699" s="25" t="str">
        <x:v>品牌渠道、餐饮零售与消费服务</x:v>
      </x:c>
      <x:c r="L699" s="28" t="n">
        <x:v>61</x:v>
      </x:c>
      <x:c r="M699" s="25" t="str">
        <x:v>低</x:v>
      </x:c>
      <x:c r="N699" s="26" t="str">
        <x:v>食品、餐饮、咖啡、食品安全、品牌</x:v>
      </x:c>
      <x:c r="O699" s="26" t="str">
        <x:v>岗位名称/描述出现“食品、餐饮、咖啡、食品安全”，工作环节更贴近“餐饮、咖啡、品牌”，因此关联到该节点。</x:v>
      </x:c>
      <x:c r="P699" s="26" t="str">
        <x:v>建议复核</x:v>
      </x:c>
    </x:row>
    <x:row r="700" ht="44" customHeight="1">
      <x:c r="A700" s="27" t="str">
        <x:v>REL000697</x:v>
      </x:c>
      <x:c r="B700" s="25" t="n">
        <x:v>12232</x:v>
      </x:c>
      <x:c r="C700" s="27" t="str">
        <x:v>IC-L3-1489</x:v>
      </x:c>
      <x:c r="D700" s="25" t="str">
        <x:v>餐饮大堂经理</x:v>
      </x:c>
      <x:c r="E700" s="27" t="str">
        <x:v>4-07-02-01</x:v>
      </x:c>
      <x:c r="F700" s="25" t="str">
        <x:v>风险管理师</x:v>
      </x:c>
      <x:c r="G700" s="27" t="str">
        <x:v>IC09</x:v>
      </x:c>
      <x:c r="H700" s="25" t="str">
        <x:v>食品饮料产业链</x:v>
      </x:c>
      <x:c r="I700" s="25" t="str">
        <x:v>下游</x:v>
      </x:c>
      <x:c r="J700" s="27" t="str">
        <x:v>ICN027</x:v>
      </x:c>
      <x:c r="K700" s="25" t="str">
        <x:v>品牌渠道、餐饮零售与消费服务</x:v>
      </x:c>
      <x:c r="L700" s="28" t="n">
        <x:v>75</x:v>
      </x:c>
      <x:c r="M700" s="25" t="str">
        <x:v>中</x:v>
      </x:c>
      <x:c r="N700" s="26" t="str">
        <x:v>餐饮、餐厅、品牌</x:v>
      </x:c>
      <x:c r="O700" s="26" t="str">
        <x:v>岗位名称/描述出现“餐饮”，工作环节更贴近“餐饮、餐厅、品牌”，因此关联到该节点。</x:v>
      </x:c>
      <x:c r="P700" s="26" t="str">
        <x:v>自动通过</x:v>
      </x:c>
    </x:row>
    <x:row r="701" ht="44" customHeight="1">
      <x:c r="A701" s="27" t="str">
        <x:v>REL000698</x:v>
      </x:c>
      <x:c r="B701" s="25" t="n">
        <x:v>12233</x:v>
      </x:c>
      <x:c r="C701" s="27" t="str">
        <x:v>IC-L3-1490</x:v>
      </x:c>
      <x:c r="D701" s="25" t="str">
        <x:v>中餐厨师</x:v>
      </x:c>
      <x:c r="E701" s="27" t="str">
        <x:v>4-07-03-01</x:v>
      </x:c>
      <x:c r="F701" s="25" t="str">
        <x:v>职业指导师</x:v>
      </x:c>
      <x:c r="G701" s="27" t="str">
        <x:v>IC09</x:v>
      </x:c>
      <x:c r="H701" s="25" t="str">
        <x:v>食品饮料产业链</x:v>
      </x:c>
      <x:c r="I701" s="25" t="str">
        <x:v>下游</x:v>
      </x:c>
      <x:c r="J701" s="27" t="str">
        <x:v>ICN027</x:v>
      </x:c>
      <x:c r="K701" s="25" t="str">
        <x:v>品牌渠道、餐饮零售与消费服务</x:v>
      </x:c>
      <x:c r="L701" s="28" t="n">
        <x:v>83</x:v>
      </x:c>
      <x:c r="M701" s="25" t="str">
        <x:v>高</x:v>
      </x:c>
      <x:c r="N701" s="26" t="str">
        <x:v>厨师、食品、餐饮、食品安全、餐厅、品牌、销售</x:v>
      </x:c>
      <x:c r="O701" s="26" t="str">
        <x:v>岗位名称/描述出现“厨师、食品、餐饮、食品安全”，工作环节更贴近“厨师、餐饮、餐厅、品牌、销售”，因此关联到该节点。</x:v>
      </x:c>
      <x:c r="P701" s="26" t="str">
        <x:v>自动通过</x:v>
      </x:c>
    </x:row>
    <x:row r="702" ht="44" customHeight="1">
      <x:c r="A702" s="27" t="str">
        <x:v>REL000699</x:v>
      </x:c>
      <x:c r="B702" s="25" t="n">
        <x:v>12234</x:v>
      </x:c>
      <x:c r="C702" s="27" t="str">
        <x:v>IC-L3-1491</x:v>
      </x:c>
      <x:c r="D702" s="25" t="str">
        <x:v>厨师助理/学徒</x:v>
      </x:c>
      <x:c r="E702" s="27" t="str">
        <x:v>4-07-03-01</x:v>
      </x:c>
      <x:c r="F702" s="25" t="str">
        <x:v>职业指导师</x:v>
      </x:c>
      <x:c r="G702" s="27" t="str">
        <x:v>IC09</x:v>
      </x:c>
      <x:c r="H702" s="25" t="str">
        <x:v>食品饮料产业链</x:v>
      </x:c>
      <x:c r="I702" s="25" t="str">
        <x:v>下游</x:v>
      </x:c>
      <x:c r="J702" s="27" t="str">
        <x:v>ICN027</x:v>
      </x:c>
      <x:c r="K702" s="25" t="str">
        <x:v>品牌渠道、餐饮零售与消费服务</x:v>
      </x:c>
      <x:c r="L702" s="28" t="n">
        <x:v>80</x:v>
      </x:c>
      <x:c r="M702" s="25" t="str">
        <x:v>中</x:v>
      </x:c>
      <x:c r="N702" s="26" t="str">
        <x:v>厨师、食品、餐饮、食品安全</x:v>
      </x:c>
      <x:c r="O702" s="26" t="str">
        <x:v>岗位名称/描述出现“厨师、食品、餐饮、食品安全”，工作环节更贴近“厨师、餐饮”，因此关联到该节点。</x:v>
      </x:c>
      <x:c r="P702" s="26" t="str">
        <x:v>自动通过</x:v>
      </x:c>
    </x:row>
    <x:row r="703" ht="44" customHeight="1">
      <x:c r="A703" s="27" t="str">
        <x:v>REL000700</x:v>
      </x:c>
      <x:c r="B703" s="25" t="n">
        <x:v>12235</x:v>
      </x:c>
      <x:c r="C703" s="27" t="str">
        <x:v>IC-L3-1492</x:v>
      </x:c>
      <x:c r="D703" s="25" t="str">
        <x:v>日式厨师</x:v>
      </x:c>
      <x:c r="E703" s="27" t="str">
        <x:v>4-07-03-01</x:v>
      </x:c>
      <x:c r="F703" s="25" t="str">
        <x:v>职业指导师</x:v>
      </x:c>
      <x:c r="G703" s="27" t="str">
        <x:v>IC09</x:v>
      </x:c>
      <x:c r="H703" s="25" t="str">
        <x:v>食品饮料产业链</x:v>
      </x:c>
      <x:c r="I703" s="25" t="str">
        <x:v>下游</x:v>
      </x:c>
      <x:c r="J703" s="27" t="str">
        <x:v>ICN027</x:v>
      </x:c>
      <x:c r="K703" s="25" t="str">
        <x:v>品牌渠道、餐饮零售与消费服务</x:v>
      </x:c>
      <x:c r="L703" s="28" t="n">
        <x:v>82</x:v>
      </x:c>
      <x:c r="M703" s="25" t="str">
        <x:v>高</x:v>
      </x:c>
      <x:c r="N703" s="26" t="str">
        <x:v>厨师、食品、餐饮、食品安全、餐厅、品牌</x:v>
      </x:c>
      <x:c r="O703" s="26" t="str">
        <x:v>岗位名称/描述出现“厨师、食品、餐饮、食品安全”，工作环节更贴近“厨师、餐饮、餐厅、品牌”，因此关联到该节点。</x:v>
      </x:c>
      <x:c r="P703" s="26" t="str">
        <x:v>自动通过</x:v>
      </x:c>
    </x:row>
    <x:row r="704" ht="44" customHeight="1">
      <x:c r="A704" s="27" t="str">
        <x:v>REL000701</x:v>
      </x:c>
      <x:c r="B704" s="25" t="n">
        <x:v>12236</x:v>
      </x:c>
      <x:c r="C704" s="27" t="str">
        <x:v>IC-L3-1493</x:v>
      </x:c>
      <x:c r="D704" s="25" t="str">
        <x:v>行政主厨/厨师长</x:v>
      </x:c>
      <x:c r="E704" s="27" t="str">
        <x:v>4-07-03-01</x:v>
      </x:c>
      <x:c r="F704" s="25" t="str">
        <x:v>职业指导师</x:v>
      </x:c>
      <x:c r="G704" s="27" t="str">
        <x:v>IC09</x:v>
      </x:c>
      <x:c r="H704" s="25" t="str">
        <x:v>食品饮料产业链</x:v>
      </x:c>
      <x:c r="I704" s="25" t="str">
        <x:v>下游</x:v>
      </x:c>
      <x:c r="J704" s="27" t="str">
        <x:v>ICN027</x:v>
      </x:c>
      <x:c r="K704" s="25" t="str">
        <x:v>品牌渠道、餐饮零售与消费服务</x:v>
      </x:c>
      <x:c r="L704" s="28" t="n">
        <x:v>83</x:v>
      </x:c>
      <x:c r="M704" s="25" t="str">
        <x:v>高</x:v>
      </x:c>
      <x:c r="N704" s="26" t="str">
        <x:v>厨师、食品、餐饮、食品安全、餐厅、品牌、销售</x:v>
      </x:c>
      <x:c r="O704" s="26" t="str">
        <x:v>岗位名称/描述出现“厨师、食品、餐饮、食品安全”，工作环节更贴近“厨师、餐饮、餐厅、品牌、销售”，因此关联到该节点。</x:v>
      </x:c>
      <x:c r="P704" s="26" t="str">
        <x:v>自动通过</x:v>
      </x:c>
    </x:row>
    <x:row r="705" ht="44" customHeight="1">
      <x:c r="A705" s="27" t="str">
        <x:v>REL000702</x:v>
      </x:c>
      <x:c r="B705" s="25" t="n">
        <x:v>12237</x:v>
      </x:c>
      <x:c r="C705" s="27" t="str">
        <x:v>IC-L3-1494</x:v>
      </x:c>
      <x:c r="D705" s="25" t="str">
        <x:v>西点师</x:v>
      </x:c>
      <x:c r="E705" s="27" t="str">
        <x:v>4-03-02-05</x:v>
      </x:c>
      <x:c r="F705" s="25" t="str">
        <x:v>餐厅服务员</x:v>
      </x:c>
      <x:c r="G705" s="27" t="str">
        <x:v>IC09</x:v>
      </x:c>
      <x:c r="H705" s="25" t="str">
        <x:v>食品饮料产业链</x:v>
      </x:c>
      <x:c r="I705" s="25" t="str">
        <x:v>下游</x:v>
      </x:c>
      <x:c r="J705" s="27" t="str">
        <x:v>ICN027</x:v>
      </x:c>
      <x:c r="K705" s="25" t="str">
        <x:v>品牌渠道、餐饮零售与消费服务</x:v>
      </x:c>
      <x:c r="L705" s="28" t="n">
        <x:v>63</x:v>
      </x:c>
      <x:c r="M705" s="25" t="str">
        <x:v>低</x:v>
      </x:c>
      <x:c r="N705" s="26" t="str">
        <x:v>餐厅服务、食品、餐饮、食品安全、餐厅、品牌</x:v>
      </x:c>
      <x:c r="O705" s="26" t="str">
        <x:v>岗位名称/描述出现“餐厅服务、食品、餐饮、食品安全”，工作环节更贴近“餐厅、餐饮、品牌”，因此关联到该节点。</x:v>
      </x:c>
      <x:c r="P705" s="26" t="str">
        <x:v>建议复核</x:v>
      </x:c>
    </x:row>
    <x:row r="706" ht="44" customHeight="1">
      <x:c r="A706" s="27" t="str">
        <x:v>REL000703</x:v>
      </x:c>
      <x:c r="B706" s="25" t="n">
        <x:v>12238</x:v>
      </x:c>
      <x:c r="C706" s="27" t="str">
        <x:v>IC-L3-1495</x:v>
      </x:c>
      <x:c r="D706" s="25" t="str">
        <x:v>西餐厨师</x:v>
      </x:c>
      <x:c r="E706" s="27" t="str">
        <x:v>4-07-03-01</x:v>
      </x:c>
      <x:c r="F706" s="25" t="str">
        <x:v>职业指导师</x:v>
      </x:c>
      <x:c r="G706" s="27" t="str">
        <x:v>IC09</x:v>
      </x:c>
      <x:c r="H706" s="25" t="str">
        <x:v>食品饮料产业链</x:v>
      </x:c>
      <x:c r="I706" s="25" t="str">
        <x:v>下游</x:v>
      </x:c>
      <x:c r="J706" s="27" t="str">
        <x:v>ICN027</x:v>
      </x:c>
      <x:c r="K706" s="25" t="str">
        <x:v>品牌渠道、餐饮零售与消费服务</x:v>
      </x:c>
      <x:c r="L706" s="28" t="n">
        <x:v>82</x:v>
      </x:c>
      <x:c r="M706" s="25" t="str">
        <x:v>高</x:v>
      </x:c>
      <x:c r="N706" s="26" t="str">
        <x:v>厨师、食品、餐饮、食品安全、餐厅、品牌</x:v>
      </x:c>
      <x:c r="O706" s="26" t="str">
        <x:v>岗位名称/描述出现“厨师、食品、餐饮、食品安全”，工作环节更贴近“厨师、餐饮、餐厅、品牌”，因此关联到该节点。</x:v>
      </x:c>
      <x:c r="P706" s="26" t="str">
        <x:v>自动通过</x:v>
      </x:c>
    </x:row>
    <x:row r="707" ht="44" customHeight="1">
      <x:c r="A707" s="27" t="str">
        <x:v>REL000704</x:v>
      </x:c>
      <x:c r="B707" s="25" t="n">
        <x:v>12239</x:v>
      </x:c>
      <x:c r="C707" s="27" t="str">
        <x:v>IC-L3-1496</x:v>
      </x:c>
      <x:c r="D707" s="25" t="str">
        <x:v>面点师</x:v>
      </x:c>
      <x:c r="E707" s="27" t="str">
        <x:v>4-07-03-01</x:v>
      </x:c>
      <x:c r="F707" s="25" t="str">
        <x:v>职业指导师</x:v>
      </x:c>
      <x:c r="G707" s="27" t="str">
        <x:v>IC09</x:v>
      </x:c>
      <x:c r="H707" s="25" t="str">
        <x:v>食品饮料产业链</x:v>
      </x:c>
      <x:c r="I707" s="25" t="str">
        <x:v>下游</x:v>
      </x:c>
      <x:c r="J707" s="27" t="str">
        <x:v>ICN027</x:v>
      </x:c>
      <x:c r="K707" s="25" t="str">
        <x:v>品牌渠道、餐饮零售与消费服务</x:v>
      </x:c>
      <x:c r="L707" s="28" t="n">
        <x:v>61</x:v>
      </x:c>
      <x:c r="M707" s="25" t="str">
        <x:v>低</x:v>
      </x:c>
      <x:c r="N707" s="26" t="str">
        <x:v>食品、餐饮、厨师、食品安全、餐厅</x:v>
      </x:c>
      <x:c r="O707" s="26" t="str">
        <x:v>岗位名称/描述出现“食品、餐饮、厨师、食品安全”，工作环节更贴近“餐饮、餐厅、厨师”，因此关联到该节点。</x:v>
      </x:c>
      <x:c r="P707" s="26" t="str">
        <x:v>建议复核</x:v>
      </x:c>
    </x:row>
    <x:row r="708" ht="44" customHeight="1">
      <x:c r="A708" s="27" t="str">
        <x:v>REL000705</x:v>
      </x:c>
      <x:c r="B708" s="25" t="n">
        <x:v>12240</x:v>
      </x:c>
      <x:c r="C708" s="27" t="str">
        <x:v>IC-L3-1497</x:v>
      </x:c>
      <x:c r="D708" s="25" t="str">
        <x:v>食品安全管理师</x:v>
      </x:c>
      <x:c r="E708" s="27" t="str">
        <x:v>4-07-03-01</x:v>
      </x:c>
      <x:c r="F708" s="25" t="str">
        <x:v>职业指导师</x:v>
      </x:c>
      <x:c r="G708" s="27" t="str">
        <x:v>IC09</x:v>
      </x:c>
      <x:c r="H708" s="25" t="str">
        <x:v>食品饮料产业链</x:v>
      </x:c>
      <x:c r="I708" s="25" t="str">
        <x:v>下游</x:v>
      </x:c>
      <x:c r="J708" s="27" t="str">
        <x:v>ICN027</x:v>
      </x:c>
      <x:c r="K708" s="25" t="str">
        <x:v>品牌渠道、餐饮零售与消费服务</x:v>
      </x:c>
      <x:c r="L708" s="28" t="n">
        <x:v>87</x:v>
      </x:c>
      <x:c r="M708" s="25" t="str">
        <x:v>高</x:v>
      </x:c>
      <x:c r="N708" s="26" t="str">
        <x:v>食品、食品安全、餐饮、餐厅、品牌</x:v>
      </x:c>
      <x:c r="O708" s="26" t="str">
        <x:v>岗位名称/描述出现“食品、食品安全、餐饮”，工作环节更贴近“餐饮、餐厅、品牌”，因此关联到该节点。</x:v>
      </x:c>
      <x:c r="P708" s="26" t="str">
        <x:v>自动通过</x:v>
      </x:c>
    </x:row>
    <x:row r="709" ht="44" customHeight="1">
      <x:c r="A709" s="27" t="str">
        <x:v>REL000706</x:v>
      </x:c>
      <x:c r="B709" s="25" t="n">
        <x:v>12241</x:v>
      </x:c>
      <x:c r="C709" s="27" t="str">
        <x:v>IC-L3-1498</x:v>
      </x:c>
      <x:c r="D709" s="25" t="str">
        <x:v>餐饮店长/经理</x:v>
      </x:c>
      <x:c r="E709" s="27" t="str">
        <x:v>4-01-02-03</x:v>
      </x:c>
      <x:c r="F709" s="25" t="str">
        <x:v>商品营业员</x:v>
      </x:c>
      <x:c r="G709" s="27" t="str">
        <x:v>IC09</x:v>
      </x:c>
      <x:c r="H709" s="25" t="str">
        <x:v>食品饮料产业链</x:v>
      </x:c>
      <x:c r="I709" s="25" t="str">
        <x:v>下游</x:v>
      </x:c>
      <x:c r="J709" s="27" t="str">
        <x:v>ICN027</x:v>
      </x:c>
      <x:c r="K709" s="25" t="str">
        <x:v>品牌渠道、餐饮零售与消费服务</x:v>
      </x:c>
      <x:c r="L709" s="28" t="n">
        <x:v>82</x:v>
      </x:c>
      <x:c r="M709" s="25" t="str">
        <x:v>高</x:v>
      </x:c>
      <x:c r="N709" s="26" t="str">
        <x:v>餐饮、食品、厨师、食品安全、餐厅、品牌</x:v>
      </x:c>
      <x:c r="O709" s="26" t="str">
        <x:v>岗位名称/描述出现“餐饮、食品、厨师、食品安全”，工作环节更贴近“餐饮、餐厅、厨师、品牌”，因此关联到该节点。</x:v>
      </x:c>
      <x:c r="P709" s="26" t="str">
        <x:v>自动通过</x:v>
      </x:c>
    </x:row>
  </x:sheetData>
  <x:mergeCells>
    <x:mergeCell ref="A1:P1"/>
    <x:mergeCell ref="A2:P2"/>
  </x:mergeCells>
  <x:conditionalFormatting sqref="M4:M709">
    <x:cfRule type="containsText" dxfId="0" priority="1" operator="containsText" text="高"/>
    <x:cfRule type="containsText" dxfId="1" priority="2" operator="containsText" text="中"/>
    <x:cfRule type="containsText" dxfId="2" priority="3" operator="containsText" text="低"/>
  </x:conditionalFormatting>
  <x:dataValidations count="1">
    <x:dataValidation type="list" sqref="P4:P709">
      <x:formula1>"自动通过,建议复核,人工确认,不采纳"</x:formula1>
    </x:dataValidation>
  </x:dataValidations>
  <x:pageMargins left="0.7" right="0.7" top="0.75" bottom="0.75" header="0.3" footer="0.3"/>
  <x:tableParts count="1">
    <x:tablePart xmlns:r="http://schemas.openxmlformats.org/officeDocument/2006/relationships" r:id="R6ff7471481374e6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0.890000343322754" hidden="0" customWidth="1"/>
    <x:col min="3" max="3" width="17.219999313354492" hidden="0" customWidth="1"/>
    <x:col min="4" max="4" width="10.890000343322754" hidden="0" customWidth="1"/>
    <x:col min="5" max="5" width="16.110000610351562" hidden="0" customWidth="1"/>
    <x:col min="6" max="6" width="6.889999866485596" hidden="0" customWidth="1"/>
    <x:col min="7" max="7" width="23.329999923706055" hidden="0" customWidth="1"/>
    <x:col min="8" max="8" width="8.670000076293945" hidden="0" customWidth="1"/>
    <x:col min="9" max="9" width="20" hidden="0" customWidth="1"/>
    <x:col min="10" max="10" width="35.560001373291016" hidden="0" customWidth="1"/>
    <x:col min="11" max="11" width="33.33000183105469" hidden="0" customWidth="1"/>
    <x:col min="12" max="12" width="33.33000183105469" hidden="0" customWidth="1"/>
  </x:cols>
  <x:sheetData>
    <x:row r="1" ht="32" customHeight="1">
      <x:c r="A1" s="4" t="str">
        <x:v>岗位映射覆盖检查</x:v>
      </x:c>
      <x:c r="B1" s="4" t="str">
        <x:v>岗位映射覆盖检查</x:v>
      </x:c>
      <x:c r="C1" s="4" t="str">
        <x:v>岗位映射覆盖检查</x:v>
      </x:c>
      <x:c r="D1" s="4" t="str">
        <x:v>岗位映射覆盖检查</x:v>
      </x:c>
      <x:c r="E1" s="4" t="str">
        <x:v>岗位映射覆盖检查</x:v>
      </x:c>
      <x:c r="F1" s="4" t="str">
        <x:v>岗位映射覆盖检查</x:v>
      </x:c>
      <x:c r="G1" s="4" t="str">
        <x:v>岗位映射覆盖检查</x:v>
      </x:c>
      <x:c r="H1" s="4" t="str">
        <x:v>岗位映射覆盖检查</x:v>
      </x:c>
      <x:c r="I1" s="4" t="str">
        <x:v>岗位映射覆盖检查</x:v>
      </x:c>
      <x:c r="J1" s="4" t="str">
        <x:v>岗位映射覆盖检查</x:v>
      </x:c>
      <x:c r="K1" s="4" t="str">
        <x:v>岗位映射覆盖检查</x:v>
      </x:c>
      <x:c r="L1" s="4" t="str">
        <x:v>岗位映射覆盖检查</x:v>
      </x:c>
    </x:row>
    <x:row r="2" ht="36" customHeight="1">
      <x:c r="A2" s="9" t="str">
        <x:v>本表保留源文件中的全部岗位。关系数为 0 的岗位通常属于金融、教育、法务、通用管理等当前 19 条产业链未覆盖领域，或岗位名称/描述证据不足，未强行关联。</x:v>
      </x:c>
      <x:c r="B2" s="9" t="str">
        <x:v>本表保留源文件中的全部岗位。关系数为 0 的岗位通常属于金融、教育、法务、通用管理等当前 19 条产业链未覆盖领域，或岗位名称/描述证据不足，未强行关联。</x:v>
      </x:c>
      <x:c r="C2" s="9" t="str">
        <x:v>本表保留源文件中的全部岗位。关系数为 0 的岗位通常属于金融、教育、法务、通用管理等当前 19 条产业链未覆盖领域，或岗位名称/描述证据不足，未强行关联。</x:v>
      </x:c>
      <x:c r="D2" s="9" t="str">
        <x:v>本表保留源文件中的全部岗位。关系数为 0 的岗位通常属于金融、教育、法务、通用管理等当前 19 条产业链未覆盖领域，或岗位名称/描述证据不足，未强行关联。</x:v>
      </x:c>
      <x:c r="E2" s="9" t="str">
        <x:v>本表保留源文件中的全部岗位。关系数为 0 的岗位通常属于金融、教育、法务、通用管理等当前 19 条产业链未覆盖领域，或岗位名称/描述证据不足，未强行关联。</x:v>
      </x:c>
      <x:c r="F2" s="9" t="str">
        <x:v>本表保留源文件中的全部岗位。关系数为 0 的岗位通常属于金融、教育、法务、通用管理等当前 19 条产业链未覆盖领域，或岗位名称/描述证据不足，未强行关联。</x:v>
      </x:c>
      <x:c r="G2" s="9" t="str">
        <x:v>本表保留源文件中的全部岗位。关系数为 0 的岗位通常属于金融、教育、法务、通用管理等当前 19 条产业链未覆盖领域，或岗位名称/描述证据不足，未强行关联。</x:v>
      </x:c>
      <x:c r="H2" s="9" t="str">
        <x:v>本表保留源文件中的全部岗位。关系数为 0 的岗位通常属于金融、教育、法务、通用管理等当前 19 条产业链未覆盖领域，或岗位名称/描述证据不足，未强行关联。</x:v>
      </x:c>
      <x:c r="I2" s="9" t="str">
        <x:v>本表保留源文件中的全部岗位。关系数为 0 的岗位通常属于金融、教育、法务、通用管理等当前 19 条产业链未覆盖领域，或岗位名称/描述证据不足，未强行关联。</x:v>
      </x:c>
      <x:c r="J2" s="9" t="str">
        <x:v>本表保留源文件中的全部岗位。关系数为 0 的岗位通常属于金融、教育、法务、通用管理等当前 19 条产业链未覆盖领域，或岗位名称/描述证据不足，未强行关联。</x:v>
      </x:c>
      <x:c r="K2" s="9" t="str">
        <x:v>本表保留源文件中的全部岗位。关系数为 0 的岗位通常属于金融、教育、法务、通用管理等当前 19 条产业链未覆盖领域，或岗位名称/描述证据不足，未强行关联。</x:v>
      </x:c>
      <x:c r="L2" s="9" t="str">
        <x:v>本表保留源文件中的全部岗位。关系数为 0 的岗位通常属于金融、教育、法务、通用管理等当前 19 条产业链未覆盖领域，或岗位名称/描述证据不足，未强行关联。</x:v>
      </x:c>
    </x:row>
    <x:row r="3" ht="32" customHeight="1">
      <x:c r="A3" s="21" t="str">
        <x:v>岗位主键</x:v>
      </x:c>
      <x:c r="B3" s="22" t="str">
        <x:v>岗位编码</x:v>
      </x:c>
      <x:c r="C3" s="22" t="str">
        <x:v>岗位名称</x:v>
      </x:c>
      <x:c r="D3" s="22" t="str">
        <x:v>职业代码</x:v>
      </x:c>
      <x:c r="E3" s="22" t="str">
        <x:v>职业名称</x:v>
      </x:c>
      <x:c r="F3" s="22" t="str">
        <x:v>关系数</x:v>
      </x:c>
      <x:c r="G3" s="22" t="str">
        <x:v>映射状态</x:v>
      </x:c>
      <x:c r="H3" s="22" t="str">
        <x:v>最高置信度</x:v>
      </x:c>
      <x:c r="I3" s="22" t="str">
        <x:v>产业节点ID列表</x:v>
      </x:c>
      <x:c r="J3" s="22" t="str">
        <x:v>产业节点列表</x:v>
      </x:c>
      <x:c r="K3" s="22" t="str">
        <x:v>岗位简介摘要</x:v>
      </x:c>
      <x:c r="L3" s="23" t="str">
        <x:v>岗位职责摘要</x:v>
      </x:c>
    </x:row>
    <x:row r="4" ht="72" customHeight="1">
      <x:c r="A4" s="25" t="n">
        <x:v>10896</x:v>
      </x:c>
      <x:c r="B4" s="25" t="str">
        <x:v>IC-L3-153</x:v>
      </x:c>
      <x:c r="C4" s="25" t="str">
        <x:v>智能驾驶工程师</x:v>
      </x:c>
      <x:c r="D4" s="25" t="str">
        <x:v>2-02-38-01</x:v>
      </x:c>
      <x:c r="E4" s="25" t="str">
        <x:v>人工智能工程技术人员</x:v>
      </x:c>
      <x:c r="F4" s="28" t="n">
        <x:f>COUNTIF('岗位-产业节点关系'!$C$4:$C$709,B4)</x:f>
        <x:v>2</x:v>
      </x:c>
      <x:c r="G4" s="26" t="str">
        <x:f>IF(F4=0,"未匹配（现有产业链范围未覆盖或证据不足）",IF(COUNTIFS('岗位-产业节点关系'!$C$4:$C$709,B4,'岗位-产业节点关系'!$M$4:$M$709,"低")&gt;0,"已匹配，建议复核","已匹配"))</x:f>
        <x:v>已匹配</x:v>
      </x:c>
      <x:c r="H4" s="26" t="str">
        <x:v>中</x:v>
      </x:c>
      <x:c r="I4" s="26" t="str">
        <x:v>ICN045、ICN024</x:v>
      </x:c>
      <x:c r="J4" s="26" t="str">
        <x:v>人工智能产业链/下游/行业智能化应用与AI服务；汽车与智能网联汽车产业链/下游/出行服务、后市场与自动驾驶应用</x:v>
      </x:c>
      <x:c r="K4" s="26" t="str">
        <x:v>智能驾驶工程师是互联网技术行业中人工智能方向的关键角色之一，负责开发和优化自动驾驶系统，确保车辆能够在各种复杂环境中安全、高效地运行。随着全球对智能交通系统的日益重视，这一职位不仅处于技术创新的前沿，还肩负着推动社会进步…</x:v>
      </x:c>
      <x:c r="L4" s="26" t="str">
        <x:v>智能驾驶工程师的主要职责包括：负责智能驾驶系统的研发与优化，包括感知、决策与控制模块；参与自动驾驶算法的设计与实现，确保系统在各种复杂环境下的稳定运行；进行数据采集与分析，持续优化算法性能；与跨部门团队紧密合作，推动智能…</x:v>
      </x:c>
    </x:row>
    <x:row r="5" ht="72" customHeight="1">
      <x:c r="A5" s="25" t="n">
        <x:v>10897</x:v>
      </x:c>
      <x:c r="B5" s="25" t="str">
        <x:v>IC-L3-154</x:v>
      </x:c>
      <x:c r="C5" s="25" t="str">
        <x:v>机器学习工程师</x:v>
      </x:c>
      <x:c r="D5" s="25" t="str">
        <x:v>2-02-38-01</x:v>
      </x:c>
      <x:c r="E5" s="25" t="str">
        <x:v>人工智能工程技术人员</x:v>
      </x:c>
      <x:c r="F5" s="28" t="n">
        <x:f>COUNTIF('岗位-产业节点关系'!$C$4:$C$709,B5)</x:f>
        <x:v>1</x:v>
      </x:c>
      <x:c r="G5" s="26" t="str">
        <x:f>IF(F5=0,"未匹配（现有产业链范围未覆盖或证据不足）",IF(COUNTIFS('岗位-产业节点关系'!$C$4:$C$709,B5,'岗位-产业节点关系'!$M$4:$M$709,"低")&gt;0,"已匹配，建议复核","已匹配"))</x:f>
        <x:v>已匹配</x:v>
      </x:c>
      <x:c r="H5" s="26" t="str">
        <x:v>中</x:v>
      </x:c>
      <x:c r="I5" s="26" t="str">
        <x:v>ICN043</x:v>
      </x:c>
      <x:c r="J5" s="26" t="str">
        <x:v>人工智能产业链/上游/数据、算力与模型基础</x:v>
      </x:c>
      <x:c r="K5" s="26" t="str">
        <x:v>机器学习工程师是互联网技术行业中不可或缺的角色之一，在人工智能领域中扮演着至关重要的角色。他们负责构建和实现复杂的算法模型，以解决实际问题并推动技术创新，是连接理论研究与商业应用的桥梁。 该职位的核心目标在于通过开发高效…</x:v>
      </x:c>
      <x:c r="L5" s="26" t="str">
        <x:v>1. 设计并实施先进的机器学习算法，针对特定应用场景进行优化，提高预测精度和处理效率。 2. 与数据科学家合作，分析大量复杂的数据集，提取有价值的信息用于训练模型，确保模型的稳定性和可靠性。 3. 参与跨部门协作，理解业…</x:v>
      </x:c>
    </x:row>
    <x:row r="6" ht="72" customHeight="1">
      <x:c r="A6" s="25" t="n">
        <x:v>10898</x:v>
      </x:c>
      <x:c r="B6" s="25" t="str">
        <x:v>IC-L3-155</x:v>
      </x:c>
      <x:c r="C6" s="25" t="str">
        <x:v>机器视觉工程师</x:v>
      </x:c>
      <x:c r="D6" s="25" t="str">
        <x:v>2-02-38-01</x:v>
      </x:c>
      <x:c r="E6" s="25" t="str">
        <x:v>人工智能工程技术人员</x:v>
      </x:c>
      <x:c r="F6" s="28" t="n">
        <x:f>COUNTIF('岗位-产业节点关系'!$C$4:$C$709,B6)</x:f>
        <x:v>1</x:v>
      </x:c>
      <x:c r="G6" s="26" t="str">
        <x:f>IF(F6=0,"未匹配（现有产业链范围未覆盖或证据不足）",IF(COUNTIFS('岗位-产业节点关系'!$C$4:$C$709,B6,'岗位-产业节点关系'!$M$4:$M$709,"低")&gt;0,"已匹配，建议复核","已匹配"))</x:f>
        <x:v>已匹配</x:v>
      </x:c>
      <x:c r="H6" s="26" t="str">
        <x:v>高</x:v>
      </x:c>
      <x:c r="I6" s="26" t="str">
        <x:v>ICN044</x:v>
      </x:c>
      <x:c r="J6" s="26" t="str">
        <x:v>人工智能产业链/中游/智能感知、语音视觉与平台工具</x:v>
      </x:c>
      <x:c r="K6" s="26" t="str">
        <x:v>机器视觉工程师是互联网技术行业中人工智能领域的重要角色，负责开发和优化能够理解并处理图像或视频数据的技术方案，以支持产品的智能化升级和服务创新。随着AI技术的发展，这一职位对于推动企业技术进步、提升产品竞争力具有不可替代…</x:v>
      </x:c>
      <x:c r="L6" s="26" t="str">
        <x:v>1. 负责研究和开发基于深度学习的图像/视频处理算法，应用于目标检测、分类、跟踪等多个场景，提升算法准确率和效率。 2. 对现有系统进行性能评估与调优，确保在复杂环境下仍能保持良好的识别精度和响应速度，满足不同客户的需求…</x:v>
      </x:c>
    </x:row>
    <x:row r="7" ht="72" customHeight="1">
      <x:c r="A7" s="25" t="n">
        <x:v>10899</x:v>
      </x:c>
      <x:c r="B7" s="25" t="str">
        <x:v>IC-L3-156</x:v>
      </x:c>
      <x:c r="C7" s="25" t="str">
        <x:v>深度学习工程师</x:v>
      </x:c>
      <x:c r="D7" s="25" t="str">
        <x:v>2-02-38-01</x:v>
      </x:c>
      <x:c r="E7" s="25" t="str">
        <x:v>人工智能工程技术人员</x:v>
      </x:c>
      <x:c r="F7" s="28" t="n">
        <x:f>COUNTIF('岗位-产业节点关系'!$C$4:$C$709,B7)</x:f>
        <x:v>1</x:v>
      </x:c>
      <x:c r="G7" s="26" t="str">
        <x:f>IF(F7=0,"未匹配（现有产业链范围未覆盖或证据不足）",IF(COUNTIFS('岗位-产业节点关系'!$C$4:$C$709,B7,'岗位-产业节点关系'!$M$4:$M$709,"低")&gt;0,"已匹配，建议复核","已匹配"))</x:f>
        <x:v>已匹配</x:v>
      </x:c>
      <x:c r="H7" s="26" t="str">
        <x:v>高</x:v>
      </x:c>
      <x:c r="I7" s="26" t="str">
        <x:v>ICN043</x:v>
      </x:c>
      <x:c r="J7" s="26" t="str">
        <x:v>人工智能产业链/上游/数据、算力与模型基础</x:v>
      </x:c>
      <x:c r="K7" s="26" t="str">
        <x:v>深度学习工程师是互联网技术行业中人工智能领域的重要角色，负责构建和实现复杂的机器学习模型，以解决实际问题并推动技术创新。随着数据量的爆炸式增长和技术的进步，深度学习工程师成为了企业竞争的关键力量，他们不仅能够帮助企业从海…</x:v>
      </x:c>
      <x:c r="L7" s="26" t="str">
        <x:v>1. 设计并实现高效的深度学习模型，用于处理大规模数据集，提高预测准确率。 2. 与团队成员密切配合，参与项目的需求分析、架构设计及技术选型工作，确保技术方案的有效实施。 3. 对现有系统进行性能评估与优化，持续改进模型…</x:v>
      </x:c>
    </x:row>
    <x:row r="8" ht="72" customHeight="1">
      <x:c r="A8" s="25" t="n">
        <x:v>10900</x:v>
      </x:c>
      <x:c r="B8" s="25" t="str">
        <x:v>IC-L3-157</x:v>
      </x:c>
      <x:c r="C8" s="25" t="str">
        <x:v>算法工程师</x:v>
      </x:c>
      <x:c r="D8" s="25" t="str">
        <x:v>2-02-38-01</x:v>
      </x:c>
      <x:c r="E8" s="25" t="str">
        <x:v>人工智能工程技术人员</x:v>
      </x:c>
      <x:c r="F8" s="28" t="n">
        <x:f>COUNTIF('岗位-产业节点关系'!$C$4:$C$709,B8)</x:f>
        <x:v>1</x:v>
      </x:c>
      <x:c r="G8" s="26" t="str">
        <x:f>IF(F8=0,"未匹配（现有产业链范围未覆盖或证据不足）",IF(COUNTIFS('岗位-产业节点关系'!$C$4:$C$709,B8,'岗位-产业节点关系'!$M$4:$M$709,"低")&gt;0,"已匹配，建议复核","已匹配"))</x:f>
        <x:v>已匹配</x:v>
      </x:c>
      <x:c r="H8" s="26" t="str">
        <x:v>高</x:v>
      </x:c>
      <x:c r="I8" s="26" t="str">
        <x:v>ICN044</x:v>
      </x:c>
      <x:c r="J8" s="26" t="str">
        <x:v>人工智能产业链/中游/智能感知、语音视觉与平台工具</x:v>
      </x:c>
      <x:c r="K8" s="26" t="str">
        <x:v>算法工程师是互联网技术行业中不可或缺的专业人才，在人工智能领域扮演着核心角色。通过开发和优化各种算法模型，他们能够帮助公司实现数据的有效分析与利用，从而提升产品和服务的质量，推动企业的创新发展。 该职位的核心目标在于设计…</x:v>
      </x:c>
      <x:c r="L8" s="26" t="str">
        <x:v>1. 负责研究并应用先进的机器学习算法，针对特定应用场景进行模型构建与优化，提高预测准确率和响应速度。 2. 参与数据分析工作，从海量数据中提取有价值的信息，支持业务部门做出更加精准的战略决策。 3. 与跨职能团队密切配…</x:v>
      </x:c>
    </x:row>
    <x:row r="9" ht="72" customHeight="1">
      <x:c r="A9" s="25" t="n">
        <x:v>10901</x:v>
      </x:c>
      <x:c r="B9" s="25" t="str">
        <x:v>IC-L3-158</x:v>
      </x:c>
      <x:c r="C9" s="25" t="str">
        <x:v>自然语言处理</x:v>
      </x:c>
      <x:c r="D9" s="25" t="str">
        <x:v>2-02-38-01</x:v>
      </x:c>
      <x:c r="E9" s="25" t="str">
        <x:v>人工智能工程技术人员</x:v>
      </x:c>
      <x:c r="F9" s="28" t="n">
        <x:f>COUNTIF('岗位-产业节点关系'!$C$4:$C$709,B9)</x:f>
        <x:v>1</x:v>
      </x:c>
      <x:c r="G9" s="26" t="str">
        <x:f>IF(F9=0,"未匹配（现有产业链范围未覆盖或证据不足）",IF(COUNTIFS('岗位-产业节点关系'!$C$4:$C$709,B9,'岗位-产业节点关系'!$M$4:$M$709,"低")&gt;0,"已匹配，建议复核","已匹配"))</x:f>
        <x:v>已匹配</x:v>
      </x:c>
      <x:c r="H9" s="26" t="str">
        <x:v>中</x:v>
      </x:c>
      <x:c r="I9" s="26" t="str">
        <x:v>ICN044</x:v>
      </x:c>
      <x:c r="J9" s="26" t="str">
        <x:v>人工智能产业链/中游/智能感知、语音视觉与平台工具</x:v>
      </x:c>
      <x:c r="K9" s="26" t="str">
        <x:v>自然语言处理工程师是互联网技术领域中人工智能方向的重要角色，主要负责开发和优化能够理解、生成人类语言的技术系统。随着大数据和云计算的发展，自然语言处理技术在搜索引擎、智能客服、机器翻译等多个应用场景中发挥着关键作用，成为…</x:v>
      </x:c>
      <x:c r="L9" s="26" t="str">
        <x:v>1. 负责设计并实现高效的自然语言处理算法，以满足不同场景下的应用需求，提高系统的智能化水平。 2. 对现有自然语言处理模型进行持续调优，定期评估模型效果，确保其在实际应用中的稳定性和准确性。 3. 参与跨部门沟通协调工…</x:v>
      </x:c>
    </x:row>
    <x:row r="10" ht="72" customHeight="1">
      <x:c r="A10" s="25" t="n">
        <x:v>10902</x:v>
      </x:c>
      <x:c r="B10" s="25" t="str">
        <x:v>IC-L3-159</x:v>
      </x:c>
      <x:c r="C10" s="25" t="str">
        <x:v>语音识别工程师</x:v>
      </x:c>
      <x:c r="D10" s="25" t="str">
        <x:v>2-02-38-01</x:v>
      </x:c>
      <x:c r="E10" s="25" t="str">
        <x:v>人工智能工程技术人员</x:v>
      </x:c>
      <x:c r="F10" s="28" t="n">
        <x:f>COUNTIF('岗位-产业节点关系'!$C$4:$C$709,B10)</x:f>
        <x:v>1</x:v>
      </x:c>
      <x:c r="G10" s="26" t="str">
        <x:f>IF(F10=0,"未匹配（现有产业链范围未覆盖或证据不足）",IF(COUNTIFS('岗位-产业节点关系'!$C$4:$C$709,B10,'岗位-产业节点关系'!$M$4:$M$709,"低")&gt;0,"已匹配，建议复核","已匹配"))</x:f>
        <x:v>已匹配</x:v>
      </x:c>
      <x:c r="H10" s="26" t="str">
        <x:v>中</x:v>
      </x:c>
      <x:c r="I10" s="26" t="str">
        <x:v>ICN044</x:v>
      </x:c>
      <x:c r="J10" s="26" t="str">
        <x:v>人工智能产业链/中游/智能感知、语音视觉与平台工具</x:v>
      </x:c>
      <x:c r="K10" s="26" t="str">
        <x:v>语音识别工程师是互联网技术行业中人工智能领域的一个关键角色，随着语音交互技术的发展，这一职位的重要性日益凸显，它不仅促进了人机交互方式的革新，还为企业提供了更高效的服务解决方案。该职位的核心目标在于通过研究和开发先进的语…</x:v>
      </x:c>
      <x:c r="L10" s="26" t="str">
        <x:v>1. 设计并实现高效的语音识别模型，针对特定应用场景优化识别精度和响应速度。 2. 收集和标注大规模语音数据，构建高质量的训练集以支持算法迭代。 3. 跟踪国内外最新的语音识别技术动态，探索前沿算法并应用于实际产品中。 …</x:v>
      </x:c>
    </x:row>
    <x:row r="11" ht="72" customHeight="1">
      <x:c r="A11" s="25" t="n">
        <x:v>10903</x:v>
      </x:c>
      <x:c r="B11" s="25" t="str">
        <x:v>IC-L3-160</x:v>
      </x:c>
      <x:c r="C11" s="25" t="str">
        <x:v>U3D前端/移动开发</x:v>
      </x:c>
      <x:c r="D11" s="25" t="str">
        <x:v>2-02-10-03</x:v>
      </x:c>
      <x:c r="E11" s="25" t="str">
        <x:v>计算机软件工程技术人员</x:v>
      </x:c>
      <x:c r="F11" s="28" t="n">
        <x:f>COUNTIF('岗位-产业节点关系'!$C$4:$C$709,B11)</x:f>
        <x:v>2</x:v>
      </x:c>
      <x:c r="G11" s="26" t="str">
        <x:f>IF(F11=0,"未匹配（现有产业链范围未覆盖或证据不足）",IF(COUNTIFS('岗位-产业节点关系'!$C$4:$C$709,B11,'岗位-产业节点关系'!$M$4:$M$709,"低")&gt;0,"已匹配，建议复核","已匹配"))</x:f>
        <x:v>已匹配</x:v>
      </x:c>
      <x:c r="H11" s="26" t="str">
        <x:v>高</x:v>
      </x:c>
      <x:c r="I11" s="26" t="str">
        <x:v>ICN054、ICN056</x:v>
      </x:c>
      <x:c r="J11" s="26" t="str">
        <x:v>新型显示与虚拟现实产业链/下游/沉浸式内容、行业应用与消费场景；软件与数字安全产业链/中游/应用软件、区块链平台与安全产品</x:v>
      </x:c>
      <x:c r="K11" s="26" t="str">
        <x:v>U3D前端/移动开发者是互联网技术行业中不可或缺的专业人才，他们专注于利用Unity 3D引擎进行跨平台应用的开发，从游戏到虚拟现实体验，U3D技术的应用范围广泛，对于推动产品创新与用户体验提升起着关键作用。本职位的核心…</x:v>
      </x:c>
      <x:c r="L11" s="26" t="str">
        <x:v>1. 负责使用Unity 3D引擎开发高质量的移动应用程序或游戏项目，确保产品功能完善且运行稳定。 2. 根据项目需求进行界面布局、交互逻辑的设计与实现，注重细节处理以提高用户操作体验。 3. 定期参与代码审查会议，与其…</x:v>
      </x:c>
    </x:row>
    <x:row r="12" ht="72" customHeight="1">
      <x:c r="A12" s="25" t="n">
        <x:v>10904</x:v>
      </x:c>
      <x:c r="B12" s="25" t="str">
        <x:v>IC-L3-161</x:v>
      </x:c>
      <x:c r="C12" s="25" t="str">
        <x:v>UE4前端/移动开发</x:v>
      </x:c>
      <x:c r="D12" s="25" t="str">
        <x:v>2-02-10-03</x:v>
      </x:c>
      <x:c r="E12" s="25" t="str">
        <x:v>计算机软件工程技术人员</x:v>
      </x:c>
      <x:c r="F12" s="28" t="n">
        <x:f>COUNTIF('岗位-产业节点关系'!$C$4:$C$709,B12)</x:f>
        <x:v>2</x:v>
      </x:c>
      <x:c r="G12" s="26" t="str">
        <x:f>IF(F12=0,"未匹配（现有产业链范围未覆盖或证据不足）",IF(COUNTIFS('岗位-产业节点关系'!$C$4:$C$709,B12,'岗位-产业节点关系'!$M$4:$M$709,"低")&gt;0,"已匹配，建议复核","已匹配"))</x:f>
        <x:v>已匹配</x:v>
      </x:c>
      <x:c r="H12" s="26" t="str">
        <x:v>高</x:v>
      </x:c>
      <x:c r="I12" s="26" t="str">
        <x:v>ICN054、ICN056</x:v>
      </x:c>
      <x:c r="J12" s="26" t="str">
        <x:v>新型显示与虚拟现实产业链/下游/沉浸式内容、行业应用与消费场景；软件与数字安全产业链/中游/应用软件、区块链平台与安全产品</x:v>
      </x:c>
      <x:c r="K12" s="26" t="str">
        <x:v>在互联网技术行业中，UE4前端/移动开发工程师扮演着至关重要的角色。随着虚拟现实与增强现实技术的迅猛发展，该职位不仅推动了游戏产业的进步，还广泛应用于教育、医疗等多个领域。UE4前端/移动开发工程师负责将设计师的创意转化…</x:v>
      </x:c>
      <x:c r="L12" s="26" t="str">
        <x:v>1. 负责基于Unreal Engine 4的游戏或应用的前端界面设计与实现，确保符合项目需求并达到预期效果。 2. 结合业务场景，运用HTML5、CSS3等技术进行响应式布局设计，保证网页在不同设备上的良好展示。 3.…</x:v>
      </x:c>
    </x:row>
    <x:row r="13" ht="72" customHeight="1">
      <x:c r="A13" s="25" t="n">
        <x:v>10905</x:v>
      </x:c>
      <x:c r="B13" s="25" t="str">
        <x:v>IC-L3-162</x:v>
      </x:c>
      <x:c r="C13" s="25" t="str">
        <x:v>android前端/移动开发</x:v>
      </x:c>
      <x:c r="D13" s="25" t="str">
        <x:v>2-02-10-03</x:v>
      </x:c>
      <x:c r="E13" s="25" t="str">
        <x:v>计算机软件工程技术人员</x:v>
      </x:c>
      <x:c r="F13" s="28" t="n">
        <x:f>COUNTIF('岗位-产业节点关系'!$C$4:$C$709,B13)</x:f>
        <x:v>1</x:v>
      </x:c>
      <x:c r="G13" s="26" t="str">
        <x:f>IF(F13=0,"未匹配（现有产业链范围未覆盖或证据不足）",IF(COUNTIFS('岗位-产业节点关系'!$C$4:$C$709,B13,'岗位-产业节点关系'!$M$4:$M$709,"低")&gt;0,"已匹配，建议复核","已匹配"))</x:f>
        <x:v>已匹配</x:v>
      </x:c>
      <x:c r="H13" s="26" t="str">
        <x:v>高</x:v>
      </x:c>
      <x:c r="I13" s="26" t="str">
        <x:v>ICN056</x:v>
      </x:c>
      <x:c r="J13" s="26" t="str">
        <x:v>软件与数字安全产业链/中游/应用软件、区块链平台与安全产品</x:v>
      </x:c>
      <x:c r="K13" s="26" t="str">
        <x:v>Android前端/移动开发者是互联网技术领域中不可或缺的专业人才，他们负责设计和构建用户界面以及实现应用程序的功能，确保产品能够高效地运行在各种Android设备上，对于提升用户体验和品牌影响力具有重要意义。该职位的核…</x:v>
      </x:c>
      <x:c r="L13" s="26" t="str">
        <x:v>1. 负责Android平台上的软件产品的架构设计、编码实现及维护工作，确保代码质量符合规范要求。 2. 根据产品需求文档，参与产品功能的设计讨论，提出合理化建议并进行技术可行性分析。 3. 对现有应用进行性能调优，提高…</x:v>
      </x:c>
    </x:row>
    <x:row r="14" ht="72" customHeight="1">
      <x:c r="A14" s="25" t="n">
        <x:v>10906</x:v>
      </x:c>
      <x:c r="B14" s="25" t="str">
        <x:v>IC-L3-163</x:v>
      </x:c>
      <x:c r="C14" s="25" t="str">
        <x:v>cocos前端/移动开发</x:v>
      </x:c>
      <x:c r="D14" s="25" t="str">
        <x:v>2-02-10-03</x:v>
      </x:c>
      <x:c r="E14" s="25" t="str">
        <x:v>计算机软件工程技术人员</x:v>
      </x:c>
      <x:c r="F14" s="28" t="n">
        <x:f>COUNTIF('岗位-产业节点关系'!$C$4:$C$709,B14)</x:f>
        <x:v>2</x:v>
      </x:c>
      <x:c r="G14" s="26" t="str">
        <x:f>IF(F14=0,"未匹配（现有产业链范围未覆盖或证据不足）",IF(COUNTIFS('岗位-产业节点关系'!$C$4:$C$709,B14,'岗位-产业节点关系'!$M$4:$M$709,"低")&gt;0,"已匹配，建议复核","已匹配"))</x:f>
        <x:v>已匹配</x:v>
      </x:c>
      <x:c r="H14" s="26" t="str">
        <x:v>高</x:v>
      </x:c>
      <x:c r="I14" s="26" t="str">
        <x:v>ICN056、ICN054</x:v>
      </x:c>
      <x:c r="J14" s="26" t="str">
        <x:v>软件与数字安全产业链/中游/应用软件、区块链平台与安全产品；新型显示与虚拟现实产业链/下游/沉浸式内容、行业应用与消费场景</x:v>
      </x:c>
      <x:c r="K14" s="26" t="str">
        <x:v>Cocos前端/移动开发者是互联网技术领域中不可或缺的角色，负责利用Cocos引擎进行游戏或应用的开发工作。随着移动互联网的迅猛发展，这一职位的重要性日益凸显，不仅能够推动产品的创新与迭代，还能有效提升用户体验，增强用户…</x:v>
      </x:c>
      <x:c r="L14" s="26" t="str">
        <x:v>1. 使用Cocos Creator或其他相关工具，负责游戏或应用程序的前端界面设计与实现，确保视觉效果与交互体验达到设计要求。 2. 对现有代码进行优化，提高应用性能，解决兼容性问题，保证产品在不同设备上的稳定运行。 …</x:v>
      </x:c>
    </x:row>
    <x:row r="15" ht="72" customHeight="1">
      <x:c r="A15" s="25" t="n">
        <x:v>10907</x:v>
      </x:c>
      <x:c r="B15" s="25" t="str">
        <x:v>IC-L3-164</x:v>
      </x:c>
      <x:c r="C15" s="25" t="str">
        <x:v>ios前端/移动开发</x:v>
      </x:c>
      <x:c r="D15" s="25" t="str">
        <x:v>2-02-10-03</x:v>
      </x:c>
      <x:c r="E15" s="25" t="str">
        <x:v>计算机软件工程技术人员</x:v>
      </x:c>
      <x:c r="F15" s="28" t="n">
        <x:f>COUNTIF('岗位-产业节点关系'!$C$4:$C$709,B15)</x:f>
        <x:v>1</x:v>
      </x:c>
      <x:c r="G15" s="26" t="str">
        <x:f>IF(F15=0,"未匹配（现有产业链范围未覆盖或证据不足）",IF(COUNTIFS('岗位-产业节点关系'!$C$4:$C$709,B15,'岗位-产业节点关系'!$M$4:$M$709,"低")&gt;0,"已匹配，建议复核","已匹配"))</x:f>
        <x:v>已匹配</x:v>
      </x:c>
      <x:c r="H15" s="26" t="str">
        <x:v>高</x:v>
      </x:c>
      <x:c r="I15" s="26" t="str">
        <x:v>ICN056</x:v>
      </x:c>
      <x:c r="J15" s="26" t="str">
        <x:v>软件与数字安全产业链/中游/应用软件、区块链平台与安全产品</x:v>
      </x:c>
      <x:c r="K15" s="26" t="str">
        <x:v>在互联网技术行业中，iOS前端/移动开发者是推动用户体验与技术创新的关键角色。作为连接用户与产品的重要桥梁，他们负责构建直观、高效且美观的应用界面，确保应用程序在不同设备上都能提供一致且流畅的操作体验。 该职位的核心目标…</x:v>
      </x:c>
      <x:c r="L15" s="26" t="str">
        <x:v>1. 负责iOS平台上的软件产品设计与开发工作，确保符合项目要求并按时交付。 2. 根据产品设计文档编写高质量的Objective-C或Swift语言代码，实现良好的用户交互效果。 3. 与UI/UX设计师紧密配合，将视…</x:v>
      </x:c>
    </x:row>
    <x:row r="16" ht="72" customHeight="1">
      <x:c r="A16" s="25" t="n">
        <x:v>10908</x:v>
      </x:c>
      <x:c r="B16" s="25" t="str">
        <x:v>IC-L3-165</x:v>
      </x:c>
      <x:c r="C16" s="25" t="str">
        <x:v>前端开发</x:v>
      </x:c>
      <x:c r="D16" s="25" t="str">
        <x:v>2-02-10-03</x:v>
      </x:c>
      <x:c r="E16" s="25" t="str">
        <x:v>计算机软件工程技术人员</x:v>
      </x:c>
      <x:c r="F16" s="28" t="n">
        <x:f>COUNTIF('岗位-产业节点关系'!$C$4:$C$709,B16)</x:f>
        <x:v>1</x:v>
      </x:c>
      <x:c r="G16" s="26" t="str">
        <x:f>IF(F16=0,"未匹配（现有产业链范围未覆盖或证据不足）",IF(COUNTIFS('岗位-产业节点关系'!$C$4:$C$709,B16,'岗位-产业节点关系'!$M$4:$M$709,"低")&gt;0,"已匹配，建议复核","已匹配"))</x:f>
        <x:v>已匹配</x:v>
      </x:c>
      <x:c r="H16" s="26" t="str">
        <x:v>高</x:v>
      </x:c>
      <x:c r="I16" s="26" t="str">
        <x:v>ICN056</x:v>
      </x:c>
      <x:c r="J16" s="26" t="str">
        <x:v>软件与数字安全产业链/中游/应用软件、区块链平台与安全产品</x:v>
      </x:c>
      <x:c r="K16" s="26" t="str">
        <x:v>前端开发工程师是互联网技术行业中不可或缺的角色之一，他们负责将设计稿转化为用户界面，确保网站或应用程序在各种设备上都能提供良好的用户体验。随着互联网行业的快速发展，前端技术不断更新迭代，前端开发工程师通过运用最新的技术和…</x:v>
      </x:c>
      <x:c r="L16" s="26" t="str">
        <x:v>1. 负责公司产品的前端架构设计与代码实现，确保页面布局美观、功能完整且响应迅速。 2. 根据项目需求进行技术选型，编写高质量、可维护性强的代码，提高代码复用率并降低后期维护成本。 3. 与UI设计师紧密配合，准确理解视…</x:v>
      </x:c>
    </x:row>
    <x:row r="17" ht="72" customHeight="1">
      <x:c r="A17" s="25" t="n">
        <x:v>10909</x:v>
      </x:c>
      <x:c r="B17" s="25" t="str">
        <x:v>IC-L3-166</x:v>
      </x:c>
      <x:c r="C17" s="25" t="str">
        <x:v>.NET后端开发</x:v>
      </x:c>
      <x:c r="D17" s="25" t="str">
        <x:v>2-02-10-03</x:v>
      </x:c>
      <x:c r="E17" s="25" t="str">
        <x:v>计算机软件工程技术人员</x:v>
      </x:c>
      <x:c r="F17" s="28" t="n">
        <x:f>COUNTIF('岗位-产业节点关系'!$C$4:$C$709,B17)</x:f>
        <x:v>1</x:v>
      </x:c>
      <x:c r="G17" s="26" t="str">
        <x:f>IF(F17=0,"未匹配（现有产业链范围未覆盖或证据不足）",IF(COUNTIFS('岗位-产业节点关系'!$C$4:$C$709,B17,'岗位-产业节点关系'!$M$4:$M$709,"低")&gt;0,"已匹配，建议复核","已匹配"))</x:f>
        <x:v>已匹配</x:v>
      </x:c>
      <x:c r="H17" s="26" t="str">
        <x:v>高</x:v>
      </x:c>
      <x:c r="I17" s="26" t="str">
        <x:v>ICN056</x:v>
      </x:c>
      <x:c r="J17" s="26" t="str">
        <x:v>软件与数字安全产业链/中游/应用软件、区块链平台与安全产品</x:v>
      </x:c>
      <x:c r="K17" s="26" t="str">
        <x:v>.NET后端开发工程师是互联网技术行业中不可或缺的角色之一。随着企业数字化转型的步伐加快，后端开发工程师负责构建稳定高效的服务架构，确保业务流程顺畅运行，是推动产品迭代升级的关键力量。作为.NET后端开发工程师，您的核心…</x:v>
      </x:c>
      <x:c r="L17" s="26" t="str">
        <x:v>1. 负责公司产品的后端服务设计与开发工作，确保按时交付高质量的软件模块。 2. 根据业务需求编写高效、安全、易于维护的代码，定期进行代码审查，持续改进现有系统的性能和稳定性。 3. 参与产品需求讨论和技术选型决策，提出…</x:v>
      </x:c>
    </x:row>
    <x:row r="18" ht="72" customHeight="1">
      <x:c r="A18" s="25" t="n">
        <x:v>10910</x:v>
      </x:c>
      <x:c r="B18" s="25" t="str">
        <x:v>IC-L3-167</x:v>
      </x:c>
      <x:c r="C18" s="25" t="str">
        <x:v>C#后端开发</x:v>
      </x:c>
      <x:c r="D18" s="25" t="str">
        <x:v>2-02-10-03</x:v>
      </x:c>
      <x:c r="E18" s="25" t="str">
        <x:v>计算机软件工程技术人员</x:v>
      </x:c>
      <x:c r="F18" s="28" t="n">
        <x:f>COUNTIF('岗位-产业节点关系'!$C$4:$C$709,B18)</x:f>
        <x:v>1</x:v>
      </x:c>
      <x:c r="G18" s="26" t="str">
        <x:f>IF(F18=0,"未匹配（现有产业链范围未覆盖或证据不足）",IF(COUNTIFS('岗位-产业节点关系'!$C$4:$C$709,B18,'岗位-产业节点关系'!$M$4:$M$709,"低")&gt;0,"已匹配，建议复核","已匹配"))</x:f>
        <x:v>已匹配</x:v>
      </x:c>
      <x:c r="H18" s="26" t="str">
        <x:v>高</x:v>
      </x:c>
      <x:c r="I18" s="26" t="str">
        <x:v>ICN056</x:v>
      </x:c>
      <x:c r="J18" s="26" t="str">
        <x:v>软件与数字安全产业链/中游/应用软件、区块链平台与安全产品</x:v>
      </x:c>
      <x:c r="K18" s="26" t="str">
        <x:v>C#后端开发工程师是互联网技术领域中不可或缺的角色，负责设计和构建稳定高效的后端服务，确保应用程序能够快速响应并处理大量数据。在技术架构中扮演着关键性的支撑作用。作为C#后端开发工程师，您的核心目标是利用先进的.NET框…</x:v>
      </x:c>
      <x:c r="L18" s="26" t="str">
        <x:v>1. 负责使用C#语言进行后端服务的设计与编码工作，确保代码质量符合规范要求。 2. 参与系统需求分析，评估技术方案可行性，并提出合理化建议。 3. 定期维护和优化已有系统，提升系统性能和稳定性，降低运维成本。 4. 与…</x:v>
      </x:c>
    </x:row>
    <x:row r="19" ht="72" customHeight="1">
      <x:c r="A19" s="25" t="n">
        <x:v>10911</x:v>
      </x:c>
      <x:c r="B19" s="25" t="str">
        <x:v>IC-L3-168</x:v>
      </x:c>
      <x:c r="C19" s="25" t="str">
        <x:v>C/C++后端开发</x:v>
      </x:c>
      <x:c r="D19" s="25" t="str">
        <x:v>2-02-10-03</x:v>
      </x:c>
      <x:c r="E19" s="25" t="str">
        <x:v>计算机软件工程技术人员</x:v>
      </x:c>
      <x:c r="F19" s="28" t="n">
        <x:f>COUNTIF('岗位-产业节点关系'!$C$4:$C$709,B19)</x:f>
        <x:v>1</x:v>
      </x:c>
      <x:c r="G19" s="26" t="str">
        <x:f>IF(F19=0,"未匹配（现有产业链范围未覆盖或证据不足）",IF(COUNTIFS('岗位-产业节点关系'!$C$4:$C$709,B19,'岗位-产业节点关系'!$M$4:$M$709,"低")&gt;0,"已匹配，建议复核","已匹配"))</x:f>
        <x:v>已匹配</x:v>
      </x:c>
      <x:c r="H19" s="26" t="str">
        <x:v>高</x:v>
      </x:c>
      <x:c r="I19" s="26" t="str">
        <x:v>ICN056</x:v>
      </x:c>
      <x:c r="J19" s="26" t="str">
        <x:v>软件与数字安全产业链/中游/应用软件、区块链平台与安全产品</x:v>
      </x:c>
      <x:c r="K19" s="26" t="str">
        <x:v>C/C++后端开发工程师是互联网技术行业中不可或缺的角色，负责构建稳定高效的服务器端应用程序，支撑前端应用与用户之间的数据交互，是实现产品功能、提升用户体验的关键环节。该职位的核心目标在于确保后端系统的高性能、高可用性和…</x:v>
      </x:c>
      <x:c r="L19" s="26" t="str">
        <x:v>1. 负责设计并实现基于C/C++语言的高效后端服务模块，确保程序运行效率和资源利用率符合预期标准。 2. 对现有系统进行性能分析与优化，解决线上问题，保障服务稳定运行，满足业务快速增长的需求。 3. 参与需求评审会议，…</x:v>
      </x:c>
    </x:row>
    <x:row r="20" ht="72" customHeight="1">
      <x:c r="A20" s="25" t="n">
        <x:v>10912</x:v>
      </x:c>
      <x:c r="B20" s="25" t="str">
        <x:v>IC-L3-169</x:v>
      </x:c>
      <x:c r="C20" s="25" t="str">
        <x:v>GIS工程师</x:v>
      </x:c>
      <x:c r="D20" s="25" t="str">
        <x:v>2-02-10-03</x:v>
      </x:c>
      <x:c r="E20" s="25" t="str">
        <x:v>计算机软件工程技术人员</x:v>
      </x:c>
      <x:c r="F20" s="28" t="n">
        <x:f>COUNTIF('岗位-产业节点关系'!$C$4:$C$709,B20)</x:f>
        <x:v>1</x:v>
      </x:c>
      <x:c r="G20" s="26" t="str">
        <x:f>IF(F20=0,"未匹配（现有产业链范围未覆盖或证据不足）",IF(COUNTIFS('岗位-产业节点关系'!$C$4:$C$709,B20,'岗位-产业节点关系'!$M$4:$M$709,"低")&gt;0,"已匹配，建议复核","已匹配"))</x:f>
        <x:v>已匹配，建议复核</x:v>
      </x:c>
      <x:c r="H20" s="26" t="str">
        <x:v>低</x:v>
      </x:c>
      <x:c r="I20" s="26" t="str">
        <x:v>ICN056</x:v>
      </x:c>
      <x:c r="J20" s="26" t="str">
        <x:v>软件与数字安全产业链/中游/应用软件、区块链平台与安全产品</x:v>
      </x:c>
      <x:c r="K20" s="26" t="str">
        <x:v>GIS工程师在互联网技术行业中扮演着至关重要的角色，他们利用地理信息系统（Geographic Information System, GIS）技术处理空间数据，为公司提供精准的空间分析与决策支持服务。该职位通过开发和维…</x:v>
      </x:c>
      <x:c r="L20" s="26" t="str">
        <x:v>1. 负责GIS相关产品的后端逻辑设计与实现，确保系统稳定运行并满足性能要求。 2. 根据项目需求进行空间数据分析，开发定制化的地图服务，以支持业务发展。 3. 与前端工程师配合，完成数据接口的设计与联调工作，保证前后端…</x:v>
      </x:c>
    </x:row>
    <x:row r="21" ht="72" customHeight="1">
      <x:c r="A21" s="25" t="n">
        <x:v>10913</x:v>
      </x:c>
      <x:c r="B21" s="25" t="str">
        <x:v>IC-L3-170</x:v>
      </x:c>
      <x:c r="C21" s="25" t="str">
        <x:v>Golang后端开发</x:v>
      </x:c>
      <x:c r="D21" s="25" t="str">
        <x:v>2-02-10-03</x:v>
      </x:c>
      <x:c r="E21" s="25" t="str">
        <x:v>计算机软件工程技术人员</x:v>
      </x:c>
      <x:c r="F21" s="28" t="n">
        <x:f>COUNTIF('岗位-产业节点关系'!$C$4:$C$709,B21)</x:f>
        <x:v>1</x:v>
      </x:c>
      <x:c r="G21" s="26" t="str">
        <x:f>IF(F21=0,"未匹配（现有产业链范围未覆盖或证据不足）",IF(COUNTIFS('岗位-产业节点关系'!$C$4:$C$709,B21,'岗位-产业节点关系'!$M$4:$M$709,"低")&gt;0,"已匹配，建议复核","已匹配"))</x:f>
        <x:v>已匹配</x:v>
      </x:c>
      <x:c r="H21" s="26" t="str">
        <x:v>高</x:v>
      </x:c>
      <x:c r="I21" s="26" t="str">
        <x:v>ICN056</x:v>
      </x:c>
      <x:c r="J21" s="26" t="str">
        <x:v>软件与数字安全产业链/中游/应用软件、区块链平台与安全产品</x:v>
      </x:c>
      <x:c r="K21" s="26" t="str">
        <x:v>Golang后端开发工程师是互联网技术行业中不可或缺的角色，尤其在快速发展的云计算、大数据处理等领域中占据核心地位。作为技术团队的重要成员，Golang后端开发工程师负责构建高效稳定的服务器端应用，确保系统能够应对高并发…</x:v>
      </x:c>
      <x:c r="L21" s="26" t="str">
        <x:v>1. 负责基于Golang语言的后端服务的设计、编码及维护工作，确保服务的高性能、可扩展性和安全性。 2. 参与需求分析和技术方案讨论，针对特定业务场景提出合理的架构设计方案，解决实际问题。 3. 与前端工程师协作，实现…</x:v>
      </x:c>
    </x:row>
    <x:row r="22" ht="72" customHeight="1">
      <x:c r="A22" s="25" t="n">
        <x:v>10914</x:v>
      </x:c>
      <x:c r="B22" s="25" t="str">
        <x:v>IC-L3-171</x:v>
      </x:c>
      <x:c r="C22" s="25" t="str">
        <x:v>Node.js后端开发</x:v>
      </x:c>
      <x:c r="D22" s="25" t="str">
        <x:v>2-02-10-03</x:v>
      </x:c>
      <x:c r="E22" s="25" t="str">
        <x:v>计算机软件工程技术人员</x:v>
      </x:c>
      <x:c r="F22" s="28" t="n">
        <x:f>COUNTIF('岗位-产业节点关系'!$C$4:$C$709,B22)</x:f>
        <x:v>1</x:v>
      </x:c>
      <x:c r="G22" s="26" t="str">
        <x:f>IF(F22=0,"未匹配（现有产业链范围未覆盖或证据不足）",IF(COUNTIFS('岗位-产业节点关系'!$C$4:$C$709,B22,'岗位-产业节点关系'!$M$4:$M$709,"低")&gt;0,"已匹配，建议复核","已匹配"))</x:f>
        <x:v>已匹配</x:v>
      </x:c>
      <x:c r="H22" s="26" t="str">
        <x:v>高</x:v>
      </x:c>
      <x:c r="I22" s="26" t="str">
        <x:v>ICN056</x:v>
      </x:c>
      <x:c r="J22" s="26" t="str">
        <x:v>软件与数字安全产业链/中游/应用软件、区块链平台与安全产品</x:v>
      </x:c>
      <x:c r="K22" s="26" t="str">
        <x:v>Node.js后端开发工程师是互联网技术领域中不可或缺的角色，负责构建高效稳定的服务器端应用，支持前端交互逻辑，确保数据的安全传输与存储。作为技术栈中重要的一环，Node.js以其异步非阻塞I/O特性，在处理大量并发请求…</x:v>
      </x:c>
      <x:c r="L22" s="26" t="str">
        <x:v>1. 使用Node.js进行后端服务的设计、编码、测试及维护，保证代码质量和软件性能。 2. 参与产品需求分析和技术方案讨论，提出合理化建议，协助产品经理完善产品设计。 3. 负责数据库设计与优化，确保数据安全性和高可用…</x:v>
      </x:c>
    </x:row>
    <x:row r="23" ht="72" customHeight="1">
      <x:c r="A23" s="25" t="n">
        <x:v>10915</x:v>
      </x:c>
      <x:c r="B23" s="25" t="str">
        <x:v>IC-L3-172</x:v>
      </x:c>
      <x:c r="C23" s="25" t="str">
        <x:v>PHP后端开发</x:v>
      </x:c>
      <x:c r="D23" s="25" t="str">
        <x:v>2-02-10-03</x:v>
      </x:c>
      <x:c r="E23" s="25" t="str">
        <x:v>计算机软件工程技术人员</x:v>
      </x:c>
      <x:c r="F23" s="28" t="n">
        <x:f>COUNTIF('岗位-产业节点关系'!$C$4:$C$709,B23)</x:f>
        <x:v>1</x:v>
      </x:c>
      <x:c r="G23" s="26" t="str">
        <x:f>IF(F23=0,"未匹配（现有产业链范围未覆盖或证据不足）",IF(COUNTIFS('岗位-产业节点关系'!$C$4:$C$709,B23,'岗位-产业节点关系'!$M$4:$M$709,"低")&gt;0,"已匹配，建议复核","已匹配"))</x:f>
        <x:v>已匹配</x:v>
      </x:c>
      <x:c r="H23" s="26" t="str">
        <x:v>高</x:v>
      </x:c>
      <x:c r="I23" s="26" t="str">
        <x:v>ICN056</x:v>
      </x:c>
      <x:c r="J23" s="26" t="str">
        <x:v>软件与数字安全产业链/中游/应用软件、区块链平台与安全产品</x:v>
      </x:c>
      <x:c r="K23" s="26" t="str">
        <x:v>PHP后端开发工程师是互联网技术领域中不可或缺的角色，负责构建网站和应用的核心逻辑与数据处理能力，确保系统稳定高效运行，同时通过优化代码提升用户体验。作为公司技术团队的重要成员，该职位的核心目标是利用PHP语言及相关技术…</x:v>
      </x:c>
      <x:c r="L23" s="26" t="str">
        <x:v>1. 负责基于PHP框架（如Laravel、ThinkPHP等）进行后端服务的设计与编码工作，确保功能模块满足业务需求并符合性能标准。 2. 参与数据库设计及优化，编写高效、可维护的数据访问层代码，保证数据安全性和一致性…</x:v>
      </x:c>
    </x:row>
    <x:row r="24" ht="72" customHeight="1">
      <x:c r="A24" s="25" t="n">
        <x:v>10916</x:v>
      </x:c>
      <x:c r="B24" s="25" t="str">
        <x:v>IC-L3-173</x:v>
      </x:c>
      <x:c r="C24" s="25" t="str">
        <x:v>Python后端开发</x:v>
      </x:c>
      <x:c r="D24" s="25" t="str">
        <x:v>2-02-10-03</x:v>
      </x:c>
      <x:c r="E24" s="25" t="str">
        <x:v>计算机软件工程技术人员</x:v>
      </x:c>
      <x:c r="F24" s="28" t="n">
        <x:f>COUNTIF('岗位-产业节点关系'!$C$4:$C$709,B24)</x:f>
        <x:v>1</x:v>
      </x:c>
      <x:c r="G24" s="26" t="str">
        <x:f>IF(F24=0,"未匹配（现有产业链范围未覆盖或证据不足）",IF(COUNTIFS('岗位-产业节点关系'!$C$4:$C$709,B24,'岗位-产业节点关系'!$M$4:$M$709,"低")&gt;0,"已匹配，建议复核","已匹配"))</x:f>
        <x:v>已匹配</x:v>
      </x:c>
      <x:c r="H24" s="26" t="str">
        <x:v>高</x:v>
      </x:c>
      <x:c r="I24" s="26" t="str">
        <x:v>ICN056</x:v>
      </x:c>
      <x:c r="J24" s="26" t="str">
        <x:v>软件与数字安全产业链/中游/应用软件、区块链平台与安全产品</x:v>
      </x:c>
      <x:c r="K24" s="26" t="str">
        <x:v>Python后端开发工程师是互联网技术领域中不可或缺的专业人才，他们通过运用Python语言进行服务器端的应用程序设计与实现，确保系统的高效稳定运行，是构建高性能互联网应用的关键力量。作为公司技术团队的核心成员之一，Py…</x:v>
      </x:c>
      <x:c r="L24" s="26" t="str">
        <x:v>1. 负责基于Python语言的后端服务设计与开发，确保代码质量符合公司标准，提高系统可扩展性和稳定性。 2. 参与数据库设计及优化工作，编写高效的SQL语句，降低数据访问延迟，保证数据安全性和一致性。 3. 与前端工程…</x:v>
      </x:c>
    </x:row>
    <x:row r="25" ht="72" customHeight="1">
      <x:c r="A25" s="25" t="n">
        <x:v>10917</x:v>
      </x:c>
      <x:c r="B25" s="25" t="str">
        <x:v>IC-L3-174</x:v>
      </x:c>
      <x:c r="C25" s="25" t="str">
        <x:v>java后端开发</x:v>
      </x:c>
      <x:c r="D25" s="25" t="str">
        <x:v>2-02-10-03</x:v>
      </x:c>
      <x:c r="E25" s="25" t="str">
        <x:v>计算机软件工程技术人员</x:v>
      </x:c>
      <x:c r="F25" s="28" t="n">
        <x:f>COUNTIF('岗位-产业节点关系'!$C$4:$C$709,B25)</x:f>
        <x:v>1</x:v>
      </x:c>
      <x:c r="G25" s="26" t="str">
        <x:f>IF(F25=0,"未匹配（现有产业链范围未覆盖或证据不足）",IF(COUNTIFS('岗位-产业节点关系'!$C$4:$C$709,B25,'岗位-产业节点关系'!$M$4:$M$709,"低")&gt;0,"已匹配，建议复核","已匹配"))</x:f>
        <x:v>已匹配</x:v>
      </x:c>
      <x:c r="H25" s="26" t="str">
        <x:v>高</x:v>
      </x:c>
      <x:c r="I25" s="26" t="str">
        <x:v>ICN056</x:v>
      </x:c>
      <x:c r="J25" s="26" t="str">
        <x:v>软件与数字安全产业链/中游/应用软件、区块链平台与安全产品</x:v>
      </x:c>
      <x:c r="K25" s="26" t="str">
        <x:v>Java后端开发工程师在互联网技术行业中扮演着至关重要的角色，他们负责构建高效、稳定、可扩展的服务端架构，是支撑公司产品与服务运行的核心力量之一。作为技术团队的关键成员，该职位的主要目标是通过持续优化系统性能和功能，确保…</x:v>
      </x:c>
      <x:c r="L25" s="26" t="str">
        <x:v>1. 负责基于Java技术栈设计和实现高质量的后端服务，确保代码质量符合规范要求，能够有效支持业务逻辑处理。 2. 参与系统架构设计及优化工作，针对现有系统存在的问题提出改进建议，提高系统的健壮性和灵活性，降低运维成本。…</x:v>
      </x:c>
    </x:row>
    <x:row r="26" ht="72" customHeight="1">
      <x:c r="A26" s="25" t="n">
        <x:v>10918</x:v>
      </x:c>
      <x:c r="B26" s="25" t="str">
        <x:v>IC-L3-175</x:v>
      </x:c>
      <x:c r="C26" s="25" t="str">
        <x:v>全栈工程师</x:v>
      </x:c>
      <x:c r="D26" s="25" t="str">
        <x:v>2-02-10-03</x:v>
      </x:c>
      <x:c r="E26" s="25" t="str">
        <x:v>计算机软件工程技术人员</x:v>
      </x:c>
      <x:c r="F26" s="28" t="n">
        <x:f>COUNTIF('岗位-产业节点关系'!$C$4:$C$709,B26)</x:f>
        <x:v>1</x:v>
      </x:c>
      <x:c r="G26" s="26" t="str">
        <x:f>IF(F26=0,"未匹配（现有产业链范围未覆盖或证据不足）",IF(COUNTIFS('岗位-产业节点关系'!$C$4:$C$709,B26,'岗位-产业节点关系'!$M$4:$M$709,"低")&gt;0,"已匹配，建议复核","已匹配"))</x:f>
        <x:v>已匹配，建议复核</x:v>
      </x:c>
      <x:c r="H26" s="26" t="str">
        <x:v>低</x:v>
      </x:c>
      <x:c r="I26" s="26" t="str">
        <x:v>ICN056</x:v>
      </x:c>
      <x:c r="J26" s="26" t="str">
        <x:v>软件与数字安全产业链/中游/应用软件、区块链平台与安全产品</x:v>
      </x:c>
      <x:c r="K26" s="26" t="str">
        <x:v>全栈工程师是互联网技术行业中不可或缺的角色，他们不仅掌握了前端与后端的技术，还能够全面理解整个软件开发流程，从概念设计到最终部署，确保产品从头到尾的质量和性能。作为全栈工程师，其核心目标在于通过高效地实现功能模块，优化系…</x:v>
      </x:c>
      <x:c r="L26" s="26" t="str">
        <x:v>1. 负责Web应用的前后端开发工作，确保代码质量及系统稳定性。 2. 参与需求分析、系统设计、编码实现等全流程，推动产品迭代升级。 3. 对现有业务进行性能调优，提高系统的响应速度和并发处理能力。 4. 与跨职能团队沟…</x:v>
      </x:c>
    </x:row>
    <x:row r="27" ht="72" customHeight="1">
      <x:c r="A27" s="25" t="n">
        <x:v>10919</x:v>
      </x:c>
      <x:c r="B27" s="25" t="str">
        <x:v>IC-L3-176</x:v>
      </x:c>
      <x:c r="C27" s="25" t="str">
        <x:v>区块链开发</x:v>
      </x:c>
      <x:c r="D27" s="25" t="str">
        <x:v>2-02-10-03</x:v>
      </x:c>
      <x:c r="E27" s="25" t="str">
        <x:v>计算机软件工程技术人员</x:v>
      </x:c>
      <x:c r="F27" s="28" t="n">
        <x:f>COUNTIF('岗位-产业节点关系'!$C$4:$C$709,B27)</x:f>
        <x:v>1</x:v>
      </x:c>
      <x:c r="G27" s="26" t="str">
        <x:f>IF(F27=0,"未匹配（现有产业链范围未覆盖或证据不足）",IF(COUNTIFS('岗位-产业节点关系'!$C$4:$C$709,B27,'岗位-产业节点关系'!$M$4:$M$709,"低")&gt;0,"已匹配，建议复核","已匹配"))</x:f>
        <x:v>已匹配</x:v>
      </x:c>
      <x:c r="H27" s="26" t="str">
        <x:v>中</x:v>
      </x:c>
      <x:c r="I27" s="26" t="str">
        <x:v>ICN056</x:v>
      </x:c>
      <x:c r="J27" s="26" t="str">
        <x:v>软件与数字安全产业链/中游/应用软件、区块链平台与安全产品</x:v>
      </x:c>
      <x:c r="K27" s="26" t="str">
        <x:v>区块链开发工程师是互联网技术领域中至关重要的角色，尤其是在后端开发方向上。随着区块链技术的发展与应用日益广泛，这一职位不仅代表着技术创新的前沿，还肩负着推动企业数字化转型、增强数据安全性和透明度的重要使命。作为区块链开发…</x:v>
      </x:c>
      <x:c r="L27" s="26" t="str">
        <x:v>1. 负责区块链平台的设计、开发及维护工作，确保系统的稳定性和高性能。 2. 参与项目需求分析，制定合理的区块链技术方案，解决实际问题。 3. 与前端、测试等其他部门密切配合，完成产品的集成测试，保证产品质量。 4. 持…</x:v>
      </x:c>
    </x:row>
    <x:row r="28" ht="72" customHeight="1">
      <x:c r="A28" s="25" t="n">
        <x:v>10920</x:v>
      </x:c>
      <x:c r="B28" s="25" t="str">
        <x:v>IC-L3-177</x:v>
      </x:c>
      <x:c r="C28" s="25" t="str">
        <x:v>数据开发</x:v>
      </x:c>
      <x:c r="D28" s="25" t="str">
        <x:v>2-02-10-03</x:v>
      </x:c>
      <x:c r="E28" s="25" t="str">
        <x:v>计算机软件工程技术人员</x:v>
      </x:c>
      <x:c r="F28" s="28" t="n">
        <x:f>COUNTIF('岗位-产业节点关系'!$C$4:$C$709,B28)</x:f>
        <x:v>2</x:v>
      </x:c>
      <x:c r="G28" s="26" t="str">
        <x:f>IF(F28=0,"未匹配（现有产业链范围未覆盖或证据不足）",IF(COUNTIFS('岗位-产业节点关系'!$C$4:$C$709,B28,'岗位-产业节点关系'!$M$4:$M$709,"低")&gt;0,"已匹配，建议复核","已匹配"))</x:f>
        <x:v>已匹配，建议复核</x:v>
      </x:c>
      <x:c r="H28" s="26" t="str">
        <x:v>中</x:v>
      </x:c>
      <x:c r="I28" s="26" t="str">
        <x:v>ICN002、ICN056</x:v>
      </x:c>
      <x:c r="J28" s="26" t="str">
        <x:v>数据要素与数字经济产业链/中游/数据治理、流通与服务；软件与数字安全产业链/中游/应用软件、区块链平台与安全产品</x:v>
      </x:c>
      <x:c r="K28" s="26" t="str">
        <x:v>数据开发工程师是互联网技术领域中至关重要的角色，他们负责处理和分析海量数据，通过构建高效的数据处理系统来支持业务决策。随着大数据时代的到来，数据开发工程师成为了推动公司产品创新和服务优化的关键力量，他们的工作不仅直接影响…</x:v>
      </x:c>
      <x:c r="L28" s="26" t="str">
        <x:v>1. 负责设计并实现大规模分布式数据处理平台，确保数据的准确性、完整性和安全性，满足业务需求。 2. 优化现有数据流程，提高数据处理速度及质量，降低存储成本，以支持快速变化的业务场景。 3. 与业务部门沟通，理解其数据需…</x:v>
      </x:c>
    </x:row>
    <x:row r="29" ht="72" customHeight="1">
      <x:c r="A29" s="25" t="n">
        <x:v>10921</x:v>
      </x:c>
      <x:c r="B29" s="25" t="str">
        <x:v>IC-L3-178</x:v>
      </x:c>
      <x:c r="C29" s="25" t="str">
        <x:v>架构师</x:v>
      </x:c>
      <x:c r="D29" s="25" t="str">
        <x:v>2-02-10-03</x:v>
      </x:c>
      <x:c r="E29" s="25" t="str">
        <x:v>计算机软件工程技术人员</x:v>
      </x:c>
      <x:c r="F29" s="28" t="n">
        <x:f>COUNTIF('岗位-产业节点关系'!$C$4:$C$709,B29)</x:f>
        <x:v>1</x:v>
      </x:c>
      <x:c r="G29" s="26" t="str">
        <x:f>IF(F29=0,"未匹配（现有产业链范围未覆盖或证据不足）",IF(COUNTIFS('岗位-产业节点关系'!$C$4:$C$709,B29,'岗位-产业节点关系'!$M$4:$M$709,"低")&gt;0,"已匹配，建议复核","已匹配"))</x:f>
        <x:v>已匹配，建议复核</x:v>
      </x:c>
      <x:c r="H29" s="26" t="str">
        <x:v>低</x:v>
      </x:c>
      <x:c r="I29" s="26" t="str">
        <x:v>ICN056</x:v>
      </x:c>
      <x:c r="J29" s="26" t="str">
        <x:v>软件与数字安全产业链/中游/应用软件、区块链平台与安全产品</x:v>
      </x:c>
      <x:c r="K29" s="26" t="str">
        <x:v>在互联网技术行业中，后端开发架构师扮演着至关重要的角色。他们不仅负责设计和优化系统的整体框架，确保软件能够高效稳定地运行，还引领技术团队解决复杂的技术难题，推动技术创新与实践。作为公司技术战略的核心人物之一，后端开发架构…</x:v>
      </x:c>
      <x:c r="L29" s="26" t="str">
        <x:v>1. 负责系统架构的设计与实现，确保系统架构满足业务需求，具备高可用性和扩展性。 2. 对现有系统进行性能分析与优化，定期评估并改进系统架构，以支持业务的快速发展。 3. 指导并培训初级开发人员，分享最佳实践和技术知识，…</x:v>
      </x:c>
    </x:row>
    <x:row r="30" ht="72" customHeight="1">
      <x:c r="A30" s="25" t="n">
        <x:v>10922</x:v>
      </x:c>
      <x:c r="B30" s="25" t="str">
        <x:v>IC-L3-179</x:v>
      </x:c>
      <x:c r="C30" s="25" t="str">
        <x:v>语音/视频/图形开发</x:v>
      </x:c>
      <x:c r="D30" s="25" t="str">
        <x:v>2-02-10-03</x:v>
      </x:c>
      <x:c r="E30" s="25" t="str">
        <x:v>计算机软件工程技术人员</x:v>
      </x:c>
      <x:c r="F30" s="28" t="n">
        <x:f>COUNTIF('岗位-产业节点关系'!$C$4:$C$709,B30)</x:f>
        <x:v>1</x:v>
      </x:c>
      <x:c r="G30" s="26" t="str">
        <x:f>IF(F30=0,"未匹配（现有产业链范围未覆盖或证据不足）",IF(COUNTIFS('岗位-产业节点关系'!$C$4:$C$709,B30,'岗位-产业节点关系'!$M$4:$M$709,"低")&gt;0,"已匹配，建议复核","已匹配"))</x:f>
        <x:v>已匹配，建议复核</x:v>
      </x:c>
      <x:c r="H30" s="26" t="str">
        <x:v>低</x:v>
      </x:c>
      <x:c r="I30" s="26" t="str">
        <x:v>ICN056</x:v>
      </x:c>
      <x:c r="J30" s="26" t="str">
        <x:v>软件与数字安全产业链/中游/应用软件、区块链平台与安全产品</x:v>
      </x:c>
      <x:c r="K30" s="26" t="str">
        <x:v>语音/视频/图形开发工程师是互联网技术领域中至关重要的角色，他们专注于多媒体处理技术的研发与实现，确保用户能够享受流畅、高质量的音视频体验。通过优化算法和架构设计，这些工程师不仅提升了产品的核心竞争力，还推动了公司技术实…</x:v>
      </x:c>
      <x:c r="L30" s="26" t="str">
        <x:v>1. 负责语音、视频及图像处理相关功能模块的设计与开发工作，确保技术方案符合项目需求并具备高效性。 2. 针对现有系统进行性能分析与优化，解决音视频传输过程中的延迟、卡顿等问题，提高服务稳定性和用户体验。 3. 参与制定…</x:v>
      </x:c>
    </x:row>
    <x:row r="31" ht="72" customHeight="1">
      <x:c r="A31" s="25" t="n">
        <x:v>10923</x:v>
      </x:c>
      <x:c r="B31" s="25" t="str">
        <x:v>IC-L3-180</x:v>
      </x:c>
      <x:c r="C31" s="25" t="str">
        <x:v>软件工程师</x:v>
      </x:c>
      <x:c r="D31" s="25" t="str">
        <x:v>2-02-10-03</x:v>
      </x:c>
      <x:c r="E31" s="25" t="str">
        <x:v>计算机软件工程技术人员</x:v>
      </x:c>
      <x:c r="F31" s="28" t="n">
        <x:f>COUNTIF('岗位-产业节点关系'!$C$4:$C$709,B31)</x:f>
        <x:v>1</x:v>
      </x:c>
      <x:c r="G31" s="26" t="str">
        <x:f>IF(F31=0,"未匹配（现有产业链范围未覆盖或证据不足）",IF(COUNTIFS('岗位-产业节点关系'!$C$4:$C$709,B31,'岗位-产业节点关系'!$M$4:$M$709,"低")&gt;0,"已匹配，建议复核","已匹配"))</x:f>
        <x:v>已匹配</x:v>
      </x:c>
      <x:c r="H31" s="26" t="str">
        <x:v>高</x:v>
      </x:c>
      <x:c r="I31" s="26" t="str">
        <x:v>ICN056</x:v>
      </x:c>
      <x:c r="J31" s="26" t="str">
        <x:v>软件与数字安全产业链/中游/应用软件、区块链平台与安全产品</x:v>
      </x:c>
      <x:c r="K31" s="26" t="str">
        <x:v>软件工程师（后端开发）是互联网技术行业中不可或缺的角色之一，他们负责构建网站、应用程序和服务背后的逻辑和技术架构，确保系统的高效运行与扩展能力。作为软件工程师，您将致力于设计和实现复杂的数据处理流程，优化现有系统性能，同…</x:v>
      </x:c>
      <x:c r="L31" s="26" t="str">
        <x:v>软件工程师的主要职责包括：负责软件系统的设计、编码和调试；参与需求分析和系统设计，编写相关技术文档；进行代码审查，确保代码质量；解决软件开发过程中的技术问题；参与软件测试，确保软件质量；跟踪软件开发领域的最新技术发展，持…</x:v>
      </x:c>
    </x:row>
    <x:row r="32" ht="72" customHeight="1">
      <x:c r="A32" s="25" t="n">
        <x:v>10924</x:v>
      </x:c>
      <x:c r="B32" s="25" t="str">
        <x:v>IC-L3-181</x:v>
      </x:c>
      <x:c r="C32" s="25" t="str">
        <x:v>需求工程师</x:v>
      </x:c>
      <x:c r="D32" s="25" t="str">
        <x:v>2-02-10-03</x:v>
      </x:c>
      <x:c r="E32" s="25" t="str">
        <x:v>计算机软件工程技术人员</x:v>
      </x:c>
      <x:c r="F32" s="28" t="n">
        <x:f>COUNTIF('岗位-产业节点关系'!$C$4:$C$709,B32)</x:f>
        <x:v>0</x:v>
      </x:c>
      <x:c r="G32" s="26" t="str">
        <x:f>IF(F32=0,"未匹配（现有产业链范围未覆盖或证据不足）",IF(COUNTIFS('岗位-产业节点关系'!$C$4:$C$709,B32,'岗位-产业节点关系'!$M$4:$M$709,"低")&gt;0,"已匹配，建议复核","已匹配"))</x:f>
        <x:v>未匹配（现有产业链范围未覆盖或证据不足）</x:v>
      </x:c>
      <x:c r="H32" s="26" t="str">
        <x:v>-</x:v>
      </x:c>
      <x:c r="I32" s="26" t="str"/>
      <x:c r="J32" s="26" t="str"/>
      <x:c r="K32" s="26" t="str">
        <x:v>需求工程师是互联网技术行业中不可或缺的角色，他们负责将用户的需求转化为可执行的技术规格，确保产品从概念到实现的每一个环节都符合市场预期。在公司内部，需求工程师通过精准地捕捉和分析客户需求，制定详细的需求文档，为项目团队提…</x:v>
      </x:c>
      <x:c r="L32" s="26" t="str">
        <x:v>1. 与客户进行深入沟通，准确理解并记录其业务需求和技术要求，形成初步的需求报告。 2. 编写详细的需求规格说明书，包括功能定义、性能指标、界面设计等，确保所有相关方对需求有共同的理解。 3. 组织需求评审会议，邀请相关…</x:v>
      </x:c>
    </x:row>
    <x:row r="33" ht="72" customHeight="1">
      <x:c r="A33" s="25" t="n">
        <x:v>10925</x:v>
      </x:c>
      <x:c r="B33" s="25" t="str">
        <x:v>IC-L3-182</x:v>
      </x:c>
      <x:c r="C33" s="25" t="str">
        <x:v>鸿蒙系统开发工程师</x:v>
      </x:c>
      <x:c r="D33" s="25" t="str">
        <x:v>2-02-10-03</x:v>
      </x:c>
      <x:c r="E33" s="25" t="str">
        <x:v>计算机软件工程技术人员</x:v>
      </x:c>
      <x:c r="F33" s="28" t="n">
        <x:f>COUNTIF('岗位-产业节点关系'!$C$4:$C$709,B33)</x:f>
        <x:v>1</x:v>
      </x:c>
      <x:c r="G33" s="26" t="str">
        <x:f>IF(F33=0,"未匹配（现有产业链范围未覆盖或证据不足）",IF(COUNTIFS('岗位-产业节点关系'!$C$4:$C$709,B33,'岗位-产业节点关系'!$M$4:$M$709,"低")&gt;0,"已匹配，建议复核","已匹配"))</x:f>
        <x:v>已匹配，建议复核</x:v>
      </x:c>
      <x:c r="H33" s="26" t="str">
        <x:v>低</x:v>
      </x:c>
      <x:c r="I33" s="26" t="str">
        <x:v>ICN056</x:v>
      </x:c>
      <x:c r="J33" s="26" t="str">
        <x:v>软件与数字安全产业链/中游/应用软件、区块链平台与安全产品</x:v>
      </x:c>
      <x:c r="K33" s="26" t="str">
        <x:v>鸿蒙系统开发工程师是专注于基于华为鸿蒙操作系统进行各类软件应用、系统功能及相关组件开发的专业技术人才。他们深入理解鸿蒙系统的架构、特性与开发规范，运用丰富的编程语言知识（如Java、C++等）和相关开发工具，致力于打造流…</x:v>
      </x:c>
      <x:c r="L33" s="26" t="str">
        <x:v>鸿蒙系统开发工程师主要负责鸿蒙操作系统的相关开发工作。需要深入理解鸿蒙系统的架构和特性，参与系统底层代码的编写与优化，以提升系统的性能和稳定性。依据项目需求，进行应用程序的开发，确保应用与鸿蒙系统的兼容性和流畅运行。同时…</x:v>
      </x:c>
    </x:row>
    <x:row r="34" ht="72" customHeight="1">
      <x:c r="A34" s="25" t="n">
        <x:v>10926</x:v>
      </x:c>
      <x:c r="B34" s="25" t="str">
        <x:v>IC-L3-183</x:v>
      </x:c>
      <x:c r="C34" s="25" t="str">
        <x:v>系统工程师</x:v>
      </x:c>
      <x:c r="D34" s="25" t="str">
        <x:v>2-02-10-03</x:v>
      </x:c>
      <x:c r="E34" s="25" t="str">
        <x:v>计算机软件工程技术人员</x:v>
      </x:c>
      <x:c r="F34" s="28" t="n">
        <x:f>COUNTIF('岗位-产业节点关系'!$C$4:$C$709,B34)</x:f>
        <x:v>0</x:v>
      </x:c>
      <x:c r="G34" s="26" t="str">
        <x:f>IF(F34=0,"未匹配（现有产业链范围未覆盖或证据不足）",IF(COUNTIFS('岗位-产业节点关系'!$C$4:$C$709,B34,'岗位-产业节点关系'!$M$4:$M$709,"低")&gt;0,"已匹配，建议复核","已匹配"))</x:f>
        <x:v>未匹配（现有产业链范围未覆盖或证据不足）</x:v>
      </x:c>
      <x:c r="H34" s="26" t="str">
        <x:v>-</x:v>
      </x:c>
      <x:c r="I34" s="26" t="str"/>
      <x:c r="J34" s="26" t="str"/>
      <x:c r="K34" s="26" t="str">
        <x:v>系统工程师是专门从事后端系统设计与优化的专业人员。该职位的核心目标是通过构建高可用、高性能的技术架构，保障系统稳定运行。在日常工作中，需要进行服务器部署维护、系统性能监控、故障排查处理等工作。</x:v>
      </x:c>
      <x:c r="L34" s="26" t="str">
        <x:v>1. 设计系统架构方案 2. 开发后端服务组件 3. 优化系统性能指标 4. 排查处理系统故障 5. 制定技术实施标准 6. 编写系统技术文档</x:v>
      </x:c>
    </x:row>
    <x:row r="35" ht="72" customHeight="1">
      <x:c r="A35" s="25" t="n">
        <x:v>10927</x:v>
      </x:c>
      <x:c r="B35" s="25" t="str">
        <x:v>IC-L3-184</x:v>
      </x:c>
      <x:c r="C35" s="25" t="str">
        <x:v>技术总监</x:v>
      </x:c>
      <x:c r="D35" s="25" t="str">
        <x:v>2-02-10-03</x:v>
      </x:c>
      <x:c r="E35" s="25" t="str">
        <x:v>计算机软件工程技术人员</x:v>
      </x:c>
      <x:c r="F35" s="28" t="n">
        <x:f>COUNTIF('岗位-产业节点关系'!$C$4:$C$709,B35)</x:f>
        <x:v>0</x:v>
      </x:c>
      <x:c r="G35" s="26" t="str">
        <x:f>IF(F35=0,"未匹配（现有产业链范围未覆盖或证据不足）",IF(COUNTIFS('岗位-产业节点关系'!$C$4:$C$709,B35,'岗位-产业节点关系'!$M$4:$M$709,"低")&gt;0,"已匹配，建议复核","已匹配"))</x:f>
        <x:v>未匹配（现有产业链范围未覆盖或证据不足）</x:v>
      </x:c>
      <x:c r="H35" s="26" t="str">
        <x:v>-</x:v>
      </x:c>
      <x:c r="I35" s="26" t="str"/>
      <x:c r="J35" s="26" t="str"/>
      <x:c r="K35" s="26" t="str">
        <x:v>技术总监是互联网技术行业中极为关键的角色，他们不仅负责指导公司的技术战略，确保技术创新与业务目标相一致，还承担着引领团队克服技术挑战、实现产品和服务持续优化的重要使命。作为公司技术领域的领军人物，技术总监的核心目标在于制…</x:v>
      </x:c>
      <x:c r="L35" s="26" t="str">
        <x:v>1. 制定并实施公司的技术发展战略，确保技术路线图与企业整体目标相匹配，推动技术创新，保持公司在行业内的领先地位。 2. 管理并指导技术研发团队，设定明确的工作目标，监督项目进度，解决复杂的技术难题，保证产品质量和交付时…</x:v>
      </x:c>
    </x:row>
    <x:row r="36" ht="72" customHeight="1">
      <x:c r="A36" s="25" t="n">
        <x:v>10928</x:v>
      </x:c>
      <x:c r="B36" s="25" t="str">
        <x:v>IC-L3-185</x:v>
      </x:c>
      <x:c r="C36" s="25" t="str">
        <x:v>技术经理</x:v>
      </x:c>
      <x:c r="D36" s="25" t="str">
        <x:v>2-02-10-03</x:v>
      </x:c>
      <x:c r="E36" s="25" t="str">
        <x:v>计算机软件工程技术人员</x:v>
      </x:c>
      <x:c r="F36" s="28" t="n">
        <x:f>COUNTIF('岗位-产业节点关系'!$C$4:$C$709,B36)</x:f>
        <x:v>0</x:v>
      </x:c>
      <x:c r="G36" s="26" t="str">
        <x:f>IF(F36=0,"未匹配（现有产业链范围未覆盖或证据不足）",IF(COUNTIFS('岗位-产业节点关系'!$C$4:$C$709,B36,'岗位-产业节点关系'!$M$4:$M$709,"低")&gt;0,"已匹配，建议复核","已匹配"))</x:f>
        <x:v>未匹配（现有产业链范围未覆盖或证据不足）</x:v>
      </x:c>
      <x:c r="H36" s="26" t="str">
        <x:v>-</x:v>
      </x:c>
      <x:c r="I36" s="26" t="str"/>
      <x:c r="J36" s="26" t="str"/>
      <x:c r="K36" s="26" t="str">
        <x:v>技术经理在互联网技术行业中扮演着至关重要的角色，负责引领技术创新与应用，确保技术战略与业务目标相匹配，是连接技术研发与市场运营之间的桥梁。作为技术团队的核心领导者，技术经理不仅需要具备深厚的技术背景，还应拥有卓越的项目管…</x:v>
      </x:c>
      <x:c r="L36" s="26" t="str">
        <x:v>1. 制定并执行公司技术发展战略，确保技术路线符合市场需求和公司长期发展目标。 2. 管理技术团队，包括招聘合适的人才、分配工作任务、监督项目进度以及评估员工表现，以实现团队高效运作。 3. 与产品经理密切配合，参与产品…</x:v>
      </x:c>
    </x:row>
    <x:row r="37" ht="72" customHeight="1">
      <x:c r="A37" s="25" t="n">
        <x:v>10929</x:v>
      </x:c>
      <x:c r="B37" s="25" t="str">
        <x:v>IC-L3-186</x:v>
      </x:c>
      <x:c r="C37" s="25" t="str">
        <x:v>测试经理</x:v>
      </x:c>
      <x:c r="D37" s="25" t="str">
        <x:v>2-02-10-03</x:v>
      </x:c>
      <x:c r="E37" s="25" t="str">
        <x:v>计算机软件工程技术人员</x:v>
      </x:c>
      <x:c r="F37" s="28" t="n">
        <x:f>COUNTIF('岗位-产业节点关系'!$C$4:$C$709,B37)</x:f>
        <x:v>1</x:v>
      </x:c>
      <x:c r="G37" s="26" t="str">
        <x:f>IF(F37=0,"未匹配（现有产业链范围未覆盖或证据不足）",IF(COUNTIFS('岗位-产业节点关系'!$C$4:$C$709,B37,'岗位-产业节点关系'!$M$4:$M$709,"低")&gt;0,"已匹配，建议复核","已匹配"))</x:f>
        <x:v>已匹配，建议复核</x:v>
      </x:c>
      <x:c r="H37" s="26" t="str">
        <x:v>低</x:v>
      </x:c>
      <x:c r="I37" s="26" t="str">
        <x:v>ICN056</x:v>
      </x:c>
      <x:c r="J37" s="26" t="str">
        <x:v>软件与数字安全产业链/中游/应用软件、区块链平台与安全产品</x:v>
      </x:c>
      <x:c r="K37" s="26" t="str">
        <x:v>测试经理是互联网技术行业中不可或缺的角色，主要负责确保软件产品的质量和稳定性。在快速迭代的产品开发流程中，测试经理通过科学的方法和技术手段来识别和预防潜在的问题，从而保障用户体验和产品竞争力。作为公司质量保证体系的核心成…</x:v>
      </x:c>
      <x:c r="L37" s="26" t="str">
        <x:v>1. 制定并优化测试计划、测试方案及测试用例，确保测试活动覆盖所有关键功能点，满足业务需求。 2. 组织并指导测试团队执行测试工作，监控测试进度，及时发现并解决测试过程中出现的问题，确保测试结果的准确性和可靠性。 3. …</x:v>
      </x:c>
    </x:row>
    <x:row r="38" ht="72" customHeight="1">
      <x:c r="A38" s="25" t="n">
        <x:v>10930</x:v>
      </x:c>
      <x:c r="B38" s="25" t="str">
        <x:v>IC-L3-187</x:v>
      </x:c>
      <x:c r="C38" s="25" t="str">
        <x:v>网络工程师</x:v>
      </x:c>
      <x:c r="D38" s="25" t="str">
        <x:v>2-02-10-01</x:v>
      </x:c>
      <x:c r="E38" s="25" t="str">
        <x:v>通信工程技术人员</x:v>
      </x:c>
      <x:c r="F38" s="28" t="n">
        <x:f>COUNTIF('岗位-产业节点关系'!$C$4:$C$709,B38)</x:f>
        <x:v>1</x:v>
      </x:c>
      <x:c r="G38" s="26" t="str">
        <x:f>IF(F38=0,"未匹配（现有产业链范围未覆盖或证据不足）",IF(COUNTIFS('岗位-产业节点关系'!$C$4:$C$709,B38,'岗位-产业节点关系'!$M$4:$M$709,"低")&gt;0,"已匹配，建议复核","已匹配"))</x:f>
        <x:v>已匹配</x:v>
      </x:c>
      <x:c r="H38" s="26" t="str">
        <x:v>中</x:v>
      </x:c>
      <x:c r="I38" s="26" t="str">
        <x:v>ICN029</x:v>
      </x:c>
      <x:c r="J38" s="26" t="str">
        <x:v>新一代信息基础设施产业链/中游/5G网络、数据中心与云边平台</x:v>
      </x:c>
      <x:c r="K38" s="26" t="str">
        <x:v>网络工程师是互联网技术行业中不可或缺的专业人才，他们负责设计、实施与维护公司的网络系统，确保数据传输的安全高效，对于保障企业运营顺畅至关重要。在网络架构日益复杂的今天，网络工程师不仅需要具备深厚的技术功底，还应能够应对不…</x:v>
      </x:c>
      <x:c r="L38" s="26" t="str">
        <x:v>1. 负责公司内部网络的设计、部署及日常维护工作，确保网络系统的正常运行。 2. 对现有网络架构进行定期评估与优化，提出改进建议，以适应业务发展的需求。 3. 制定并执行网络安全策略，预防潜在威胁，保护公司信息资产安全。…</x:v>
      </x:c>
    </x:row>
    <x:row r="39" ht="72" customHeight="1">
      <x:c r="A39" s="25" t="n">
        <x:v>10931</x:v>
      </x:c>
      <x:c r="B39" s="25" t="str">
        <x:v>IC-L3-188</x:v>
      </x:c>
      <x:c r="C39" s="25" t="str">
        <x:v>项目主管</x:v>
      </x:c>
      <x:c r="D39" s="25" t="str">
        <x:v>2-02-10-03</x:v>
      </x:c>
      <x:c r="E39" s="25" t="str">
        <x:v>计算机软件工程技术人员</x:v>
      </x:c>
      <x:c r="F39" s="28" t="n">
        <x:f>COUNTIF('岗位-产业节点关系'!$C$4:$C$709,B39)</x:f>
        <x:v>0</x:v>
      </x:c>
      <x:c r="G39" s="26" t="str">
        <x:f>IF(F39=0,"未匹配（现有产业链范围未覆盖或证据不足）",IF(COUNTIFS('岗位-产业节点关系'!$C$4:$C$709,B39,'岗位-产业节点关系'!$M$4:$M$709,"低")&gt;0,"已匹配，建议复核","已匹配"))</x:f>
        <x:v>未匹配（现有产业链范围未覆盖或证据不足）</x:v>
      </x:c>
      <x:c r="H39" s="26" t="str">
        <x:v>-</x:v>
      </x:c>
      <x:c r="I39" s="26" t="str"/>
      <x:c r="J39" s="26" t="str"/>
      <x:c r="K39" s="26" t="str">
        <x:v>项目主管是互联网技术行业中至关重要的角色，负责确保项目的顺利进行与成功交付。作为技术管理和执行之间的桥梁，项目主管不仅需要具备深厚的技术背景，还需拥有卓越的领导力和沟通技巧，以协调不同部门资源，解决项目实施过程中遇到的各…</x:v>
      </x:c>
      <x:c r="L39" s="26" t="str">
        <x:v>1. 负责项目从启动到收尾全过程的管理，包括但不限于需求分析、方案设计、时间安排、预算控制等，确保项目目标达成。 2. 与客户、供应商以及内部各部门保持良好沟通，明确各方期望，协调资源，解决冲突，维护良好的合作关系。 3…</x:v>
      </x:c>
    </x:row>
    <x:row r="40" ht="72" customHeight="1">
      <x:c r="A40" s="25" t="n">
        <x:v>10932</x:v>
      </x:c>
      <x:c r="B40" s="25" t="str">
        <x:v>IC-L3-189</x:v>
      </x:c>
      <x:c r="C40" s="25" t="str">
        <x:v>项目助理</x:v>
      </x:c>
      <x:c r="D40" s="25" t="str">
        <x:v>2-02-10-03</x:v>
      </x:c>
      <x:c r="E40" s="25" t="str">
        <x:v>计算机软件工程技术人员</x:v>
      </x:c>
      <x:c r="F40" s="28" t="n">
        <x:f>COUNTIF('岗位-产业节点关系'!$C$4:$C$709,B40)</x:f>
        <x:v>0</x:v>
      </x:c>
      <x:c r="G40" s="26" t="str">
        <x:f>IF(F40=0,"未匹配（现有产业链范围未覆盖或证据不足）",IF(COUNTIFS('岗位-产业节点关系'!$C$4:$C$709,B40,'岗位-产业节点关系'!$M$4:$M$709,"低")&gt;0,"已匹配，建议复核","已匹配"))</x:f>
        <x:v>未匹配（现有产业链范围未覆盖或证据不足）</x:v>
      </x:c>
      <x:c r="H40" s="26" t="str">
        <x:v>-</x:v>
      </x:c>
      <x:c r="I40" s="26" t="str"/>
      <x:c r="J40" s="26" t="str"/>
      <x:c r="K40" s="26" t="str">
        <x:v>项目助理是互联网技术行业中不可或缺的角色，主要负责协助项目经理进行项目的日常管理和协调工作。作为技术与管理之间的桥梁，项目助理在确保项目按时交付、成本控制及质量保证方面发挥着关键作用，对于推动公司技术创新和业务发展具有重…</x:v>
      </x:c>
      <x:c r="L40" s="26" t="str">
        <x:v>1. 负责项目文档的整理与归档，确保所有文件资料齐全、规范，便于查阅和追溯。 2. 协助项目经理制定项目计划，监控项目执行情况，定期向相关人员汇报项目进展状况。 3. 组织召开项目会议，记录会议纪要，跟进会议决议事项的落…</x:v>
      </x:c>
    </x:row>
    <x:row r="41" ht="72" customHeight="1">
      <x:c r="A41" s="25" t="n">
        <x:v>10933</x:v>
      </x:c>
      <x:c r="B41" s="25" t="str">
        <x:v>IC-L3-190</x:v>
      </x:c>
      <x:c r="C41" s="25" t="str">
        <x:v>项目总监</x:v>
      </x:c>
      <x:c r="D41" s="25" t="str">
        <x:v>2-02-10-03</x:v>
      </x:c>
      <x:c r="E41" s="25" t="str">
        <x:v>计算机软件工程技术人员</x:v>
      </x:c>
      <x:c r="F41" s="28" t="n">
        <x:f>COUNTIF('岗位-产业节点关系'!$C$4:$C$709,B41)</x:f>
        <x:v>0</x:v>
      </x:c>
      <x:c r="G41" s="26" t="str">
        <x:f>IF(F41=0,"未匹配（现有产业链范围未覆盖或证据不足）",IF(COUNTIFS('岗位-产业节点关系'!$C$4:$C$709,B41,'岗位-产业节点关系'!$M$4:$M$709,"低")&gt;0,"已匹配，建议复核","已匹配"))</x:f>
        <x:v>未匹配（现有产业链范围未覆盖或证据不足）</x:v>
      </x:c>
      <x:c r="H41" s="26" t="str">
        <x:v>-</x:v>
      </x:c>
      <x:c r="I41" s="26" t="str"/>
      <x:c r="J41" s="26" t="str"/>
      <x:c r="K41" s="26" t="str">
        <x:v>项目总监是互联网技术行业中至关重要的高级管理职位，负责监督和指导多个大型项目的执行与交付。作为公司技术战略的重要组成部分，项目总监不仅需要确保项目按时按质完成，还需不断优化流程，提高团队效率，以支持公司的长期发展和技术领…</x:v>
      </x:c>
      <x:c r="L41" s="26" t="str">
        <x:v>1. 制定并实施项目管理策略，确保所有项目从启动到收尾的每个阶段都能高效运行，达到既定的质量标准和时间要求。 2. 监控项目进展，定期向高级管理层报告项目状态，及时识别潜在风险并提出解决方案，保障项目顺利推进。 3. 组…</x:v>
      </x:c>
    </x:row>
    <x:row r="42" ht="72" customHeight="1">
      <x:c r="A42" s="25" t="n">
        <x:v>10934</x:v>
      </x:c>
      <x:c r="B42" s="25" t="str">
        <x:v>IC-L3-191</x:v>
      </x:c>
      <x:c r="C42" s="25" t="str">
        <x:v>项目经理</x:v>
      </x:c>
      <x:c r="D42" s="25" t="str">
        <x:v>2-02-10-03</x:v>
      </x:c>
      <x:c r="E42" s="25" t="str">
        <x:v>计算机软件工程技术人员</x:v>
      </x:c>
      <x:c r="F42" s="28" t="n">
        <x:f>COUNTIF('岗位-产业节点关系'!$C$4:$C$709,B42)</x:f>
        <x:v>0</x:v>
      </x:c>
      <x:c r="G42" s="26" t="str">
        <x:f>IF(F42=0,"未匹配（现有产业链范围未覆盖或证据不足）",IF(COUNTIFS('岗位-产业节点关系'!$C$4:$C$709,B42,'岗位-产业节点关系'!$M$4:$M$709,"低")&gt;0,"已匹配，建议复核","已匹配"))</x:f>
        <x:v>未匹配（现有产业链范围未覆盖或证据不足）</x:v>
      </x:c>
      <x:c r="H42" s="26" t="str">
        <x:v>-</x:v>
      </x:c>
      <x:c r="I42" s="26" t="str"/>
      <x:c r="J42" s="26" t="str"/>
      <x:c r="K42" s="26" t="str">
        <x:v>项目经理是互联网技术行业中不可或缺的角色，他们负责确保项目按时按质完成，同时协调资源以实现公司战略目标。作为连接技术和业务的关键人物，项目经理不仅需要具备深厚的技术背景，还需拥有良好的沟通能力和项目管理知识，以确保团队成…</x:v>
      </x:c>
      <x:c r="L42" s="26" t="str">
        <x:v>1. 制定详细的项目计划，包括但不限于时间表、预算、资源配置等，确保项目顺利进行并达成既定目标。 2. 监控项目的执行情况，及时识别潜在风险并采取预防措施，保证项目质量符合预期标准。 3. 与跨职能团队成员保持良好沟通，…</x:v>
      </x:c>
    </x:row>
    <x:row r="43" ht="72" customHeight="1">
      <x:c r="A43" s="25" t="n">
        <x:v>10935</x:v>
      </x:c>
      <x:c r="B43" s="25" t="str">
        <x:v>IC-L3-192</x:v>
      </x:c>
      <x:c r="C43" s="25" t="str">
        <x:v>首席信息官CIO</x:v>
      </x:c>
      <x:c r="D43" s="25" t="str">
        <x:v>2-02-10-03</x:v>
      </x:c>
      <x:c r="E43" s="25" t="str">
        <x:v>计算机软件工程技术人员</x:v>
      </x:c>
      <x:c r="F43" s="28" t="n">
        <x:f>COUNTIF('岗位-产业节点关系'!$C$4:$C$709,B43)</x:f>
        <x:v>1</x:v>
      </x:c>
      <x:c r="G43" s="26" t="str">
        <x:f>IF(F43=0,"未匹配（现有产业链范围未覆盖或证据不足）",IF(COUNTIFS('岗位-产业节点关系'!$C$4:$C$709,B43,'岗位-产业节点关系'!$M$4:$M$709,"低")&gt;0,"已匹配，建议复核","已匹配"))</x:f>
        <x:v>已匹配，建议复核</x:v>
      </x:c>
      <x:c r="H43" s="26" t="str">
        <x:v>低</x:v>
      </x:c>
      <x:c r="I43" s="26" t="str">
        <x:v>ICN057</x:v>
      </x:c>
      <x:c r="J43" s="26" t="str">
        <x:v>软件与数字安全产业链/下游/政企数字化、可信流通与安全运营</x:v>
      </x:c>
      <x:c r="K43" s="26" t="str">
        <x:v>首席信息官（CIO）是互联网技术行业中至关重要的高级管理职位，负责领导企业的信息技术战略与执行，确保IT资源的有效利用以支持企业目标。作为技术与业务之间的桥梁，CIO不仅需要具备深厚的技术背景，还需拥有敏锐的商业洞察力，…</x:v>
      </x:c>
      <x:c r="L43" s="26" t="str">
        <x:v>1. 制定并执行公司整体信息技术战略，确保技术架构与业务目标一致，提高运营效率和服务质量。 2. 监督IT项目的规划、开发与实施过程，控制项目成本与时间表，确保按时按质完成任务。 3. 评估并选择合适的技术解决方案，持续…</x:v>
      </x:c>
    </x:row>
    <x:row r="44" ht="72" customHeight="1">
      <x:c r="A44" s="25" t="n">
        <x:v>10936</x:v>
      </x:c>
      <x:c r="B44" s="25" t="str">
        <x:v>IC-L3-193</x:v>
      </x:c>
      <x:c r="C44" s="25" t="str">
        <x:v>首席技术执行官CTO</x:v>
      </x:c>
      <x:c r="D44" s="25" t="str">
        <x:v>2-02-10-03</x:v>
      </x:c>
      <x:c r="E44" s="25" t="str">
        <x:v>计算机软件工程技术人员</x:v>
      </x:c>
      <x:c r="F44" s="28" t="n">
        <x:f>COUNTIF('岗位-产业节点关系'!$C$4:$C$709,B44)</x:f>
        <x:v>0</x:v>
      </x:c>
      <x:c r="G44" s="26" t="str">
        <x:f>IF(F44=0,"未匹配（现有产业链范围未覆盖或证据不足）",IF(COUNTIFS('岗位-产业节点关系'!$C$4:$C$709,B44,'岗位-产业节点关系'!$M$4:$M$709,"低")&gt;0,"已匹配，建议复核","已匹配"))</x:f>
        <x:v>未匹配（现有产业链范围未覆盖或证据不足）</x:v>
      </x:c>
      <x:c r="H44" s="26" t="str">
        <x:v>-</x:v>
      </x:c>
      <x:c r="I44" s="26" t="str"/>
      <x:c r="J44" s="26" t="str"/>
      <x:c r="K44" s="26" t="str">
        <x:v>首席技术执行官（CTO）是互联网技术行业中不可或缺的角色，作为企业技术战略的核心领导者，CTO不仅负责制定并实施技术发展战略，确保公司技术能力与业务目标相匹配，还扮演着推动技术创新和优化用户体验的关键角色。该职位的核心目…</x:v>
      </x:c>
      <x:c r="L44" s="26" t="str">
        <x:v>1. 制定并执行公司的技术战略规划，确保技术发展方向符合公司长期愿景及市场需求，推动技术创新与应用落地。 2. 监督和指导技术研发团队完成高质量的产品开发工作，确保项目按时交付，并满足性能、安全等各项标准要求。 3. 与…</x:v>
      </x:c>
    </x:row>
    <x:row r="45" ht="72" customHeight="1">
      <x:c r="A45" s="25" t="n">
        <x:v>10937</x:v>
      </x:c>
      <x:c r="B45" s="25" t="str">
        <x:v>IC-L3-194</x:v>
      </x:c>
      <x:c r="C45" s="25" t="str">
        <x:v>BI工程师</x:v>
      </x:c>
      <x:c r="D45" s="25" t="str">
        <x:v>2-02-10-03</x:v>
      </x:c>
      <x:c r="E45" s="25" t="str">
        <x:v>计算机软件工程技术人员</x:v>
      </x:c>
      <x:c r="F45" s="28" t="n">
        <x:f>COUNTIF('岗位-产业节点关系'!$C$4:$C$709,B45)</x:f>
        <x:v>1</x:v>
      </x:c>
      <x:c r="G45" s="26" t="str">
        <x:f>IF(F45=0,"未匹配（现有产业链范围未覆盖或证据不足）",IF(COUNTIFS('岗位-产业节点关系'!$C$4:$C$709,B45,'岗位-产业节点关系'!$M$4:$M$709,"低")&gt;0,"已匹配，建议复核","已匹配"))</x:f>
        <x:v>已匹配</x:v>
      </x:c>
      <x:c r="H45" s="26" t="str">
        <x:v>高</x:v>
      </x:c>
      <x:c r="I45" s="26" t="str">
        <x:v>ICN002</x:v>
      </x:c>
      <x:c r="J45" s="26" t="str">
        <x:v>数据要素与数字经济产业链/中游/数据治理、流通与服务</x:v>
      </x:c>
      <x:c r="K45" s="26" t="str">
        <x:v>BI工程师是专门从事商业智能系统开发与数据分析的专业人员。该职位的核心目标是通过构建数据可视化平台和分析模型，支撑企业数据驱动决策。在日常工作中，需要进行ETL流程设计、数据仓库构建、报表开发及业务需求分析等工作。</x:v>
      </x:c>
      <x:c r="L45" s="26" t="str">
        <x:v>1. 设计数据仓库架构 2. 开发ETL数据处理流程 3. 构建商业智能报表 4. 优化数据分析模型 5. 维护BI系统稳定性 6. 对接业务需求分析</x:v>
      </x:c>
    </x:row>
    <x:row r="46" ht="72" customHeight="1">
      <x:c r="A46" s="25" t="n">
        <x:v>10938</x:v>
      </x:c>
      <x:c r="B46" s="25" t="str">
        <x:v>IC-L3-195</x:v>
      </x:c>
      <x:c r="C46" s="25" t="str">
        <x:v>BI工程师</x:v>
      </x:c>
      <x:c r="D46" s="25" t="str">
        <x:v>2-02-10-03</x:v>
      </x:c>
      <x:c r="E46" s="25" t="str">
        <x:v>计算机软件工程技术人员</x:v>
      </x:c>
      <x:c r="F46" s="28" t="n">
        <x:f>COUNTIF('岗位-产业节点关系'!$C$4:$C$709,B46)</x:f>
        <x:v>1</x:v>
      </x:c>
      <x:c r="G46" s="26" t="str">
        <x:f>IF(F46=0,"未匹配（现有产业链范围未覆盖或证据不足）",IF(COUNTIFS('岗位-产业节点关系'!$C$4:$C$709,B46,'岗位-产业节点关系'!$M$4:$M$709,"低")&gt;0,"已匹配，建议复核","已匹配"))</x:f>
        <x:v>已匹配</x:v>
      </x:c>
      <x:c r="H46" s="26" t="str">
        <x:v>高</x:v>
      </x:c>
      <x:c r="I46" s="26" t="str">
        <x:v>ICN002</x:v>
      </x:c>
      <x:c r="J46" s="26" t="str">
        <x:v>数据要素与数字经济产业链/中游/数据治理、流通与服务</x:v>
      </x:c>
      <x:c r="K46" s="26" t="str">
        <x:v>BI工程师是互联网技术行业中不可或缺的专业人才，他们通过数据分析和商业智能工具的应用，帮助企业从海量数据中挖掘出有价值的洞察，从而支持决策制定和业务优化。在数据驱动的时代背景下，BI工程师的角色越来越受到重视。 该职位的…</x:v>
      </x:c>
      <x:c r="L46" s="26" t="str">
        <x:v>1. 负责设计并实现高效的数据仓库解决方案，确保数据存储的安全性和可访问性，满足不同业务场景下的查询需求。 2. 利用SQL等查询语言进行复杂的数据提取与清洗工作，保证数据质量，为后续分析打下坚实基础。 3. 开发和维护…</x:v>
      </x:c>
    </x:row>
    <x:row r="47" ht="72" customHeight="1">
      <x:c r="A47" s="25" t="n">
        <x:v>10939</x:v>
      </x:c>
      <x:c r="B47" s="25" t="str">
        <x:v>IC-L3-196</x:v>
      </x:c>
      <x:c r="C47" s="25" t="str">
        <x:v>ETL开发工程师</x:v>
      </x:c>
      <x:c r="D47" s="25" t="str">
        <x:v>2-02-10-03</x:v>
      </x:c>
      <x:c r="E47" s="25" t="str">
        <x:v>计算机软件工程技术人员</x:v>
      </x:c>
      <x:c r="F47" s="28" t="n">
        <x:f>COUNTIF('岗位-产业节点关系'!$C$4:$C$709,B47)</x:f>
        <x:v>1</x:v>
      </x:c>
      <x:c r="G47" s="26" t="str">
        <x:f>IF(F47=0,"未匹配（现有产业链范围未覆盖或证据不足）",IF(COUNTIFS('岗位-产业节点关系'!$C$4:$C$709,B47,'岗位-产业节点关系'!$M$4:$M$709,"低")&gt;0,"已匹配，建议复核","已匹配"))</x:f>
        <x:v>已匹配，建议复核</x:v>
      </x:c>
      <x:c r="H47" s="26" t="str">
        <x:v>低</x:v>
      </x:c>
      <x:c r="I47" s="26" t="str">
        <x:v>ICN001</x:v>
      </x:c>
      <x:c r="J47" s="26" t="str">
        <x:v>数据要素与数字经济产业链/上游/数据资源采集与基础设施</x:v>
      </x:c>
      <x:c r="K47" s="26" t="str">
        <x:v>ETL开发工程师是互联网技术行业中不可或缺的专业人才，负责企业内部数据的提取、转换与加载工作，确保数据从源头到目的地的准确无误。通过构建高效稳定的数据处理流程，ETL开发工程师能够帮助企业实现数据资产的价值最大化，为业务…</x:v>
      </x:c>
      <x:c r="L47" s="26" t="str">
        <x:v>1. 负责设计并实施高效的ETL解决方案，满足不同业务场景下的数据需求，确保数据质量与安全性。 2. 优化现有ETL作业，提高数据处理效率，减少延迟时间，保证数据实时性。 3. 参与数据仓库架构设计，协助建立标准化的数据…</x:v>
      </x:c>
    </x:row>
    <x:row r="48" ht="72" customHeight="1">
      <x:c r="A48" s="25" t="n">
        <x:v>10940</x:v>
      </x:c>
      <x:c r="B48" s="25" t="str">
        <x:v>IC-L3-197</x:v>
      </x:c>
      <x:c r="C48" s="25" t="str">
        <x:v>密码技术应用员</x:v>
      </x:c>
      <x:c r="D48" s="25" t="str">
        <x:v>2-02-10-03</x:v>
      </x:c>
      <x:c r="E48" s="25" t="str">
        <x:v>计算机软件工程技术人员</x:v>
      </x:c>
      <x:c r="F48" s="28" t="n">
        <x:f>COUNTIF('岗位-产业节点关系'!$C$4:$C$709,B48)</x:f>
        <x:v>1</x:v>
      </x:c>
      <x:c r="G48" s="26" t="str">
        <x:f>IF(F48=0,"未匹配（现有产业链范围未覆盖或证据不足）",IF(COUNTIFS('岗位-产业节点关系'!$C$4:$C$709,B48,'岗位-产业节点关系'!$M$4:$M$709,"低")&gt;0,"已匹配，建议复核","已匹配"))</x:f>
        <x:v>已匹配</x:v>
      </x:c>
      <x:c r="H48" s="26" t="str">
        <x:v>高</x:v>
      </x:c>
      <x:c r="I48" s="26" t="str">
        <x:v>ICN055</x:v>
      </x:c>
      <x:c r="J48" s="26" t="str">
        <x:v>软件与数字安全产业链/上游/基础软件、密码与可信技术</x:v>
      </x:c>
      <x:c r="K48" s="26" t="str">
        <x:v>密码技术应用员是互联网技术行业中不可或缺的专业人才，主要负责保障公司数据的安全与隐私。随着网络安全威胁的日益严峻，该职位的重要性愈发凸显，成为维护企业核心竞争力的关键角色之一。 密码技术应用员的核心目标在于通过设计和实施…</x:v>
      </x:c>
      <x:c r="L48" s="26" t="str">
        <x:v>1. 负责研究并应用最新的密码学理论和技术，制定符合公司业务需求的数据保护策略。 2. 设计和优化各类加密算法，评估其安全性与效率，确保系统能够抵御潜在的安全攻击。 3. 参与产品开发过程，提供专业的安全建议，协助开发人…</x:v>
      </x:c>
    </x:row>
    <x:row r="49" ht="72" customHeight="1">
      <x:c r="A49" s="25" t="n">
        <x:v>10941</x:v>
      </x:c>
      <x:c r="B49" s="25" t="str">
        <x:v>IC-L3-198</x:v>
      </x:c>
      <x:c r="C49" s="25" t="str">
        <x:v>数据仓库工程师</x:v>
      </x:c>
      <x:c r="D49" s="25" t="str">
        <x:v>2-02-10-03</x:v>
      </x:c>
      <x:c r="E49" s="25" t="str">
        <x:v>计算机软件工程技术人员</x:v>
      </x:c>
      <x:c r="F49" s="28" t="n">
        <x:f>COUNTIF('岗位-产业节点关系'!$C$4:$C$709,B49)</x:f>
        <x:v>2</x:v>
      </x:c>
      <x:c r="G49" s="26" t="str">
        <x:f>IF(F49=0,"未匹配（现有产业链范围未覆盖或证据不足）",IF(COUNTIFS('岗位-产业节点关系'!$C$4:$C$709,B49,'岗位-产业节点关系'!$M$4:$M$709,"低")&gt;0,"已匹配，建议复核","已匹配"))</x:f>
        <x:v>已匹配，建议复核</x:v>
      </x:c>
      <x:c r="H49" s="26" t="str">
        <x:v>中</x:v>
      </x:c>
      <x:c r="I49" s="26" t="str">
        <x:v>ICN002、ICN056</x:v>
      </x:c>
      <x:c r="J49" s="26" t="str">
        <x:v>数据要素与数字经济产业链/中游/数据治理、流通与服务；软件与数字安全产业链/中游/应用软件、区块链平台与安全产品</x:v>
      </x:c>
      <x:c r="K49" s="26" t="str">
        <x:v>数据仓库工程师是互联网技术行业中不可或缺的专业人才，他们负责构建和维护高效的数据存储解决方案，以支持企业内部的数据分析需求。通过优化数据处理流程和提高数据质量，该职位在推动业务决策的科学性和准确性方面发挥着至关重要的作用…</x:v>
      </x:c>
      <x:c r="L49" s="26" t="str">
        <x:v>1. 负责数据仓库的设计、开发、测试及部署工作，确保满足业务需求并符合行业最佳实践标准。 2. 实施ETL（提取、转换、加载）过程，将原始数据转换为可用于分析的形式，保证数据的准确性和完整性。 3. 与业务团队沟通交流，…</x:v>
      </x:c>
    </x:row>
    <x:row r="50" ht="72" customHeight="1">
      <x:c r="A50" s="25" t="n">
        <x:v>10942</x:v>
      </x:c>
      <x:c r="B50" s="25" t="str">
        <x:v>IC-L3-199</x:v>
      </x:c>
      <x:c r="C50" s="25" t="str">
        <x:v>数据分析经理/主管</x:v>
      </x:c>
      <x:c r="D50" s="25" t="str">
        <x:v>2-02-10-03</x:v>
      </x:c>
      <x:c r="E50" s="25" t="str">
        <x:v>计算机软件工程技术人员</x:v>
      </x:c>
      <x:c r="F50" s="28" t="n">
        <x:f>COUNTIF('岗位-产业节点关系'!$C$4:$C$709,B50)</x:f>
        <x:v>1</x:v>
      </x:c>
      <x:c r="G50" s="26" t="str">
        <x:f>IF(F50=0,"未匹配（现有产业链范围未覆盖或证据不足）",IF(COUNTIFS('岗位-产业节点关系'!$C$4:$C$709,B50,'岗位-产业节点关系'!$M$4:$M$709,"低")&gt;0,"已匹配，建议复核","已匹配"))</x:f>
        <x:v>已匹配</x:v>
      </x:c>
      <x:c r="H50" s="26" t="str">
        <x:v>中</x:v>
      </x:c>
      <x:c r="I50" s="26" t="str">
        <x:v>ICN002</x:v>
      </x:c>
      <x:c r="J50" s="26" t="str">
        <x:v>数据要素与数字经济产业链/中游/数据治理、流通与服务</x:v>
      </x:c>
      <x:c r="K50" s="26" t="str">
        <x:v>数据分析经理/主管是互联网技术行业中不可或缺的关键角色。在大数据时代，企业越来越依赖于数据来驱动决策，因此，这一职位负责将海量的数据转化为有价值的洞察，帮助企业优化运营策略，提升市场竞争力。作为公司的数据领导者，该职位的…</x:v>
      </x:c>
      <x:c r="L50" s="26" t="str">
        <x:v>1. 负责制定并执行全面的数据分析计划，覆盖产品性能、用户行为等多个维度，确保数据收集、处理及分析流程的规范性与准确性，为公司决策层提供可靠的数据依据。 2. 领导并指导数据分析团队完成日常任务，包括但不限于数据挖掘、统…</x:v>
      </x:c>
    </x:row>
    <x:row r="51" ht="72" customHeight="1">
      <x:c r="A51" s="25" t="n">
        <x:v>10943</x:v>
      </x:c>
      <x:c r="B51" s="25" t="str">
        <x:v>IC-L3-200</x:v>
      </x:c>
      <x:c r="C51" s="25" t="str">
        <x:v>数据标注师</x:v>
      </x:c>
      <x:c r="D51" s="25" t="str">
        <x:v>4-04-05-05</x:v>
      </x:c>
      <x:c r="E51" s="25" t="str">
        <x:v>人工智能训练师</x:v>
      </x:c>
      <x:c r="F51" s="28" t="n">
        <x:f>COUNTIF('岗位-产业节点关系'!$C$4:$C$709,B51)</x:f>
        <x:v>1</x:v>
      </x:c>
      <x:c r="G51" s="26" t="str">
        <x:f>IF(F51=0,"未匹配（现有产业链范围未覆盖或证据不足）",IF(COUNTIFS('岗位-产业节点关系'!$C$4:$C$709,B51,'岗位-产业节点关系'!$M$4:$M$709,"低")&gt;0,"已匹配，建议复核","已匹配"))</x:f>
        <x:v>已匹配</x:v>
      </x:c>
      <x:c r="H51" s="26" t="str">
        <x:v>中</x:v>
      </x:c>
      <x:c r="I51" s="26" t="str">
        <x:v>ICN001</x:v>
      </x:c>
      <x:c r="J51" s="26" t="str">
        <x:v>数据要素与数字经济产业链/上游/数据资源采集与基础设施</x:v>
      </x:c>
      <x:c r="K51" s="26" t="str">
        <x:v>数据标注师是互联网技术行业中不可或缺的角色，他们通过精确的数据处理工作，确保机器学习算法能够获得高质量的训练材料，从而提高模型的准确性和可靠性。这一角色不仅促进了技术的进步，也为用户带来了更加智能的产品体验。 数据标注师…</x:v>
      </x:c>
      <x:c r="L51" s="26" t="str">
        <x:v>1. 负责对各类数据（如图像、视频、文本等）进行准确的标注、分类及审核，保证数据质量符合项目要求。 2. 与项目团队沟通，理解数据需求，制定合理的数据标注方案并执行，确保按时完成任务。 3. 参与数据标注工具的测试与反馈…</x:v>
      </x:c>
    </x:row>
    <x:row r="52" ht="72" customHeight="1">
      <x:c r="A52" s="25" t="n">
        <x:v>10944</x:v>
      </x:c>
      <x:c r="B52" s="25" t="str">
        <x:v>IC-L3-201</x:v>
      </x:c>
      <x:c r="C52" s="25" t="str">
        <x:v>数据治理工程师</x:v>
      </x:c>
      <x:c r="D52" s="25" t="str">
        <x:v>2-02-10-03</x:v>
      </x:c>
      <x:c r="E52" s="25" t="str">
        <x:v>计算机软件工程技术人员</x:v>
      </x:c>
      <x:c r="F52" s="28" t="n">
        <x:f>COUNTIF('岗位-产业节点关系'!$C$4:$C$709,B52)</x:f>
        <x:v>1</x:v>
      </x:c>
      <x:c r="G52" s="26" t="str">
        <x:f>IF(F52=0,"未匹配（现有产业链范围未覆盖或证据不足）",IF(COUNTIFS('岗位-产业节点关系'!$C$4:$C$709,B52,'岗位-产业节点关系'!$M$4:$M$709,"低")&gt;0,"已匹配，建议复核","已匹配"))</x:f>
        <x:v>已匹配</x:v>
      </x:c>
      <x:c r="H52" s="26" t="str">
        <x:v>高</x:v>
      </x:c>
      <x:c r="I52" s="26" t="str">
        <x:v>ICN002</x:v>
      </x:c>
      <x:c r="J52" s="26" t="str">
        <x:v>数据要素与数字经济产业链/中游/数据治理、流通与服务</x:v>
      </x:c>
      <x:c r="K52" s="26" t="str">
        <x:v>数据治理工程师是互联网技术行业中不可或缺的专业角色，其核心任务在于确保企业数据资产的有效管理和利用，通过建立和完善数据治理体系，为企业决策提供准确、及时的数据支持。在当前大数据时代背景下，数据治理工程师的重要性日益凸显，…</x:v>
      </x:c>
      <x:c r="L52" s="26" t="str">
        <x:v>1. 设计并实施数据治理框架，包括但不限于数据分类、权限管理、质量评估等，确保数据的一致性和准确性。 2. 与业务部门密切配合，识别数据需求，制定数据标准，指导数据采集、存储及应用过程中的规范化操作。 3. 定期审查现有…</x:v>
      </x:c>
    </x:row>
    <x:row r="53" ht="72" customHeight="1">
      <x:c r="A53" s="25" t="n">
        <x:v>10945</x:v>
      </x:c>
      <x:c r="B53" s="25" t="str">
        <x:v>IC-L3-202</x:v>
      </x:c>
      <x:c r="C53" s="25" t="str">
        <x:v>数据采集工程师</x:v>
      </x:c>
      <x:c r="D53" s="25" t="str">
        <x:v>2-02-10-03</x:v>
      </x:c>
      <x:c r="E53" s="25" t="str">
        <x:v>计算机软件工程技术人员</x:v>
      </x:c>
      <x:c r="F53" s="28" t="n">
        <x:f>COUNTIF('岗位-产业节点关系'!$C$4:$C$709,B53)</x:f>
        <x:v>2</x:v>
      </x:c>
      <x:c r="G53" s="26" t="str">
        <x:f>IF(F53=0,"未匹配（现有产业链范围未覆盖或证据不足）",IF(COUNTIFS('岗位-产业节点关系'!$C$4:$C$709,B53,'岗位-产业节点关系'!$M$4:$M$709,"低")&gt;0,"已匹配，建议复核","已匹配"))</x:f>
        <x:v>已匹配，建议复核</x:v>
      </x:c>
      <x:c r="H53" s="26" t="str">
        <x:v>中</x:v>
      </x:c>
      <x:c r="I53" s="26" t="str">
        <x:v>ICN001、ICN056</x:v>
      </x:c>
      <x:c r="J53" s="26" t="str">
        <x:v>数据要素与数字经济产业链/上游/数据资源采集与基础设施；软件与数字安全产业链/中游/应用软件、区块链平台与安全产品</x:v>
      </x:c>
      <x:c r="K53" s="26" t="str">
        <x:v>数据采集工程师是互联网技术领域中不可或缺的角色，他们负责从各种来源获取数据，确保数据的质量和可用性，为后续的数据分析和决策提供坚实的基础。该职位的核心目标在于建立高效、稳定的数据采集系统，以满足公司内部不同部门对于数据的…</x:v>
      </x:c>
      <x:c r="L53" s="26" t="str">
        <x:v>1. 设计并实现高效的数据采集方案，覆盖多种数据源，如网站、API接口及数据库等，确保数据的全面性和准确性。 2. 对采集到的数据进行预处理，包括清洗、转换等工作，保证数据的一致性和完整性，为数据分析提供高质量的数据支持…</x:v>
      </x:c>
    </x:row>
    <x:row r="54" ht="72" customHeight="1">
      <x:c r="A54" s="25" t="n">
        <x:v>10946</x:v>
      </x:c>
      <x:c r="B54" s="25" t="str">
        <x:v>IC-L3-203</x:v>
      </x:c>
      <x:c r="C54" s="25" t="str">
        <x:v>爬虫工程师</x:v>
      </x:c>
      <x:c r="D54" s="25" t="str">
        <x:v>2-02-10-03</x:v>
      </x:c>
      <x:c r="E54" s="25" t="str">
        <x:v>计算机软件工程技术人员</x:v>
      </x:c>
      <x:c r="F54" s="28" t="n">
        <x:f>COUNTIF('岗位-产业节点关系'!$C$4:$C$709,B54)</x:f>
        <x:v>2</x:v>
      </x:c>
      <x:c r="G54" s="26" t="str">
        <x:f>IF(F54=0,"未匹配（现有产业链范围未覆盖或证据不足）",IF(COUNTIFS('岗位-产业节点关系'!$C$4:$C$709,B54,'岗位-产业节点关系'!$M$4:$M$709,"低")&gt;0,"已匹配，建议复核","已匹配"))</x:f>
        <x:v>已匹配，建议复核</x:v>
      </x:c>
      <x:c r="H54" s="26" t="str">
        <x:v>低</x:v>
      </x:c>
      <x:c r="I54" s="26" t="str">
        <x:v>ICN001、ICN056</x:v>
      </x:c>
      <x:c r="J54" s="26" t="str">
        <x:v>数据要素与数字经济产业链/上游/数据资源采集与基础设施；软件与数字安全产业链/中游/应用软件、区块链平台与安全产品</x:v>
      </x:c>
      <x:c r="K54" s="26" t="str">
        <x:v>爬虫工程师是互联网技术领域中不可或缺的角色，通过自动化手段收集网络上的公开数据，为企业决策提供强有力的数据支持。在大数据时代背景下，爬虫工程师不仅能够帮助企业快速获取市场动态和用户行为分析所需的信息，而且还能通过高效的数…</x:v>
      </x:c>
      <x:c r="L54" s="26" t="str">
        <x:v>1. 负责设计和实现高效的网络爬虫程序，确保能够稳定地从多个来源获取所需数据。 2. 对现有爬虫系统进行维护和优化，提高数据抓取速度及稳定性，降低服务器资源消耗。 3. 与团队成员沟通协作，理解业务需求，为项目提供技术支…</x:v>
      </x:c>
    </x:row>
    <x:row r="55" ht="72" customHeight="1">
      <x:c r="A55" s="25" t="n">
        <x:v>10947</x:v>
      </x:c>
      <x:c r="B55" s="25" t="str">
        <x:v>IC-L3-204</x:v>
      </x:c>
      <x:c r="C55" s="25" t="str">
        <x:v>电子数据取证分析师</x:v>
      </x:c>
      <x:c r="D55" s="25" t="str">
        <x:v>2-02-09-02</x:v>
      </x:c>
      <x:c r="E55" s="25" t="str">
        <x:v>电子元器件工程技术人员</x:v>
      </x:c>
      <x:c r="F55" s="28" t="n">
        <x:f>COUNTIF('岗位-产业节点关系'!$C$4:$C$709,B55)</x:f>
        <x:v>1</x:v>
      </x:c>
      <x:c r="G55" s="26" t="str">
        <x:f>IF(F55=0,"未匹配（现有产业链范围未覆盖或证据不足）",IF(COUNTIFS('岗位-产业节点关系'!$C$4:$C$709,B55,'岗位-产业节点关系'!$M$4:$M$709,"低")&gt;0,"已匹配，建议复核","已匹配"))</x:f>
        <x:v>已匹配，建议复核</x:v>
      </x:c>
      <x:c r="H55" s="26" t="str">
        <x:v>低</x:v>
      </x:c>
      <x:c r="I55" s="26" t="str">
        <x:v>ICN056</x:v>
      </x:c>
      <x:c r="J55" s="26" t="str">
        <x:v>软件与数字安全产业链/中游/应用软件、区块链平台与安全产品</x:v>
      </x:c>
      <x:c r="K55" s="26" t="str">
        <x:v>电子数据取证分析师是互联网技术行业中不可或缺的专业人才，他们在网络安全、法律合规以及企业风险管理等方面发挥着关键作用。通过专业的数据分析和证据收集，他们能够帮助企业解决复杂的数字安全问题，确保企业在面临法律纠纷时有充足的…</x:v>
      </x:c>
      <x:c r="L55" s="26" t="str">
        <x:v>1. 负责进行电子数据的采集、保存及恢复工作，确保数据完整性和可用性。 2. 运用专业软件和技术手段对收集到的数据进行深入分析，识别可疑行为模式或异常活动。 3. 编写详细的报告，记录调查过程、发现的问题以及建议的解决方…</x:v>
      </x:c>
    </x:row>
    <x:row r="56" ht="72" customHeight="1">
      <x:c r="A56" s="25" t="n">
        <x:v>10948</x:v>
      </x:c>
      <x:c r="B56" s="25" t="str">
        <x:v>IC-L3-205</x:v>
      </x:c>
      <x:c r="C56" s="25" t="str">
        <x:v>数据运营</x:v>
      </x:c>
      <x:c r="D56" s="25" t="str">
        <x:v>2-02-10-03</x:v>
      </x:c>
      <x:c r="E56" s="25" t="str">
        <x:v>计算机软件工程技术人员</x:v>
      </x:c>
      <x:c r="F56" s="28" t="n">
        <x:f>COUNTIF('岗位-产业节点关系'!$C$4:$C$709,B56)</x:f>
        <x:v>1</x:v>
      </x:c>
      <x:c r="G56" s="26" t="str">
        <x:f>IF(F56=0,"未匹配（现有产业链范围未覆盖或证据不足）",IF(COUNTIFS('岗位-产业节点关系'!$C$4:$C$709,B56,'岗位-产业节点关系'!$M$4:$M$709,"低")&gt;0,"已匹配，建议复核","已匹配"))</x:f>
        <x:v>已匹配</x:v>
      </x:c>
      <x:c r="H56" s="26" t="str">
        <x:v>中</x:v>
      </x:c>
      <x:c r="I56" s="26" t="str">
        <x:v>ICN003</x:v>
      </x:c>
      <x:c r="J56" s="26" t="str">
        <x:v>数据要素与数字经济产业链/下游/数字经济场景应用与内容创意</x:v>
      </x:c>
      <x:c r="K56" s="26" t="str">
        <x:v>数据运营是专门从事数据资产价值挖掘的专业人员。该职位的核心目标是通过数据收集、分析和应用，实现业务增长和运营效率提升。在日常工作中，需要进行数据监控、报表制作、业务分析、数据可视化及运营策略优化等工作。</x:v>
      </x:c>
      <x:c r="L56" s="26" t="str">
        <x:v>1. 收集整理数据 2. 分析业务指标 3. 搭建数据看板 4. 优化数据流程 5. 输出分析报告 6. 支持业务决策</x:v>
      </x:c>
    </x:row>
    <x:row r="57" ht="72" customHeight="1">
      <x:c r="A57" s="25" t="n">
        <x:v>10949</x:v>
      </x:c>
      <x:c r="B57" s="25" t="str">
        <x:v>IC-L3-206</x:v>
      </x:c>
      <x:c r="C57" s="25" t="str">
        <x:v>体系工程师</x:v>
      </x:c>
      <x:c r="D57" s="25" t="str">
        <x:v>2-02-29-03</x:v>
      </x:c>
      <x:c r="E57" s="25" t="str">
        <x:v>质量管理工程技术人员</x:v>
      </x:c>
      <x:c r="F57" s="28" t="n">
        <x:f>COUNTIF('岗位-产业节点关系'!$C$4:$C$709,B57)</x:f>
        <x:v>0</x:v>
      </x:c>
      <x:c r="G57" s="26" t="str">
        <x:f>IF(F57=0,"未匹配（现有产业链范围未覆盖或证据不足）",IF(COUNTIFS('岗位-产业节点关系'!$C$4:$C$709,B57,'岗位-产业节点关系'!$M$4:$M$709,"低")&gt;0,"已匹配，建议复核","已匹配"))</x:f>
        <x:v>未匹配（现有产业链范围未覆盖或证据不足）</x:v>
      </x:c>
      <x:c r="H57" s="26" t="str">
        <x:v>-</x:v>
      </x:c>
      <x:c r="I57" s="26" t="str"/>
      <x:c r="J57" s="26" t="str"/>
      <x:c r="K57" s="26" t="str">
        <x:v>体系工程师在互联网技术行业中扮演着至关重要的角色，负责确保软件产品的质量和稳定性。通过全面而深入的测试流程，他们能够发现并解决潜在的技术问题，从而保障用户体验。作为连接开发与运维的关键环节，体系工程师不仅提高了产品上线的…</x:v>
      </x:c>
      <x:c r="L57" s="26" t="str">
        <x:v>1. 设计并执行全面的测试计划，覆盖功能测试、性能测试、兼容性测试等多个方面，确保产品符合预期的质量标准。 2. 开发和维护自动化测试脚本，利用Selenium、JMeter等工具提高测试覆盖率和效率，减少人工测试的时间…</x:v>
      </x:c>
    </x:row>
    <x:row r="58" ht="72" customHeight="1">
      <x:c r="A58" s="25" t="n">
        <x:v>10950</x:v>
      </x:c>
      <x:c r="B58" s="25" t="str">
        <x:v>IC-L3-207</x:v>
      </x:c>
      <x:c r="C58" s="25" t="str">
        <x:v>功能测试</x:v>
      </x:c>
      <x:c r="D58" s="25" t="str">
        <x:v>4-04-05-02</x:v>
      </x:c>
      <x:c r="E58" s="25" t="str">
        <x:v>计算机软件测试员</x:v>
      </x:c>
      <x:c r="F58" s="28" t="n">
        <x:f>COUNTIF('岗位-产业节点关系'!$C$4:$C$709,B58)</x:f>
        <x:v>1</x:v>
      </x:c>
      <x:c r="G58" s="26" t="str">
        <x:f>IF(F58=0,"未匹配（现有产业链范围未覆盖或证据不足）",IF(COUNTIFS('岗位-产业节点关系'!$C$4:$C$709,B58,'岗位-产业节点关系'!$M$4:$M$709,"低")&gt;0,"已匹配，建议复核","已匹配"))</x:f>
        <x:v>已匹配，建议复核</x:v>
      </x:c>
      <x:c r="H58" s="26" t="str">
        <x:v>低</x:v>
      </x:c>
      <x:c r="I58" s="26" t="str">
        <x:v>ICN056</x:v>
      </x:c>
      <x:c r="J58" s="26" t="str">
        <x:v>软件与数字安全产业链/中游/应用软件、区块链平台与安全产品</x:v>
      </x:c>
      <x:c r="K58" s="26" t="str">
        <x:v>功能测试工程师是互联网技术行业中不可或缺的角色，他们通过确保产品功能的完整性和稳定性，帮助公司在激烈的市场竞争中保持优势。作为质量控制的关键环节，功能测试工程师负责识别和解决软件开发过程中的各种问题，确保最终交付给用户的…</x:v>
      </x:c>
      <x:c r="L58" s="26" t="str">
        <x:v>1. 负责软件产品的功能测试工作，包括制定测试计划、编写测试用例并执行，确保软件功能符合设计要求及用户需求。 2. 对发现的问题进行记录、分析和跟踪，与项目团队成员沟通协调，推动问题及时有效解决。 3. 参与需求评审会议…</x:v>
      </x:c>
    </x:row>
    <x:row r="59" ht="72" customHeight="1">
      <x:c r="A59" s="25" t="n">
        <x:v>10951</x:v>
      </x:c>
      <x:c r="B59" s="25" t="str">
        <x:v>IC-L3-208</x:v>
      </x:c>
      <x:c r="C59" s="25" t="str">
        <x:v>性能测试</x:v>
      </x:c>
      <x:c r="D59" s="25" t="str">
        <x:v>4-04-05-02</x:v>
      </x:c>
      <x:c r="E59" s="25" t="str">
        <x:v>计算机软件测试员</x:v>
      </x:c>
      <x:c r="F59" s="28" t="n">
        <x:f>COUNTIF('岗位-产业节点关系'!$C$4:$C$709,B59)</x:f>
        <x:v>1</x:v>
      </x:c>
      <x:c r="G59" s="26" t="str">
        <x:f>IF(F59=0,"未匹配（现有产业链范围未覆盖或证据不足）",IF(COUNTIFS('岗位-产业节点关系'!$C$4:$C$709,B59,'岗位-产业节点关系'!$M$4:$M$709,"低")&gt;0,"已匹配，建议复核","已匹配"))</x:f>
        <x:v>已匹配，建议复核</x:v>
      </x:c>
      <x:c r="H59" s="26" t="str">
        <x:v>低</x:v>
      </x:c>
      <x:c r="I59" s="26" t="str">
        <x:v>ICN056</x:v>
      </x:c>
      <x:c r="J59" s="26" t="str">
        <x:v>软件与数字安全产业链/中游/应用软件、区块链平台与安全产品</x:v>
      </x:c>
      <x:c r="K59" s="26" t="str">
        <x:v>性能测试工程师是互联网技术领域中不可或缺的专业角色，主要负责确保软件产品的稳定性和高效运行。随着互联网行业的快速发展，性能测试已成为产品质量保障的关键环节之一，其重要性日益凸显。 性能测试工程师的核心目标是通过模拟真实环…</x:v>
      </x:c>
      <x:c r="L59" s="26" t="str">
        <x:v>1. 负责制定并执行性能测试计划，涵盖从需求分析到测试报告的整个流程，确保测试活动的有效性和完整性。 2. 使用专业工具（如LoadRunner, JMeter等）搭建测试环境，模拟生产环境下的各种压力场景，评估系统在不…</x:v>
      </x:c>
    </x:row>
    <x:row r="60" ht="72" customHeight="1">
      <x:c r="A60" s="25" t="n">
        <x:v>10952</x:v>
      </x:c>
      <x:c r="B60" s="25" t="str">
        <x:v>IC-L3-209</x:v>
      </x:c>
      <x:c r="C60" s="25" t="str">
        <x:v>测试工程师</x:v>
      </x:c>
      <x:c r="D60" s="25" t="str">
        <x:v>4-04-05-02</x:v>
      </x:c>
      <x:c r="E60" s="25" t="str">
        <x:v>计算机软件测试员</x:v>
      </x:c>
      <x:c r="F60" s="28" t="n">
        <x:f>COUNTIF('岗位-产业节点关系'!$C$4:$C$709,B60)</x:f>
        <x:v>1</x:v>
      </x:c>
      <x:c r="G60" s="26" t="str">
        <x:f>IF(F60=0,"未匹配（现有产业链范围未覆盖或证据不足）",IF(COUNTIFS('岗位-产业节点关系'!$C$4:$C$709,B60,'岗位-产业节点关系'!$M$4:$M$709,"低")&gt;0,"已匹配，建议复核","已匹配"))</x:f>
        <x:v>已匹配，建议复核</x:v>
      </x:c>
      <x:c r="H60" s="26" t="str">
        <x:v>低</x:v>
      </x:c>
      <x:c r="I60" s="26" t="str">
        <x:v>ICN056</x:v>
      </x:c>
      <x:c r="J60" s="26" t="str">
        <x:v>软件与数字安全产业链/中游/应用软件、区块链平台与安全产品</x:v>
      </x:c>
      <x:c r="K60" s="26" t="str">
        <x:v>测试工程师在互联网技术行业中扮演着至关重要的角色，负责确保软件产品的质量和稳定性，是连接开发与用户之间的桥梁。通过严谨的测试流程，他们能够提前发现并解决潜在问题，保障产品的顺利上线和用户体验。在公司内部，测试工程师不仅需…</x:v>
      </x:c>
      <x:c r="L60" s="26" t="str">
        <x:v>1. 设计并执行详细的测试计划和测试用例，覆盖功能、性能、安全等多个维度，确保产品符合预期标准。 2. 使用自动化工具进行回归测试，提高测试效率和准确性，减少重复劳动，加速迭代周期。 3. 对发现的问题进行记录、分析和跟…</x:v>
      </x:c>
    </x:row>
    <x:row r="61" ht="72" customHeight="1">
      <x:c r="A61" s="25" t="n">
        <x:v>10953</x:v>
      </x:c>
      <x:c r="B61" s="25" t="str">
        <x:v>IC-L3-210</x:v>
      </x:c>
      <x:c r="C61" s="25" t="str">
        <x:v>测试开发</x:v>
      </x:c>
      <x:c r="D61" s="25" t="str">
        <x:v>4-04-05-02</x:v>
      </x:c>
      <x:c r="E61" s="25" t="str">
        <x:v>计算机软件测试员</x:v>
      </x:c>
      <x:c r="F61" s="28" t="n">
        <x:f>COUNTIF('岗位-产业节点关系'!$C$4:$C$709,B61)</x:f>
        <x:v>1</x:v>
      </x:c>
      <x:c r="G61" s="26" t="str">
        <x:f>IF(F61=0,"未匹配（现有产业链范围未覆盖或证据不足）",IF(COUNTIFS('岗位-产业节点关系'!$C$4:$C$709,B61,'岗位-产业节点关系'!$M$4:$M$709,"低")&gt;0,"已匹配，建议复核","已匹配"))</x:f>
        <x:v>已匹配</x:v>
      </x:c>
      <x:c r="H61" s="26" t="str">
        <x:v>高</x:v>
      </x:c>
      <x:c r="I61" s="26" t="str">
        <x:v>ICN056</x:v>
      </x:c>
      <x:c r="J61" s="26" t="str">
        <x:v>软件与数字安全产业链/中游/应用软件、区块链平台与安全产品</x:v>
      </x:c>
      <x:c r="K61" s="26" t="str">
        <x:v>测试开发工程师在互联网技术行业中扮演着至关重要的角色。他们负责确保软件产品的质量和稳定性，通过设计和执行测试用例来发现并解决潜在的问题，从而保障用户体验。作为连接开发与运维之间的桥梁，测试开发不仅需要具备扎实的技术基础，…</x:v>
      </x:c>
      <x:c r="L61" s="26" t="str">
        <x:v>1. 负责制定并优化测试计划，编写详细的测试用例，确保覆盖所有功能点，以达到全面的质量保证。 2. 利用自动化测试工具或自研脚本，构建高效的测试环境，加速测试流程，提高测试覆盖率。 3. 对发现的问题进行记录、分析和跟踪…</x:v>
      </x:c>
    </x:row>
    <x:row r="62" ht="72" customHeight="1">
      <x:c r="A62" s="25" t="n">
        <x:v>10954</x:v>
      </x:c>
      <x:c r="B62" s="25" t="str">
        <x:v>IC-L3-211</x:v>
      </x:c>
      <x:c r="C62" s="25" t="str">
        <x:v>测试经理</x:v>
      </x:c>
      <x:c r="D62" s="25" t="str">
        <x:v>4-04-05-02</x:v>
      </x:c>
      <x:c r="E62" s="25" t="str">
        <x:v>计算机软件测试员</x:v>
      </x:c>
      <x:c r="F62" s="28" t="n">
        <x:f>COUNTIF('岗位-产业节点关系'!$C$4:$C$709,B62)</x:f>
        <x:v>1</x:v>
      </x:c>
      <x:c r="G62" s="26" t="str">
        <x:f>IF(F62=0,"未匹配（现有产业链范围未覆盖或证据不足）",IF(COUNTIFS('岗位-产业节点关系'!$C$4:$C$709,B62,'岗位-产业节点关系'!$M$4:$M$709,"低")&gt;0,"已匹配，建议复核","已匹配"))</x:f>
        <x:v>已匹配，建议复核</x:v>
      </x:c>
      <x:c r="H62" s="26" t="str">
        <x:v>低</x:v>
      </x:c>
      <x:c r="I62" s="26" t="str">
        <x:v>ICN056</x:v>
      </x:c>
      <x:c r="J62" s="26" t="str">
        <x:v>软件与数字安全产业链/中游/应用软件、区块链平台与安全产品</x:v>
      </x:c>
      <x:c r="K62" s="26" t="str">
        <x:v>测试经理是互联网技术行业中不可或缺的角色，负责确保软件产品的质量和稳定性，通过严谨的测试流程减少产品上线后的风险，保障用户体验。作为连接开发与用户的关键环节，测试经理不仅需要具备扎实的技术背景，更需拥有良好的沟通协调能力…</x:v>
      </x:c>
      <x:c r="L62" s="26" t="str">
        <x:v>1. 负责制定全面的测试策略和计划，覆盖从需求分析到上线前的所有测试阶段，确保每个环节都达到预期的质量标准。 2. 组织并实施自动化测试框架的搭建与维护工作，提高测试效率，降低人力成本，确保测试结果的准确性和可重复性。 …</x:v>
      </x:c>
    </x:row>
    <x:row r="63" ht="72" customHeight="1">
      <x:c r="A63" s="25" t="n">
        <x:v>10955</x:v>
      </x:c>
      <x:c r="B63" s="25" t="str">
        <x:v>IC-L3-212</x:v>
      </x:c>
      <x:c r="C63" s="25" t="str">
        <x:v>游戏测试</x:v>
      </x:c>
      <x:c r="D63" s="25" t="str">
        <x:v>2-09-06-01</x:v>
      </x:c>
      <x:c r="E63" s="25" t="str">
        <x:v>视觉传达设计人员</x:v>
      </x:c>
      <x:c r="F63" s="28" t="n">
        <x:f>COUNTIF('岗位-产业节点关系'!$C$4:$C$709,B63)</x:f>
        <x:v>1</x:v>
      </x:c>
      <x:c r="G63" s="26" t="str">
        <x:f>IF(F63=0,"未匹配（现有产业链范围未覆盖或证据不足）",IF(COUNTIFS('岗位-产业节点关系'!$C$4:$C$709,B63,'岗位-产业节点关系'!$M$4:$M$709,"低")&gt;0,"已匹配，建议复核","已匹配"))</x:f>
        <x:v>已匹配</x:v>
      </x:c>
      <x:c r="H63" s="26" t="str">
        <x:v>中</x:v>
      </x:c>
      <x:c r="I63" s="26" t="str">
        <x:v>ICN054</x:v>
      </x:c>
      <x:c r="J63" s="26" t="str">
        <x:v>新型显示与虚拟现实产业链/下游/沉浸式内容、行业应用与消费场景</x:v>
      </x:c>
      <x:c r="K63" s="26" t="str">
        <x:v>游戏测试工程师是互联网技术领域中不可或缺的角色，特别是在游戏开发过程中，他们通过严谨细致的测试工作确保产品质量，提升用户体验，对产品的成功发布起到关键作用。该职位的核心目标在于发现并记录软件缺陷，协助开发团队优化产品性能…</x:v>
      </x:c>
      <x:c r="L63" s="26" t="str">
        <x:v>1. 负责游戏功能、界面、性能等方面的全面测试，确保每个环节均符合设计要求和质量标准。 2. 编写详细的测试计划和测试用例，执行测试流程，准确记录测试结果，及时反馈问题并跟踪修复情况。 3. 与开发人员密切沟通，快速定位…</x:v>
      </x:c>
    </x:row>
    <x:row r="64" ht="72" customHeight="1">
      <x:c r="A64" s="25" t="n">
        <x:v>10956</x:v>
      </x:c>
      <x:c r="B64" s="25" t="str">
        <x:v>IC-L3-213</x:v>
      </x:c>
      <x:c r="C64" s="25" t="str">
        <x:v>硬件测试工程师</x:v>
      </x:c>
      <x:c r="D64" s="25" t="str">
        <x:v>4-04-05-02</x:v>
      </x:c>
      <x:c r="E64" s="25" t="str">
        <x:v>计算机软件测试员</x:v>
      </x:c>
      <x:c r="F64" s="28" t="n">
        <x:f>COUNTIF('岗位-产业节点关系'!$C$4:$C$709,B64)</x:f>
        <x:v>1</x:v>
      </x:c>
      <x:c r="G64" s="26" t="str">
        <x:f>IF(F64=0,"未匹配（现有产业链范围未覆盖或证据不足）",IF(COUNTIFS('岗位-产业节点关系'!$C$4:$C$709,B64,'岗位-产业节点关系'!$M$4:$M$709,"低")&gt;0,"已匹配，建议复核","已匹配"))</x:f>
        <x:v>已匹配，建议复核</x:v>
      </x:c>
      <x:c r="H64" s="26" t="str">
        <x:v>低</x:v>
      </x:c>
      <x:c r="I64" s="26" t="str">
        <x:v>ICN056</x:v>
      </x:c>
      <x:c r="J64" s="26" t="str">
        <x:v>软件与数字安全产业链/中游/应用软件、区块链平台与安全产品</x:v>
      </x:c>
      <x:c r="K64" s="26" t="str">
        <x:v>硬件测试工程师是互联网技术行业中不可或缺的角色，负责确保产品硬件的质量与稳定性，直接关系到产品的市场竞争力和用户体验。通过系统地测试和评估硬件性能，该职位能够有效发现并解决潜在的技术问题，减少产品上市后的风险，对公司的技…</x:v>
      </x:c>
      <x:c r="L64" s="26" t="str">
        <x:v>1. 负责制定详细的硬件测试计划，包括但不限于功能测试、性能测试、环境适应性测试等，确保所有测试活动覆盖全面，达到预期的质量标准。 2. 执行具体的硬件测试任务，记录测试数据，分析测试结果，及时反馈发现的问题，并提出改进…</x:v>
      </x:c>
    </x:row>
    <x:row r="65" ht="72" customHeight="1">
      <x:c r="A65" s="25" t="n">
        <x:v>10957</x:v>
      </x:c>
      <x:c r="B65" s="25" t="str">
        <x:v>IC-L3-214</x:v>
      </x:c>
      <x:c r="C65" s="25" t="str">
        <x:v>自动化测试</x:v>
      </x:c>
      <x:c r="D65" s="25" t="str">
        <x:v>4-04-05-02</x:v>
      </x:c>
      <x:c r="E65" s="25" t="str">
        <x:v>计算机软件测试员</x:v>
      </x:c>
      <x:c r="F65" s="28" t="n">
        <x:f>COUNTIF('岗位-产业节点关系'!$C$4:$C$709,B65)</x:f>
        <x:v>1</x:v>
      </x:c>
      <x:c r="G65" s="26" t="str">
        <x:f>IF(F65=0,"未匹配（现有产业链范围未覆盖或证据不足）",IF(COUNTIFS('岗位-产业节点关系'!$C$4:$C$709,B65,'岗位-产业节点关系'!$M$4:$M$709,"低")&gt;0,"已匹配，建议复核","已匹配"))</x:f>
        <x:v>已匹配，建议复核</x:v>
      </x:c>
      <x:c r="H65" s="26" t="str">
        <x:v>低</x:v>
      </x:c>
      <x:c r="I65" s="26" t="str">
        <x:v>ICN056</x:v>
      </x:c>
      <x:c r="J65" s="26" t="str">
        <x:v>软件与数字安全产业链/中游/应用软件、区块链平台与安全产品</x:v>
      </x:c>
      <x:c r="K65" s="26" t="str">
        <x:v>在互联网技术行业中，自动化测试工程师扮演着至关重要的角色，他们通过开发和维护自动化测试工具来提高软件产品的质量和稳定性。这一职位不仅确保了产品从开发到上线的每一个环节都能达到最高标准，同时也为用户提供了更加流畅和安全的使…</x:v>
      </x:c>
      <x:c r="L65" s="26" t="str">
        <x:v>1. 设计并实施自动化测试方案，覆盖功能、性能、安全等多个方面，确保软件产品的高质量交付。 2. 编写和维护自动化测试脚本，提高测试效率，减少重复劳动，保障测试结果的准确性和可重复性。 3. 参与需求分析和设计评审会议，…</x:v>
      </x:c>
    </x:row>
    <x:row r="66" ht="72" customHeight="1">
      <x:c r="A66" s="25" t="n">
        <x:v>10958</x:v>
      </x:c>
      <x:c r="B66" s="25" t="str">
        <x:v>IC-L3-215</x:v>
      </x:c>
      <x:c r="C66" s="25" t="str">
        <x:v>软件测试</x:v>
      </x:c>
      <x:c r="D66" s="25" t="str">
        <x:v>4-04-05-02</x:v>
      </x:c>
      <x:c r="E66" s="25" t="str">
        <x:v>计算机软件测试员</x:v>
      </x:c>
      <x:c r="F66" s="28" t="n">
        <x:f>COUNTIF('岗位-产业节点关系'!$C$4:$C$709,B66)</x:f>
        <x:v>1</x:v>
      </x:c>
      <x:c r="G66" s="26" t="str">
        <x:f>IF(F66=0,"未匹配（现有产业链范围未覆盖或证据不足）",IF(COUNTIFS('岗位-产业节点关系'!$C$4:$C$709,B66,'岗位-产业节点关系'!$M$4:$M$709,"低")&gt;0,"已匹配，建议复核","已匹配"))</x:f>
        <x:v>已匹配</x:v>
      </x:c>
      <x:c r="H66" s="26" t="str">
        <x:v>高</x:v>
      </x:c>
      <x:c r="I66" s="26" t="str">
        <x:v>ICN056</x:v>
      </x:c>
      <x:c r="J66" s="26" t="str">
        <x:v>软件与数字安全产业链/中游/应用软件、区块链平台与安全产品</x:v>
      </x:c>
      <x:c r="K66" s="26" t="str">
        <x:v>软件测试工程师是互联网技术行业中不可或缺的角色，他们通过严谨的测试流程确保产品的高质量与稳定性，为用户带来流畅安全的体验。软件测试工程师的核心目标在于发现并解决产品中存在的缺陷与问题，从而提升产品质量，减少上线后的维护成…</x:v>
      </x:c>
      <x:c r="L66" s="26" t="str">
        <x:v>1. 设计并执行详细的测试计划，覆盖功能、性能、安全等多个方面，确保软件产品的全面测试。 2. 使用自动化工具编写和维护测试脚本，提高测试效率，降低重复劳动，实现持续集成。 3. 对发现的问题进行记录、分类、跟踪直至关闭…</x:v>
      </x:c>
    </x:row>
    <x:row r="67" ht="72" customHeight="1">
      <x:c r="A67" s="25" t="n">
        <x:v>10959</x:v>
      </x:c>
      <x:c r="B67" s="25" t="str">
        <x:v>IC-L3-216</x:v>
      </x:c>
      <x:c r="C67" s="25" t="str">
        <x:v>游戏开发工程师</x:v>
      </x:c>
      <x:c r="D67" s="25" t="str">
        <x:v>2-09-06-01</x:v>
      </x:c>
      <x:c r="E67" s="25" t="str">
        <x:v>视觉传达设计人员</x:v>
      </x:c>
      <x:c r="F67" s="28" t="n">
        <x:f>COUNTIF('岗位-产业节点关系'!$C$4:$C$709,B67)</x:f>
        <x:v>2</x:v>
      </x:c>
      <x:c r="G67" s="26" t="str">
        <x:f>IF(F67=0,"未匹配（现有产业链范围未覆盖或证据不足）",IF(COUNTIFS('岗位-产业节点关系'!$C$4:$C$709,B67,'岗位-产业节点关系'!$M$4:$M$709,"低")&gt;0,"已匹配，建议复核","已匹配"))</x:f>
        <x:v>已匹配</x:v>
      </x:c>
      <x:c r="H67" s="26" t="str">
        <x:v>中</x:v>
      </x:c>
      <x:c r="I67" s="26" t="str">
        <x:v>ICN054、ICN053</x:v>
      </x:c>
      <x:c r="J67" s="26" t="str">
        <x:v>新型显示与虚拟现实产业链/下游/沉浸式内容、行业应用与消费场景；新型显示与虚拟现实产业链/中游/显示面板、终端与VR设备制造</x:v>
      </x:c>
      <x:c r="K67" s="26" t="str">
        <x:v>游戏开发工程师是互联网技术行业中不可或缺的专业人才，在游戏开发领域扮演着核心角色。他们不仅负责将创意和技术转化为可玩的游戏产品，还承担着优化用户体验、提升游戏性能等重要任务，是推动游戏行业发展的重要力量。 作为游戏开发工…</x:v>
      </x:c>
      <x:c r="L67" s="26" t="str">
        <x:v>1. 负责游戏客户端或服务器端的功能模块设计与编码实现，确保代码质量和性能达到项目要求。 2. 参与需求分析会议，理解业务逻辑及用户需求，提出合理的技术方案和建议。 3. 对现有系统进行维护升级，及时解决线上问题，保障服…</x:v>
      </x:c>
    </x:row>
    <x:row r="68" ht="72" customHeight="1">
      <x:c r="A68" s="25" t="n">
        <x:v>10960</x:v>
      </x:c>
      <x:c r="B68" s="25" t="str">
        <x:v>IC-L3-217</x:v>
      </x:c>
      <x:c r="C68" s="25" t="str">
        <x:v>游戏测试</x:v>
      </x:c>
      <x:c r="D68" s="25" t="str">
        <x:v>2-09-06-01</x:v>
      </x:c>
      <x:c r="E68" s="25" t="str">
        <x:v>视觉传达设计人员</x:v>
      </x:c>
      <x:c r="F68" s="28" t="n">
        <x:f>COUNTIF('岗位-产业节点关系'!$C$4:$C$709,B68)</x:f>
        <x:v>1</x:v>
      </x:c>
      <x:c r="G68" s="26" t="str">
        <x:f>IF(F68=0,"未匹配（现有产业链范围未覆盖或证据不足）",IF(COUNTIFS('岗位-产业节点关系'!$C$4:$C$709,B68,'岗位-产业节点关系'!$M$4:$M$709,"低")&gt;0,"已匹配，建议复核","已匹配"))</x:f>
        <x:v>已匹配</x:v>
      </x:c>
      <x:c r="H68" s="26" t="str">
        <x:v>中</x:v>
      </x:c>
      <x:c r="I68" s="26" t="str">
        <x:v>ICN054</x:v>
      </x:c>
      <x:c r="J68" s="26" t="str">
        <x:v>新型显示与虚拟现实产业链/下游/沉浸式内容、行业应用与消费场景</x:v>
      </x:c>
      <x:c r="K68" s="26" t="str">
        <x:v>游戏测试是专门从事游戏质量保障的专业人员。该职位的核心目标是通过系统化测试流程，确保游戏产品的功能完整性和用户体验。在日常工作中，需要进行用例设计、缺陷跟踪、兼容性测试及性能测试等工作。</x:v>
      </x:c>
      <x:c r="L68" s="26" t="str">
        <x:v>1. 执行功能测试 2. 发现游戏缺陷 3. 记录测试结果 4. 验证修复效果 5. 评估游戏体验 6. 编写测试报告</x:v>
      </x:c>
    </x:row>
    <x:row r="69" ht="72" customHeight="1">
      <x:c r="A69" s="25" t="n">
        <x:v>10961</x:v>
      </x:c>
      <x:c r="B69" s="25" t="str">
        <x:v>IC-L3-218</x:v>
      </x:c>
      <x:c r="C69" s="25" t="str">
        <x:v>游戏运营</x:v>
      </x:c>
      <x:c r="D69" s="25" t="str">
        <x:v>2-09-06-01</x:v>
      </x:c>
      <x:c r="E69" s="25" t="str">
        <x:v>视觉传达设计人员</x:v>
      </x:c>
      <x:c r="F69" s="28" t="n">
        <x:f>COUNTIF('岗位-产业节点关系'!$C$4:$C$709,B69)</x:f>
        <x:v>1</x:v>
      </x:c>
      <x:c r="G69" s="26" t="str">
        <x:f>IF(F69=0,"未匹配（现有产业链范围未覆盖或证据不足）",IF(COUNTIFS('岗位-产业节点关系'!$C$4:$C$709,B69,'岗位-产业节点关系'!$M$4:$M$709,"低")&gt;0,"已匹配，建议复核","已匹配"))</x:f>
        <x:v>已匹配</x:v>
      </x:c>
      <x:c r="H69" s="26" t="str">
        <x:v>中</x:v>
      </x:c>
      <x:c r="I69" s="26" t="str">
        <x:v>ICN054</x:v>
      </x:c>
      <x:c r="J69" s="26" t="str">
        <x:v>新型显示与虚拟现实产业链/下游/沉浸式内容、行业应用与消费场景</x:v>
      </x:c>
      <x:c r="K69" s="26" t="str">
        <x:v>游戏运营是专门从事游戏产品生命周期管理和用户维护的专业人员。该职位的核心目标是通过精细化运营策略，提升游戏用户活跃度和商业价值。在日常工作中，需要进行版本活动策划、数据分析、用户反馈收集及社区运营等工作。</x:v>
      </x:c>
      <x:c r="L69" s="26" t="str">
        <x:v>1. 策划运营活动方案 2. 监控游戏数据指标 3. 维护玩家社群关系 4. 制定版本更新计划 5. 分析竞品市场动态 6. 优化商业变现策略</x:v>
      </x:c>
    </x:row>
    <x:row r="70" ht="72" customHeight="1">
      <x:c r="A70" s="25" t="n">
        <x:v>10962</x:v>
      </x:c>
      <x:c r="B70" s="25" t="str">
        <x:v>IC-L3-219</x:v>
      </x:c>
      <x:c r="C70" s="25" t="str">
        <x:v>游戏制作人</x:v>
      </x:c>
      <x:c r="D70" s="25" t="str">
        <x:v>2-09-06-01</x:v>
      </x:c>
      <x:c r="E70" s="25" t="str">
        <x:v>视觉传达设计人员</x:v>
      </x:c>
      <x:c r="F70" s="28" t="n">
        <x:f>COUNTIF('岗位-产业节点关系'!$C$4:$C$709,B70)</x:f>
        <x:v>1</x:v>
      </x:c>
      <x:c r="G70" s="26" t="str">
        <x:f>IF(F70=0,"未匹配（现有产业链范围未覆盖或证据不足）",IF(COUNTIFS('岗位-产业节点关系'!$C$4:$C$709,B70,'岗位-产业节点关系'!$M$4:$M$709,"低")&gt;0,"已匹配，建议复核","已匹配"))</x:f>
        <x:v>已匹配</x:v>
      </x:c>
      <x:c r="H70" s="26" t="str">
        <x:v>中</x:v>
      </x:c>
      <x:c r="I70" s="26" t="str">
        <x:v>ICN054</x:v>
      </x:c>
      <x:c r="J70" s="26" t="str">
        <x:v>新型显示与虚拟现实产业链/下游/沉浸式内容、行业应用与消费场景</x:v>
      </x:c>
      <x:c r="K70" s="26" t="str">
        <x:v>游戏制作人是负责游戏项目全生命周期管理的专业人员。该职位的核心目标是通过协调开发团队、把控项目进度和品质，实现高质量游戏产品的成功交付。在日常工作中，需要进行项目规划、资源调配、团队协调、质量把控和风险管理等工作。</x:v>
      </x:c>
      <x:c r="L70" s="26" t="str">
        <x:v>1. 制定游戏开发计划 2. 把控产品开发进度 3. 协调跨部门资源 4. 管理项目开发预算 5. 评估市场需求趋势 6. 确保产品质量标准</x:v>
      </x:c>
    </x:row>
    <x:row r="71" ht="72" customHeight="1">
      <x:c r="A71" s="25" t="n">
        <x:v>10963</x:v>
      </x:c>
      <x:c r="B71" s="25" t="str">
        <x:v>IC-L3-220</x:v>
      </x:c>
      <x:c r="C71" s="25" t="str">
        <x:v>游戏特效设计师</x:v>
      </x:c>
      <x:c r="D71" s="25" t="str">
        <x:v>2-09-06-01</x:v>
      </x:c>
      <x:c r="E71" s="25" t="str">
        <x:v>视觉传达设计人员</x:v>
      </x:c>
      <x:c r="F71" s="28" t="n">
        <x:f>COUNTIF('岗位-产业节点关系'!$C$4:$C$709,B71)</x:f>
        <x:v>1</x:v>
      </x:c>
      <x:c r="G71" s="26" t="str">
        <x:f>IF(F71=0,"未匹配（现有产业链范围未覆盖或证据不足）",IF(COUNTIFS('岗位-产业节点关系'!$C$4:$C$709,B71,'岗位-产业节点关系'!$M$4:$M$709,"低")&gt;0,"已匹配，建议复核","已匹配"))</x:f>
        <x:v>已匹配</x:v>
      </x:c>
      <x:c r="H71" s="26" t="str">
        <x:v>高</x:v>
      </x:c>
      <x:c r="I71" s="26" t="str">
        <x:v>ICN054</x:v>
      </x:c>
      <x:c r="J71" s="26" t="str">
        <x:v>新型显示与虚拟现实产业链/下游/沉浸式内容、行业应用与消费场景</x:v>
      </x:c>
      <x:c r="K71" s="26" t="str">
        <x:v>游戏特效设计师是专门从事游戏视觉特效创作的专业人员。该职位的核心目标是通过设计高质量的特效效果，提升游戏的表现力和沉浸感。在日常工作中，需要进行特效创意设计、动画制作、粒子系统调试以及与其他美术和程序团队协作等工作。</x:v>
      </x:c>
      <x:c r="L71" s="26" t="str">
        <x:v>1. 设计游戏特效方案 2. 制作视觉特效素材 3. 优化特效性能表现 4. 配合程序实现特效 5. 测试特效实际效果 6. 跟进特效迭代更新</x:v>
      </x:c>
    </x:row>
    <x:row r="72" ht="72" customHeight="1">
      <x:c r="A72" s="25" t="n">
        <x:v>10964</x:v>
      </x:c>
      <x:c r="B72" s="25" t="str">
        <x:v>IC-L3-221</x:v>
      </x:c>
      <x:c r="C72" s="25" t="str">
        <x:v>游戏动画师</x:v>
      </x:c>
      <x:c r="D72" s="25" t="str">
        <x:v>2-09-06-01</x:v>
      </x:c>
      <x:c r="E72" s="25" t="str">
        <x:v>视觉传达设计人员</x:v>
      </x:c>
      <x:c r="F72" s="28" t="n">
        <x:f>COUNTIF('岗位-产业节点关系'!$C$4:$C$709,B72)</x:f>
        <x:v>1</x:v>
      </x:c>
      <x:c r="G72" s="26" t="str">
        <x:f>IF(F72=0,"未匹配（现有产业链范围未覆盖或证据不足）",IF(COUNTIFS('岗位-产业节点关系'!$C$4:$C$709,B72,'岗位-产业节点关系'!$M$4:$M$709,"低")&gt;0,"已匹配，建议复核","已匹配"))</x:f>
        <x:v>已匹配</x:v>
      </x:c>
      <x:c r="H72" s="26" t="str">
        <x:v>高</x:v>
      </x:c>
      <x:c r="I72" s="26" t="str">
        <x:v>ICN054</x:v>
      </x:c>
      <x:c r="J72" s="26" t="str">
        <x:v>新型显示与虚拟现实产业链/下游/沉浸式内容、行业应用与消费场景</x:v>
      </x:c>
      <x:c r="K72" s="26" t="str">
        <x:v>游戏动画师是专门从事游戏角色和场景动画创作的专业人员。该职位的核心目标是通过制作高质量的动作和特效动画，提升游戏的表现力和沉浸感。在日常工作中，需要进行角色动画设计、动作捕捉处理、动画资源优化等工作。</x:v>
      </x:c>
      <x:c r="L72" s="26" t="str">
        <x:v>1. 制作游戏角色动画 2. 设计动作过渡效果 3. 优化动画性能表现 4. 配合程序实现动画 5. 调整动画节奏细节 6. 维护动画资源库</x:v>
      </x:c>
    </x:row>
    <x:row r="73" ht="72" customHeight="1">
      <x:c r="A73" s="25" t="n">
        <x:v>10965</x:v>
      </x:c>
      <x:c r="B73" s="25" t="str">
        <x:v>IC-L3-222</x:v>
      </x:c>
      <x:c r="C73" s="25" t="str">
        <x:v>DBA运维/技术支持</x:v>
      </x:c>
      <x:c r="D73" s="25" t="str">
        <x:v>4-04-05-01</x:v>
      </x:c>
      <x:c r="E73" s="25" t="str">
        <x:v>计算机程序设计员</x:v>
      </x:c>
      <x:c r="F73" s="28" t="n">
        <x:f>COUNTIF('岗位-产业节点关系'!$C$4:$C$709,B73)</x:f>
        <x:v>1</x:v>
      </x:c>
      <x:c r="G73" s="26" t="str">
        <x:f>IF(F73=0,"未匹配（现有产业链范围未覆盖或证据不足）",IF(COUNTIFS('岗位-产业节点关系'!$C$4:$C$709,B73,'岗位-产业节点关系'!$M$4:$M$709,"低")&gt;0,"已匹配，建议复核","已匹配"))</x:f>
        <x:v>已匹配</x:v>
      </x:c>
      <x:c r="H73" s="26" t="str">
        <x:v>中</x:v>
      </x:c>
      <x:c r="I73" s="26" t="str">
        <x:v>ICN057</x:v>
      </x:c>
      <x:c r="J73" s="26" t="str">
        <x:v>软件与数字安全产业链/下游/政企数字化、可信流通与安全运营</x:v>
      </x:c>
      <x:c r="K73" s="26" t="str">
        <x:v>数据库管理员（DBA）运维/技术支持是互联网技术行业中不可或缺的角色，负责确保公司数据库系统的高效运行与安全稳定，其工作直接关系到业务数据的准确性和可用性，对于维护企业核心竞争力至关重要。作为DBA运维/技术支持，您的核…</x:v>
      </x:c>
      <x:c r="L73" s="26" t="str">
        <x:v>1. 负责数据库系统的日常维护工作，包括但不限于安装配置、备份恢复、监控报警等，确保数据库环境的高可用性与安全性。 2. 分析并解决数据库性能瓶颈问题，通过参数调优、SQL审核等方式提升查询效率，降低资源消耗。 3. 制…</x:v>
      </x:c>
    </x:row>
    <x:row r="74" ht="72" customHeight="1">
      <x:c r="A74" s="25" t="n">
        <x:v>10966</x:v>
      </x:c>
      <x:c r="B74" s="25" t="str">
        <x:v>IC-L3-223</x:v>
      </x:c>
      <x:c r="C74" s="25" t="str">
        <x:v>ERP实施顾问</x:v>
      </x:c>
      <x:c r="D74" s="25" t="str">
        <x:v>4-04-05-01</x:v>
      </x:c>
      <x:c r="E74" s="25" t="str">
        <x:v>计算机程序设计员</x:v>
      </x:c>
      <x:c r="F74" s="28" t="n">
        <x:f>COUNTIF('岗位-产业节点关系'!$C$4:$C$709,B74)</x:f>
        <x:v>2</x:v>
      </x:c>
      <x:c r="G74" s="26" t="str">
        <x:f>IF(F74=0,"未匹配（现有产业链范围未覆盖或证据不足）",IF(COUNTIFS('岗位-产业节点关系'!$C$4:$C$709,B74,'岗位-产业节点关系'!$M$4:$M$709,"低")&gt;0,"已匹配，建议复核","已匹配"))</x:f>
        <x:v>已匹配</x:v>
      </x:c>
      <x:c r="H74" s="26" t="str">
        <x:v>中</x:v>
      </x:c>
      <x:c r="I74" s="26" t="str">
        <x:v>ICN056、ICN057</x:v>
      </x:c>
      <x:c r="J74" s="26" t="str">
        <x:v>软件与数字安全产业链/中游/应用软件、区块链平台与安全产品；软件与数字安全产业链/下游/政企数字化、可信流通与安全运营</x:v>
      </x:c>
      <x:c r="K74" s="26" t="str">
        <x:v>ERP实施顾问是互联网技术行业中不可或缺的专业人才，他们负责将企业资源计划（ERP）系统成功地部署到客户环境中，确保系统的稳定运行与高效利用，从而为企业提供强大的管理支持和技术保障。作为连接技术与业务的关键桥梁，ERP实…</x:v>
      </x:c>
      <x:c r="L74" s="26" t="str">
        <x:v>1. 负责ERP项目的整体规划与执行，从需求分析、方案设计到系统上线的全过程管理，确保项目按时按质完成。 2. 与客户进行深入交流，准确把握其业务需求，制定合理的ERP实施策略，帮助客户实现业务流程的标准化和自动化。 3…</x:v>
      </x:c>
    </x:row>
    <x:row r="75" ht="72" customHeight="1">
      <x:c r="A75" s="25" t="n">
        <x:v>10967</x:v>
      </x:c>
      <x:c r="B75" s="25" t="str">
        <x:v>IC-L3-224</x:v>
      </x:c>
      <x:c r="C75" s="25" t="str">
        <x:v>IT技术支持</x:v>
      </x:c>
      <x:c r="D75" s="25" t="str">
        <x:v>4-04-05-01</x:v>
      </x:c>
      <x:c r="E75" s="25" t="str">
        <x:v>计算机程序设计员</x:v>
      </x:c>
      <x:c r="F75" s="28" t="n">
        <x:f>COUNTIF('岗位-产业节点关系'!$C$4:$C$709,B75)</x:f>
        <x:v>1</x:v>
      </x:c>
      <x:c r="G75" s="26" t="str">
        <x:f>IF(F75=0,"未匹配（现有产业链范围未覆盖或证据不足）",IF(COUNTIFS('岗位-产业节点关系'!$C$4:$C$709,B75,'岗位-产业节点关系'!$M$4:$M$709,"低")&gt;0,"已匹配，建议复核","已匹配"))</x:f>
        <x:v>已匹配，建议复核</x:v>
      </x:c>
      <x:c r="H75" s="26" t="str">
        <x:v>低</x:v>
      </x:c>
      <x:c r="I75" s="26" t="str">
        <x:v>ICN057</x:v>
      </x:c>
      <x:c r="J75" s="26" t="str">
        <x:v>软件与数字安全产业链/下游/政企数字化、可信流通与安全运营</x:v>
      </x:c>
      <x:c r="K75" s="26" t="str">
        <x:v>在互联网技术行业中，IT技术支持是确保公司系统稳定运行和服务质量的关键角色。该职位不仅需要具备扎实的技术基础，还需要有良好的沟通能力和解决问题的能力，以快速响应并解决用户遇到的技术难题。 IT技术支持的核心目标在于提供高…</x:v>
      </x:c>
      <x:c r="L75" s="26" t="str">
        <x:v>1. 负责解答客户提出的技术问题，提供有效的解决方案，确保问题得到及时解决。 2. 对公司内部使用的软件和硬件进行维护和管理，定期检查系统状态，预防潜在的风险。 3. 协助开发团队测试新上线的功能，收集反馈信息，推动产品…</x:v>
      </x:c>
    </x:row>
    <x:row r="76" ht="72" customHeight="1">
      <x:c r="A76" s="25" t="n">
        <x:v>10968</x:v>
      </x:c>
      <x:c r="B76" s="25" t="str">
        <x:v>IC-L3-225</x:v>
      </x:c>
      <x:c r="C76" s="25" t="str">
        <x:v>技术文档工程师</x:v>
      </x:c>
      <x:c r="D76" s="25" t="str">
        <x:v>4-04-05-01</x:v>
      </x:c>
      <x:c r="E76" s="25" t="str">
        <x:v>计算机程序设计员</x:v>
      </x:c>
      <x:c r="F76" s="28" t="n">
        <x:f>COUNTIF('岗位-产业节点关系'!$C$4:$C$709,B76)</x:f>
        <x:v>0</x:v>
      </x:c>
      <x:c r="G76" s="26" t="str">
        <x:f>IF(F76=0,"未匹配（现有产业链范围未覆盖或证据不足）",IF(COUNTIFS('岗位-产业节点关系'!$C$4:$C$709,B76,'岗位-产业节点关系'!$M$4:$M$709,"低")&gt;0,"已匹配，建议复核","已匹配"))</x:f>
        <x:v>未匹配（现有产业链范围未覆盖或证据不足）</x:v>
      </x:c>
      <x:c r="H76" s="26" t="str">
        <x:v>-</x:v>
      </x:c>
      <x:c r="I76" s="26" t="str"/>
      <x:c r="J76" s="26" t="str"/>
      <x:c r="K76" s="26" t="str">
        <x:v>技术文档工程师在互联网技术行业中扮演着至关重要的角色，他们不仅负责创建和维护高质量的技术文档，还确保了公司内外部用户能够高效地理解和使用公司的产品与服务。作为连接开发人员、测试人员以及最终用户的桥梁，技术文档工程师通过提…</x:v>
      </x:c>
      <x:c r="L76" s="26" t="str">
        <x:v>1. 负责编写、审核及更新各类技术文档，包括但不限于用户手册、操作指南、API文档等，确保文档内容的准确性、完整性和时效性。 2. 与产品经理、开发工程师、测试工程师等多部门协作，收集并整理技术资料，转化为易于理解的语言…</x:v>
      </x:c>
    </x:row>
    <x:row r="77" ht="72" customHeight="1">
      <x:c r="A77" s="25" t="n">
        <x:v>10969</x:v>
      </x:c>
      <x:c r="B77" s="25" t="str">
        <x:v>IC-L3-226</x:v>
      </x:c>
      <x:c r="C77" s="25" t="str">
        <x:v>系统工程师</x:v>
      </x:c>
      <x:c r="D77" s="25" t="str">
        <x:v>4-04-05-01</x:v>
      </x:c>
      <x:c r="E77" s="25" t="str">
        <x:v>计算机程序设计员</x:v>
      </x:c>
      <x:c r="F77" s="28" t="n">
        <x:f>COUNTIF('岗位-产业节点关系'!$C$4:$C$709,B77)</x:f>
        <x:v>1</x:v>
      </x:c>
      <x:c r="G77" s="26" t="str">
        <x:f>IF(F77=0,"未匹配（现有产业链范围未覆盖或证据不足）",IF(COUNTIFS('岗位-产业节点关系'!$C$4:$C$709,B77,'岗位-产业节点关系'!$M$4:$M$709,"低")&gt;0,"已匹配，建议复核","已匹配"))</x:f>
        <x:v>已匹配，建议复核</x:v>
      </x:c>
      <x:c r="H77" s="26" t="str">
        <x:v>低</x:v>
      </x:c>
      <x:c r="I77" s="26" t="str">
        <x:v>ICN056</x:v>
      </x:c>
      <x:c r="J77" s="26" t="str">
        <x:v>软件与数字安全产业链/中游/应用软件、区块链平台与安全产品</x:v>
      </x:c>
      <x:c r="K77" s="26" t="str">
        <x:v>系统工程师是互联网技术领域中不可或缺的专业人才，负责确保公司IT基础设施的高效运行与安全稳定，其工作直接关系到企业服务的质量和用户体验。作为连接软件开发与用户需求的重要桥梁，系统工程师的核心目标在于通过优化系统架构、提升…</x:v>
      </x:c>
      <x:c r="L77" s="26" t="str">
        <x:v>1. 负责设计、实施及维护公司内部网络架构和外部接入方案，确保网络通信畅通无阻，满足日常运营需求。 2. 定期检查并优化操作系统配置，提高服务器利用率和响应速度，减少宕机时间，保障业务连续性。 3. 制定并执行严格的安全…</x:v>
      </x:c>
    </x:row>
    <x:row r="78" ht="72" customHeight="1">
      <x:c r="A78" s="25" t="n">
        <x:v>10970</x:v>
      </x:c>
      <x:c r="B78" s="25" t="str">
        <x:v>IC-L3-227</x:v>
      </x:c>
      <x:c r="C78" s="25" t="str">
        <x:v>系统集成工程师</x:v>
      </x:c>
      <x:c r="D78" s="25" t="str">
        <x:v>4-04-05-01</x:v>
      </x:c>
      <x:c r="E78" s="25" t="str">
        <x:v>计算机程序设计员</x:v>
      </x:c>
      <x:c r="F78" s="28" t="n">
        <x:f>COUNTIF('岗位-产业节点关系'!$C$4:$C$709,B78)</x:f>
        <x:v>0</x:v>
      </x:c>
      <x:c r="G78" s="26" t="str">
        <x:f>IF(F78=0,"未匹配（现有产业链范围未覆盖或证据不足）",IF(COUNTIFS('岗位-产业节点关系'!$C$4:$C$709,B78,'岗位-产业节点关系'!$M$4:$M$709,"低")&gt;0,"已匹配，建议复核","已匹配"))</x:f>
        <x:v>未匹配（现有产业链范围未覆盖或证据不足）</x:v>
      </x:c>
      <x:c r="H78" s="26" t="str">
        <x:v>-</x:v>
      </x:c>
      <x:c r="I78" s="26" t="str"/>
      <x:c r="J78" s="26" t="str"/>
      <x:c r="K78" s="26" t="str">
        <x:v>系统集成工程师是互联网技术领域中不可或缺的专业人才，他们负责将各种软硬件资源有效整合，以满足特定业务需求，确保系统的高效稳定运行。在这一过程中，系统集成工程师不仅需要具备扎实的技术基础，还需要拥有良好的项目管理和沟通协调…</x:v>
      </x:c>
      <x:c r="L78" s="26" t="str">
        <x:v>1. 负责公司内部及客户项目的系统集成方案设计与实施，确保方案符合业务需求和安全标准。 2. 对现有系统进行性能评估和故障排查，定期维护升级，保障系统的稳定性和安全性。 3. 参与新产品或服务的研发过程，提供技术支持，协…</x:v>
      </x:c>
    </x:row>
    <x:row r="79" ht="72" customHeight="1">
      <x:c r="A79" s="25" t="n">
        <x:v>10971</x:v>
      </x:c>
      <x:c r="B79" s="25" t="str">
        <x:v>IC-L3-228</x:v>
      </x:c>
      <x:c r="C79" s="25" t="str">
        <x:v>网络安全工程师</x:v>
      </x:c>
      <x:c r="D79" s="25" t="str">
        <x:v>2-02-28-03</x:v>
      </x:c>
      <x:c r="E79" s="25" t="str">
        <x:v>安全生产管理工程技术人员</x:v>
      </x:c>
      <x:c r="F79" s="28" t="n">
        <x:f>COUNTIF('岗位-产业节点关系'!$C$4:$C$709,B79)</x:f>
        <x:v>1</x:v>
      </x:c>
      <x:c r="G79" s="26" t="str">
        <x:f>IF(F79=0,"未匹配（现有产业链范围未覆盖或证据不足）",IF(COUNTIFS('岗位-产业节点关系'!$C$4:$C$709,B79,'岗位-产业节点关系'!$M$4:$M$709,"低")&gt;0,"已匹配，建议复核","已匹配"))</x:f>
        <x:v>已匹配</x:v>
      </x:c>
      <x:c r="H79" s="26" t="str">
        <x:v>中</x:v>
      </x:c>
      <x:c r="I79" s="26" t="str">
        <x:v>ICN056</x:v>
      </x:c>
      <x:c r="J79" s="26" t="str">
        <x:v>软件与数字安全产业链/中游/应用软件、区块链平台与安全产品</x:v>
      </x:c>
      <x:c r="K79" s="26" t="str">
        <x:v>网络安全工程师是互联网技术行业中至关重要的角色之一，负责保护公司网络免受恶意攻击，确保数据安全与业务连续性。在日益复杂的网络环境中，网络安全工程师通过构建和维护强大的安全体系，成为企业信息安全的守护者。 该职位的核心目标…</x:v>
      </x:c>
      <x:c r="L79" s="26" t="str">
        <x:v>1. 设计并实施全面的网络安全策略，覆盖从物理层到应用层的各个层面，确保企业信息资产的安全。 2. 监控网络流量，运用入侵检测系统（IDS）和入侵防御系统（IPS）等工具识别异常活动，及时发现并处理安全漏洞。 3. 定期…</x:v>
      </x:c>
    </x:row>
    <x:row r="80" ht="72" customHeight="1">
      <x:c r="A80" s="25" t="n">
        <x:v>10972</x:v>
      </x:c>
      <x:c r="B80" s="25" t="str">
        <x:v>IC-L3-229</x:v>
      </x:c>
      <x:c r="C80" s="25" t="str">
        <x:v>网络工程师</x:v>
      </x:c>
      <x:c r="D80" s="25" t="str">
        <x:v>2-02-10-01</x:v>
      </x:c>
      <x:c r="E80" s="25" t="str">
        <x:v>通信工程技术人员</x:v>
      </x:c>
      <x:c r="F80" s="28" t="n">
        <x:f>COUNTIF('岗位-产业节点关系'!$C$4:$C$709,B80)</x:f>
        <x:v>1</x:v>
      </x:c>
      <x:c r="G80" s="26" t="str">
        <x:f>IF(F80=0,"未匹配（现有产业链范围未覆盖或证据不足）",IF(COUNTIFS('岗位-产业节点关系'!$C$4:$C$709,B80,'岗位-产业节点关系'!$M$4:$M$709,"低")&gt;0,"已匹配，建议复核","已匹配"))</x:f>
        <x:v>已匹配</x:v>
      </x:c>
      <x:c r="H80" s="26" t="str">
        <x:v>中</x:v>
      </x:c>
      <x:c r="I80" s="26" t="str">
        <x:v>ICN029</x:v>
      </x:c>
      <x:c r="J80" s="26" t="str">
        <x:v>新一代信息基础设施产业链/中游/5G网络、数据中心与云边平台</x:v>
      </x:c>
      <x:c r="K80" s="26" t="str">
        <x:v>网络工程师是互联网技术领域中不可或缺的专业人才，负责确保公司内部及客户外部网络系统的稳定运行与高效管理。在网络架构日益复杂、数据安全要求不断提高的今天，网络工程师不仅承担着维护网络基础设施的重要任务，还扮演着提升用户体验…</x:v>
      </x:c>
      <x:c r="L80" s="26" t="str">
        <x:v>1. 负责公司内外部网络的设计、配置与日常维护工作，确保网络环境的安全稳定。 2. 定期执行网络监控，迅速响应并解决各类网络故障，降低服务中断风险。 3. 制定并实施网络安全策略，防范潜在威胁，保护公司信息资产免受侵害。…</x:v>
      </x:c>
    </x:row>
    <x:row r="81" ht="72" customHeight="1">
      <x:c r="A81" s="25" t="n">
        <x:v>10973</x:v>
      </x:c>
      <x:c r="B81" s="25" t="str">
        <x:v>IC-L3-230</x:v>
      </x:c>
      <x:c r="C81" s="25" t="str">
        <x:v>自动化运维工程师</x:v>
      </x:c>
      <x:c r="D81" s="25" t="str">
        <x:v>4-04-05-01</x:v>
      </x:c>
      <x:c r="E81" s="25" t="str">
        <x:v>计算机程序设计员</x:v>
      </x:c>
      <x:c r="F81" s="28" t="n">
        <x:f>COUNTIF('岗位-产业节点关系'!$C$4:$C$709,B81)</x:f>
        <x:v>1</x:v>
      </x:c>
      <x:c r="G81" s="26" t="str">
        <x:f>IF(F81=0,"未匹配（现有产业链范围未覆盖或证据不足）",IF(COUNTIFS('岗位-产业节点关系'!$C$4:$C$709,B81,'岗位-产业节点关系'!$M$4:$M$709,"低")&gt;0,"已匹配，建议复核","已匹配"))</x:f>
        <x:v>已匹配，建议复核</x:v>
      </x:c>
      <x:c r="H81" s="26" t="str">
        <x:v>低</x:v>
      </x:c>
      <x:c r="I81" s="26" t="str">
        <x:v>ICN057</x:v>
      </x:c>
      <x:c r="J81" s="26" t="str">
        <x:v>软件与数字安全产业链/下游/政企数字化、可信流通与安全运营</x:v>
      </x:c>
      <x:c r="K81" s="26" t="str">
        <x:v>自动化运维工程师是互联网技术领域中不可或缺的专业人才，他们通过开发和维护自动化工具，确保系统的高效稳定运行，对于提高企业服务质量和运营效率至关重要。作为公司的技术保障力量，该职位的核心目标在于构建和优化自动化运维平台，减…</x:v>
      </x:c>
      <x:c r="L81" s="26" t="str">
        <x:v>1. 负责设计并实施自动化运维解决方案，涵盖配置管理、持续集成与交付、监控报警等环节，以降低日常维护成本和提高系统可用性。 2. 利用脚本语言（如Python、Shell）编写定制化的运维脚本，实现服务器部署、数据备份、…</x:v>
      </x:c>
    </x:row>
    <x:row r="82" ht="72" customHeight="1">
      <x:c r="A82" s="25" t="n">
        <x:v>10974</x:v>
      </x:c>
      <x:c r="B82" s="25" t="str">
        <x:v>IC-L3-231</x:v>
      </x:c>
      <x:c r="C82" s="25" t="str">
        <x:v>架构师</x:v>
      </x:c>
      <x:c r="D82" s="25" t="str">
        <x:v>2-02-10-03</x:v>
      </x:c>
      <x:c r="E82" s="25" t="str">
        <x:v>计算机软件工程技术人员</x:v>
      </x:c>
      <x:c r="F82" s="28" t="n">
        <x:f>COUNTIF('岗位-产业节点关系'!$C$4:$C$709,B82)</x:f>
        <x:v>0</x:v>
      </x:c>
      <x:c r="G82" s="26" t="str">
        <x:f>IF(F82=0,"未匹配（现有产业链范围未覆盖或证据不足）",IF(COUNTIFS('岗位-产业节点关系'!$C$4:$C$709,B82,'岗位-产业节点关系'!$M$4:$M$709,"低")&gt;0,"已匹配，建议复核","已匹配"))</x:f>
        <x:v>未匹配（现有产业链范围未覆盖或证据不足）</x:v>
      </x:c>
      <x:c r="H82" s="26" t="str">
        <x:v>-</x:v>
      </x:c>
      <x:c r="I82" s="26" t="str"/>
      <x:c r="J82" s="26" t="str"/>
      <x:c r="K82" s="26" t="str">
        <x:v>架构师是专门从事系统架构设计与优化的专业人员。该职位的核心目标是通过规划可靠的技术架构，确保运维系统的高可用性与可扩展性。在日常工作中，需要进行技术选型评估、架构设计评审、性能瓶颈分析及解决方案制定等工作。</x:v>
      </x:c>
      <x:c r="L82" s="26" t="str">
        <x:v>1. 设计系统架构方案 2. 优化运维技术体系 3. 制定技术规范标准 4. 评估技术选型方案 5. 指导团队技术实施 6. 保障系统高可用性</x:v>
      </x:c>
    </x:row>
    <x:row r="83" ht="72" customHeight="1">
      <x:c r="A83" s="25" t="n">
        <x:v>10975</x:v>
      </x:c>
      <x:c r="B83" s="25" t="str">
        <x:v>IC-L3-232</x:v>
      </x:c>
      <x:c r="C83" s="25" t="str">
        <x:v>性能测试</x:v>
      </x:c>
      <x:c r="D83" s="25" t="str">
        <x:v>4-04-05-01</x:v>
      </x:c>
      <x:c r="E83" s="25" t="str">
        <x:v>计算机程序设计员</x:v>
      </x:c>
      <x:c r="F83" s="28" t="n">
        <x:f>COUNTIF('岗位-产业节点关系'!$C$4:$C$709,B83)</x:f>
        <x:v>0</x:v>
      </x:c>
      <x:c r="G83" s="26" t="str">
        <x:f>IF(F83=0,"未匹配（现有产业链范围未覆盖或证据不足）",IF(COUNTIFS('岗位-产业节点关系'!$C$4:$C$709,B83,'岗位-产业节点关系'!$M$4:$M$709,"低")&gt;0,"已匹配，建议复核","已匹配"))</x:f>
        <x:v>未匹配（现有产业链范围未覆盖或证据不足）</x:v>
      </x:c>
      <x:c r="H83" s="26" t="str">
        <x:v>-</x:v>
      </x:c>
      <x:c r="I83" s="26" t="str"/>
      <x:c r="J83" s="26" t="str"/>
      <x:c r="K83" s="26" t="str">
        <x:v>性能测试是专门从事系统性能评估与优化的专业人员。该职位的核心目标是通过设计执行性能测试方案，确保系统稳定性和高效性。在日常工作中，需要进行测试脚本开发、性能瓶颈分析、测试报告编写等工作。</x:v>
      </x:c>
      <x:c r="L83" s="26" t="str">
        <x:v>1. 设计性能测试方案 2. 执行压力测试任务 3. 分析系统性能瓶颈 4. 编写测试报告文档 5. 优化系统性能指标 6. 维护测试工具环境</x:v>
      </x:c>
    </x:row>
    <x:row r="84" ht="72" customHeight="1">
      <x:c r="A84" s="25" t="n">
        <x:v>10976</x:v>
      </x:c>
      <x:c r="B84" s="25" t="str">
        <x:v>IC-L3-233</x:v>
      </x:c>
      <x:c r="C84" s="25" t="str">
        <x:v>软件测试</x:v>
      </x:c>
      <x:c r="D84" s="25" t="str">
        <x:v>4-04-05-01</x:v>
      </x:c>
      <x:c r="E84" s="25" t="str">
        <x:v>计算机程序设计员</x:v>
      </x:c>
      <x:c r="F84" s="28" t="n">
        <x:f>COUNTIF('岗位-产业节点关系'!$C$4:$C$709,B84)</x:f>
        <x:v>1</x:v>
      </x:c>
      <x:c r="G84" s="26" t="str">
        <x:f>IF(F84=0,"未匹配（现有产业链范围未覆盖或证据不足）",IF(COUNTIFS('岗位-产业节点关系'!$C$4:$C$709,B84,'岗位-产业节点关系'!$M$4:$M$709,"低")&gt;0,"已匹配，建议复核","已匹配"))</x:f>
        <x:v>已匹配</x:v>
      </x:c>
      <x:c r="H84" s="26" t="str">
        <x:v>高</x:v>
      </x:c>
      <x:c r="I84" s="26" t="str">
        <x:v>ICN056</x:v>
      </x:c>
      <x:c r="J84" s="26" t="str">
        <x:v>软件与数字安全产业链/中游/应用软件、区块链平台与安全产品</x:v>
      </x:c>
      <x:c r="K84" s="26" t="str">
        <x:v>软件测试是专门从事软件质量保障的专业人员。该职位的核心目标是通过系统化测试流程，确保软件系统的稳定性和可靠性。在日常工作中，需要进行测试用例设计、缺陷跟踪、自动化脚本编写以及测试报告分析等工作。</x:v>
      </x:c>
      <x:c r="L84" s="26" t="str">
        <x:v>1. 编写测试用例 2. 执行功能测试 3. 发现系统缺陷 4. 提交测试报告 5. 跟踪问题修复 6. 优化测试流程</x:v>
      </x:c>
    </x:row>
    <x:row r="85" ht="72" customHeight="1">
      <x:c r="A85" s="25" t="n">
        <x:v>10977</x:v>
      </x:c>
      <x:c r="B85" s="25" t="str">
        <x:v>IC-L3-234</x:v>
      </x:c>
      <x:c r="C85" s="25" t="str">
        <x:v>网站运营</x:v>
      </x:c>
      <x:c r="D85" s="25" t="str">
        <x:v>4-04-05-01</x:v>
      </x:c>
      <x:c r="E85" s="25" t="str">
        <x:v>计算机程序设计员</x:v>
      </x:c>
      <x:c r="F85" s="28" t="n">
        <x:f>COUNTIF('岗位-产业节点关系'!$C$4:$C$709,B85)</x:f>
        <x:v>0</x:v>
      </x:c>
      <x:c r="G85" s="26" t="str">
        <x:f>IF(F85=0,"未匹配（现有产业链范围未覆盖或证据不足）",IF(COUNTIFS('岗位-产业节点关系'!$C$4:$C$709,B85,'岗位-产业节点关系'!$M$4:$M$709,"低")&gt;0,"已匹配，建议复核","已匹配"))</x:f>
        <x:v>未匹配（现有产业链范围未覆盖或证据不足）</x:v>
      </x:c>
      <x:c r="H85" s="26" t="str">
        <x:v>-</x:v>
      </x:c>
      <x:c r="I85" s="26" t="str"/>
      <x:c r="J85" s="26" t="str"/>
      <x:c r="K85" s="26" t="str">
        <x:v>网站运营是专门从事网站维护与优化的专业人员。该职位的核心目标是通过确保网站稳定运行和持续改进，提升用户体验和业务价值。在日常工作中，需要进行服务器监控、性能优化、故障排查、数据备份及安全防护等工作。</x:v>
      </x:c>
      <x:c r="L85" s="26" t="str">
        <x:v>1. 维护网站稳定运行 2. 监控服务器性能状态 3. 处理网站故障问题 4. 优化网站访问速度 5. 管理网站备份恢复 6. 编写运维技术文档</x:v>
      </x:c>
    </x:row>
    <x:row r="86" ht="72" customHeight="1">
      <x:c r="A86" s="25" t="n">
        <x:v>10978</x:v>
      </x:c>
      <x:c r="B86" s="25" t="str">
        <x:v>IC-L3-235</x:v>
      </x:c>
      <x:c r="C86" s="25" t="str">
        <x:v>用户运营</x:v>
      </x:c>
      <x:c r="D86" s="25" t="str">
        <x:v>4-04-05-01</x:v>
      </x:c>
      <x:c r="E86" s="25" t="str">
        <x:v>计算机程序设计员</x:v>
      </x:c>
      <x:c r="F86" s="28" t="n">
        <x:f>COUNTIF('岗位-产业节点关系'!$C$4:$C$709,B86)</x:f>
        <x:v>1</x:v>
      </x:c>
      <x:c r="G86" s="26" t="str">
        <x:f>IF(F86=0,"未匹配（现有产业链范围未覆盖或证据不足）",IF(COUNTIFS('岗位-产业节点关系'!$C$4:$C$709,B86,'岗位-产业节点关系'!$M$4:$M$709,"低")&gt;0,"已匹配，建议复核","已匹配"))</x:f>
        <x:v>已匹配，建议复核</x:v>
      </x:c>
      <x:c r="H86" s="26" t="str">
        <x:v>低</x:v>
      </x:c>
      <x:c r="I86" s="26" t="str">
        <x:v>ICN002</x:v>
      </x:c>
      <x:c r="J86" s="26" t="str">
        <x:v>数据要素与数字经济产业链/中游/数据治理、流通与服务</x:v>
      </x:c>
      <x:c r="K86" s="26" t="str">
        <x:v>用户运营是专门从事用户关系管理与价值提升的专业人员。该职位的核心目标是通过优化用户体验和建立长期互动机制，实现用户留存率和满意度的持续提升。在日常工作中，需要进行用户需求分析、问题反馈处理、运营活动策划及数据监控优化等工…</x:v>
      </x:c>
      <x:c r="L86" s="26" t="str">
        <x:v>1. 制定运营策略 2. 优化用户体验 3. 处理用户反馈 4. 分析运营数据 5. 维护用户关系 6. 提升用户粘性</x:v>
      </x:c>
    </x:row>
    <x:row r="87" ht="72" customHeight="1">
      <x:c r="A87" s="25" t="n">
        <x:v>10979</x:v>
      </x:c>
      <x:c r="B87" s="25" t="str">
        <x:v>IC-L3-236</x:v>
      </x:c>
      <x:c r="C87" s="25" t="str">
        <x:v>活动运营</x:v>
      </x:c>
      <x:c r="D87" s="25" t="str">
        <x:v>4-04-05-01</x:v>
      </x:c>
      <x:c r="E87" s="25" t="str">
        <x:v>计算机程序设计员</x:v>
      </x:c>
      <x:c r="F87" s="28" t="n">
        <x:f>COUNTIF('岗位-产业节点关系'!$C$4:$C$709,B87)</x:f>
        <x:v>0</x:v>
      </x:c>
      <x:c r="G87" s="26" t="str">
        <x:f>IF(F87=0,"未匹配（现有产业链范围未覆盖或证据不足）",IF(COUNTIFS('岗位-产业节点关系'!$C$4:$C$709,B87,'岗位-产业节点关系'!$M$4:$M$709,"低")&gt;0,"已匹配，建议复核","已匹配"))</x:f>
        <x:v>未匹配（现有产业链范围未覆盖或证据不足）</x:v>
      </x:c>
      <x:c r="H87" s="26" t="str">
        <x:v>-</x:v>
      </x:c>
      <x:c r="I87" s="26" t="str"/>
      <x:c r="J87" s="26" t="str"/>
      <x:c r="K87" s="26" t="str">
        <x:v>活动运营是专门从事技术运维领域活动策划与执行的专业人员。该职位的核心目标是通过组织技术交流活动，提升客户粘性和品牌影响力。在日常工作中，需要进行活动方案设计、技术沙龙执行、效果数据分析及运营优化等工作。</x:v>
      </x:c>
      <x:c r="L87" s="26" t="str">
        <x:v>1. 策划运维主题活动 2. 组织技术培训会议 3. 协调跨部门资源 4. 监控活动执行效果 5. 编写运营分析报告 6. 优化活动流程标准</x:v>
      </x:c>
    </x:row>
    <x:row r="88" ht="72" customHeight="1">
      <x:c r="A88" s="25" t="n">
        <x:v>10980</x:v>
      </x:c>
      <x:c r="B88" s="25" t="str">
        <x:v>IC-L3-237</x:v>
      </x:c>
      <x:c r="C88" s="25" t="str">
        <x:v>内容审核</x:v>
      </x:c>
      <x:c r="D88" s="25" t="str">
        <x:v>4-04-05-01</x:v>
      </x:c>
      <x:c r="E88" s="25" t="str">
        <x:v>计算机程序设计员</x:v>
      </x:c>
      <x:c r="F88" s="28" t="n">
        <x:f>COUNTIF('岗位-产业节点关系'!$C$4:$C$709,B88)</x:f>
        <x:v>0</x:v>
      </x:c>
      <x:c r="G88" s="26" t="str">
        <x:f>IF(F88=0,"未匹配（现有产业链范围未覆盖或证据不足）",IF(COUNTIFS('岗位-产业节点关系'!$C$4:$C$709,B88,'岗位-产业节点关系'!$M$4:$M$709,"低")&gt;0,"已匹配，建议复核","已匹配"))</x:f>
        <x:v>未匹配（现有产业链范围未覆盖或证据不足）</x:v>
      </x:c>
      <x:c r="H88" s="26" t="str">
        <x:v>-</x:v>
      </x:c>
      <x:c r="I88" s="26" t="str"/>
      <x:c r="J88" s="26" t="str"/>
      <x:c r="K88" s="26" t="str">
        <x:v>内容审核是专门从事数字内容安全管理的专业人员。该职位的核心目标是通过严格审核用户生成内容，确保平台合规运营并维护良好的网络环境。在日常工作中，需要进行内容筛查、违规处理、风险预警及审核流程优化等工作。</x:v>
      </x:c>
      <x:c r="L88" s="26" t="str">
        <x:v>1. 审核用户提交内容 2. 识别违规不良信息 3. 处理敏感数据内容 4. 维护内容安全标准 5. 记录审核异常情况 6. 优化审核流程效率</x:v>
      </x:c>
    </x:row>
    <x:row r="89" ht="72" customHeight="1">
      <x:c r="A89" s="25" t="n">
        <x:v>10981</x:v>
      </x:c>
      <x:c r="B89" s="25" t="str">
        <x:v>IC-L3-238</x:v>
      </x:c>
      <x:c r="C89" s="25" t="str">
        <x:v>直播运营</x:v>
      </x:c>
      <x:c r="D89" s="25" t="str">
        <x:v>4-04-05-01</x:v>
      </x:c>
      <x:c r="E89" s="25" t="str">
        <x:v>计算机程序设计员</x:v>
      </x:c>
      <x:c r="F89" s="28" t="n">
        <x:f>COUNTIF('岗位-产业节点关系'!$C$4:$C$709,B89)</x:f>
        <x:v>1</x:v>
      </x:c>
      <x:c r="G89" s="26" t="str">
        <x:f>IF(F89=0,"未匹配（现有产业链范围未覆盖或证据不足）",IF(COUNTIFS('岗位-产业节点关系'!$C$4:$C$709,B89,'岗位-产业节点关系'!$M$4:$M$709,"低")&gt;0,"已匹配，建议复核","已匹配"))</x:f>
        <x:v>已匹配</x:v>
      </x:c>
      <x:c r="H89" s="26" t="str">
        <x:v>中</x:v>
      </x:c>
      <x:c r="I89" s="26" t="str">
        <x:v>ICN003</x:v>
      </x:c>
      <x:c r="J89" s="26" t="str">
        <x:v>数据要素与数字经济产业链/下游/数字经济场景应用与内容创意</x:v>
      </x:c>
      <x:c r="K89" s="26" t="str">
        <x:v>直播运营是专门从事直播平台运维与技术支持的专业人员。该职位的核心目标是通过优化直播技术流程，确保平台稳定高效运行。在日常工作中，需要进行直播设备调试、网络环境监测、技术故障排查及用户技术支持等工作。</x:v>
      </x:c>
      <x:c r="L89" s="26" t="str">
        <x:v>1. 策划直播内容方案 2. 管理直播设备运维 3. 监控直播技术指标 4. 协调技术团队配合 5. 优化直播流程体验 6. 分析数据改进效果</x:v>
      </x:c>
    </x:row>
    <x:row r="90" ht="72" customHeight="1">
      <x:c r="A90" s="25" t="n">
        <x:v>10982</x:v>
      </x:c>
      <x:c r="B90" s="25" t="str">
        <x:v>IC-L3-239</x:v>
      </x:c>
      <x:c r="C90" s="25" t="str">
        <x:v>技术总监</x:v>
      </x:c>
      <x:c r="D90" s="25" t="str">
        <x:v>4-04-05-01</x:v>
      </x:c>
      <x:c r="E90" s="25" t="str">
        <x:v>计算机程序设计员</x:v>
      </x:c>
      <x:c r="F90" s="28" t="n">
        <x:f>COUNTIF('岗位-产业节点关系'!$C$4:$C$709,B90)</x:f>
        <x:v>0</x:v>
      </x:c>
      <x:c r="G90" s="26" t="str">
        <x:f>IF(F90=0,"未匹配（现有产业链范围未覆盖或证据不足）",IF(COUNTIFS('岗位-产业节点关系'!$C$4:$C$709,B90,'岗位-产业节点关系'!$M$4:$M$709,"低")&gt;0,"已匹配，建议复核","已匹配"))</x:f>
        <x:v>未匹配（现有产业链范围未覆盖或证据不足）</x:v>
      </x:c>
      <x:c r="H90" s="26" t="str">
        <x:v>-</x:v>
      </x:c>
      <x:c r="I90" s="26" t="str"/>
      <x:c r="J90" s="26" t="str"/>
      <x:c r="K90" s="26" t="str">
        <x:v>技术总监是专门从事运维技术战略规划和团队管理的专业人员。该职位的核心目标是通过构建高效稳定的技术架构，保障系统持续可靠运行。在日常工作中，需要进行技术团队管理、运维体系优化、技术方案制定及实施等工作。</x:v>
      </x:c>
      <x:c r="L90" s="26" t="str">
        <x:v>1. 制定技术发展战略 2. 领导运维团队建设 3. 优化技术支持流程 4. 监督系统稳定运行 5. 协调跨部门技术合作 6. 评估新技术应用方案</x:v>
      </x:c>
    </x:row>
    <x:row r="91" ht="72" customHeight="1">
      <x:c r="A91" s="25" t="n">
        <x:v>10983</x:v>
      </x:c>
      <x:c r="B91" s="25" t="str">
        <x:v>IC-L3-240</x:v>
      </x:c>
      <x:c r="C91" s="25" t="str">
        <x:v>海洋地质调查员</x:v>
      </x:c>
      <x:c r="D91" s="25" t="str">
        <x:v>4-04-05-01</x:v>
      </x:c>
      <x:c r="E91" s="25" t="str">
        <x:v>计算机程序设计员</x:v>
      </x:c>
      <x:c r="F91" s="28" t="n">
        <x:f>COUNTIF('岗位-产业节点关系'!$C$4:$C$709,B91)</x:f>
        <x:v>0</x:v>
      </x:c>
      <x:c r="G91" s="26" t="str">
        <x:f>IF(F91=0,"未匹配（现有产业链范围未覆盖或证据不足）",IF(COUNTIFS('岗位-产业节点关系'!$C$4:$C$709,B91,'岗位-产业节点关系'!$M$4:$M$709,"低")&gt;0,"已匹配，建议复核","已匹配"))</x:f>
        <x:v>未匹配（现有产业链范围未覆盖或证据不足）</x:v>
      </x:c>
      <x:c r="H91" s="26" t="str">
        <x:v>-</x:v>
      </x:c>
      <x:c r="I91" s="26" t="str"/>
      <x:c r="J91" s="26" t="str"/>
      <x:c r="K91" s="26" t="str">
        <x:v>海洋地质调查员是专门从事海洋地质环境勘察与数据分析的专业人员。该职位的核心目标是通过科学调查与监测，为海洋工程建设和资源开发提供地质技术支持。在日常工作中，需要进行海底地形测绘、样品采集分析、地质数据整理及报告编制等工作…</x:v>
      </x:c>
      <x:c r="L91" s="26" t="str">
        <x:v>1. 执行海洋地质调查 2. 维护调查设备运行 3. 采集地质数据样本 4. 分析地质调查数据 5. 编写调查报告文件 6. 提供技术支持服务</x:v>
      </x:c>
    </x:row>
    <x:row r="92" ht="72" customHeight="1">
      <x:c r="A92" s="25" t="n">
        <x:v>10984</x:v>
      </x:c>
      <x:c r="B92" s="25" t="str">
        <x:v>IC-L3-241</x:v>
      </x:c>
      <x:c r="C92" s="25" t="str">
        <x:v>海洋测绘工程师</x:v>
      </x:c>
      <x:c r="D92" s="25" t="str">
        <x:v>2-02-10-03</x:v>
      </x:c>
      <x:c r="E92" s="25" t="str">
        <x:v>计算机软件工程技术人员</x:v>
      </x:c>
      <x:c r="F92" s="28" t="n">
        <x:f>COUNTIF('岗位-产业节点关系'!$C$4:$C$709,B92)</x:f>
        <x:v>0</x:v>
      </x:c>
      <x:c r="G92" s="26" t="str">
        <x:f>IF(F92=0,"未匹配（现有产业链范围未覆盖或证据不足）",IF(COUNTIFS('岗位-产业节点关系'!$C$4:$C$709,B92,'岗位-产业节点关系'!$M$4:$M$709,"低")&gt;0,"已匹配，建议复核","已匹配"))</x:f>
        <x:v>未匹配（现有产业链范围未覆盖或证据不足）</x:v>
      </x:c>
      <x:c r="H92" s="26" t="str">
        <x:v>-</x:v>
      </x:c>
      <x:c r="I92" s="26" t="str"/>
      <x:c r="J92" s="26" t="str"/>
      <x:c r="K92" s="26" t="str">
        <x:v>海洋测绘工程师是专门从事海洋地形测量与地理信息采集的专业技术人员。该职位的核心目标是通过精准测绘技术，为海洋工程运维提供可靠的地理数据支持。在日常工作中，需要进行海底地形勘测、水文数据采集、测绘设备维护及数据处理分析等工…</x:v>
      </x:c>
      <x:c r="L92" s="26" t="str">
        <x:v>1. 测绘设备日常维护 2. 海洋数据采集处理 3. 测绘成果质量检查 4. 技术方案编制实施 5. 设备故障排查修复 6. 测绘资料归档管理</x:v>
      </x:c>
    </x:row>
    <x:row r="93" ht="72" customHeight="1">
      <x:c r="A93" s="25" t="n">
        <x:v>10985</x:v>
      </x:c>
      <x:c r="B93" s="25" t="str">
        <x:v>IC-L3-242</x:v>
      </x:c>
      <x:c r="C93" s="25" t="str">
        <x:v>售前技术支持工程师</x:v>
      </x:c>
      <x:c r="D93" s="25" t="str">
        <x:v>4-04-05-01</x:v>
      </x:c>
      <x:c r="E93" s="25" t="str">
        <x:v>计算机程序设计员</x:v>
      </x:c>
      <x:c r="F93" s="28" t="n">
        <x:f>COUNTIF('岗位-产业节点关系'!$C$4:$C$709,B93)</x:f>
        <x:v>0</x:v>
      </x:c>
      <x:c r="G93" s="26" t="str">
        <x:f>IF(F93=0,"未匹配（现有产业链范围未覆盖或证据不足）",IF(COUNTIFS('岗位-产业节点关系'!$C$4:$C$709,B93,'岗位-产业节点关系'!$M$4:$M$709,"低")&gt;0,"已匹配，建议复核","已匹配"))</x:f>
        <x:v>未匹配（现有产业链范围未覆盖或证据不足）</x:v>
      </x:c>
      <x:c r="H93" s="26" t="str">
        <x:v>-</x:v>
      </x:c>
      <x:c r="I93" s="26" t="str"/>
      <x:c r="J93" s="26" t="str"/>
      <x:c r="K93" s="26" t="str">
        <x:v>售前技术支持工程师是互联网技术行业中不可或缺的专业角色，主要负责在销售过程中提供技术咨询和支持，确保客户能够充分理解并信任公司产品或解决方案的技术优势。该职位不仅是连接销售与技术部门的关键桥梁，还直接关系到项目的成功签约…</x:v>
      </x:c>
      <x:c r="L93" s="26" t="str">
        <x:v>1. 与销售团队密切合作，参与客户拜访和技术交流活动，解答客户关于产品技术方面的问题，建立良好的客户关系。 2. 根据客户需求，制定详细的产品配置方案和技术支持计划，确保满足客户的特定要求。 3. 负责编写技术文档，包括…</x:v>
      </x:c>
    </x:row>
    <x:row r="94" ht="72" customHeight="1">
      <x:c r="A94" s="25" t="n">
        <x:v>10986</x:v>
      </x:c>
      <x:c r="B94" s="25" t="str">
        <x:v>IC-L3-243</x:v>
      </x:c>
      <x:c r="C94" s="25" t="str">
        <x:v>售前技术支持经理/主管</x:v>
      </x:c>
      <x:c r="D94" s="25" t="str">
        <x:v>4-04-05-01</x:v>
      </x:c>
      <x:c r="E94" s="25" t="str">
        <x:v>计算机程序设计员</x:v>
      </x:c>
      <x:c r="F94" s="28" t="n">
        <x:f>COUNTIF('岗位-产业节点关系'!$C$4:$C$709,B94)</x:f>
        <x:v>0</x:v>
      </x:c>
      <x:c r="G94" s="26" t="str">
        <x:f>IF(F94=0,"未匹配（现有产业链范围未覆盖或证据不足）",IF(COUNTIFS('岗位-产业节点关系'!$C$4:$C$709,B94,'岗位-产业节点关系'!$M$4:$M$709,"低")&gt;0,"已匹配，建议复核","已匹配"))</x:f>
        <x:v>未匹配（现有产业链范围未覆盖或证据不足）</x:v>
      </x:c>
      <x:c r="H94" s="26" t="str">
        <x:v>-</x:v>
      </x:c>
      <x:c r="I94" s="26" t="str"/>
      <x:c r="J94" s="26" t="str"/>
      <x:c r="K94" s="26" t="str">
        <x:v>售前技术支持经理/主管是互联网技术行业中不可或缺的角色，负责在销售过程中提供专业的技术支持，确保客户获得最优化的技术解决方案。通过与客户的深入沟通，了解其业务需求和技术要求，帮助销售团队准确把握客户需求，从而提高销售成功…</x:v>
      </x:c>
      <x:c r="L94" s="26" t="str">
        <x:v>1. 负责参与售前项目投标工作，包括但不限于方案设计、标书制作、技术交流等环节，以满足客户的技术需求并促成交易。 2. 与销售团队密切配合，协助完成技术咨询、演示、培训等工作，提高客户对产品的认知度和信任度，最终实现销售…</x:v>
      </x:c>
    </x:row>
    <x:row r="95" ht="72" customHeight="1">
      <x:c r="A95" s="25" t="n">
        <x:v>10987</x:v>
      </x:c>
      <x:c r="B95" s="25" t="str">
        <x:v>IC-L3-244</x:v>
      </x:c>
      <x:c r="C95" s="25" t="str">
        <x:v>售后技术支持工程师</x:v>
      </x:c>
      <x:c r="D95" s="25" t="str">
        <x:v>4-04-05-01</x:v>
      </x:c>
      <x:c r="E95" s="25" t="str">
        <x:v>计算机程序设计员</x:v>
      </x:c>
      <x:c r="F95" s="28" t="n">
        <x:f>COUNTIF('岗位-产业节点关系'!$C$4:$C$709,B95)</x:f>
        <x:v>1</x:v>
      </x:c>
      <x:c r="G95" s="26" t="str">
        <x:f>IF(F95=0,"未匹配（现有产业链范围未覆盖或证据不足）",IF(COUNTIFS('岗位-产业节点关系'!$C$4:$C$709,B95,'岗位-产业节点关系'!$M$4:$M$709,"低")&gt;0,"已匹配，建议复核","已匹配"))</x:f>
        <x:v>已匹配，建议复核</x:v>
      </x:c>
      <x:c r="H95" s="26" t="str">
        <x:v>低</x:v>
      </x:c>
      <x:c r="I95" s="26" t="str">
        <x:v>ICN057</x:v>
      </x:c>
      <x:c r="J95" s="26" t="str">
        <x:v>软件与数字安全产业链/下游/政企数字化、可信流通与安全运营</x:v>
      </x:c>
      <x:c r="K95" s="26" t="str">
        <x:v>售后技术支持工程师是互联网技术行业中不可或缺的角色，负责解决客户在使用产品或服务过程中遇到的技术问题，确保客户能够顺畅地使用公司提供的解决方案。这一职位不仅直接关系到客户满意度和忠诚度的提升，还是公司品牌形象和技术实力的…</x:v>
      </x:c>
      <x:c r="L95" s="26" t="str">
        <x:v>1. 为客户提供高效、专业的技术咨询与支持，确保客户问题得到及时准确的解答，提高客户满意度。 2. 对接内部研发团队，反馈并跟踪客户提出的软件缺陷或功能需求，促进产品质量的不断改进。 3. 定期整理分析售后服务数据，撰写…</x:v>
      </x:c>
    </x:row>
    <x:row r="96" ht="72" customHeight="1">
      <x:c r="A96" s="25" t="n">
        <x:v>10988</x:v>
      </x:c>
      <x:c r="B96" s="25" t="str">
        <x:v>IC-L3-245</x:v>
      </x:c>
      <x:c r="C96" s="25" t="str">
        <x:v>技术经理</x:v>
      </x:c>
      <x:c r="D96" s="25" t="str">
        <x:v>4-04-05-01</x:v>
      </x:c>
      <x:c r="E96" s="25" t="str">
        <x:v>计算机程序设计员</x:v>
      </x:c>
      <x:c r="F96" s="28" t="n">
        <x:f>COUNTIF('岗位-产业节点关系'!$C$4:$C$709,B96)</x:f>
        <x:v>0</x:v>
      </x:c>
      <x:c r="G96" s="26" t="str">
        <x:f>IF(F96=0,"未匹配（现有产业链范围未覆盖或证据不足）",IF(COUNTIFS('岗位-产业节点关系'!$C$4:$C$709,B96,'岗位-产业节点关系'!$M$4:$M$709,"低")&gt;0,"已匹配，建议复核","已匹配"))</x:f>
        <x:v>未匹配（现有产业链范围未覆盖或证据不足）</x:v>
      </x:c>
      <x:c r="H96" s="26" t="str">
        <x:v>-</x:v>
      </x:c>
      <x:c r="I96" s="26" t="str"/>
      <x:c r="J96" s="26" t="str"/>
      <x:c r="K96" s="26" t="str">
        <x:v>技术经理是专门从事销售技术解决方案设计与实施的专业人员。该职位的核心目标是通过提供专业的技术支持，推动销售业绩增长并提升客户满意度。在日常工作中，需要进行技术方案制定、客户需求分析、跨部门协作及技术支持团队管理等工作。</x:v>
      </x:c>
      <x:c r="L96" s="26" t="str">
        <x:v>1. 制定技术方案 2. 指导销售技术支持 3. 管理技术团队 4. 优化业务流程 5. 解决技术难题 6. 对接客户需求</x:v>
      </x:c>
    </x:row>
    <x:row r="97" ht="72" customHeight="1">
      <x:c r="A97" s="25" t="n">
        <x:v>10989</x:v>
      </x:c>
      <x:c r="B97" s="25" t="str">
        <x:v>IC-L3-246</x:v>
      </x:c>
      <x:c r="C97" s="25" t="str">
        <x:v>AI产品经理</x:v>
      </x:c>
      <x:c r="D97" s="25" t="str">
        <x:v>2-02-38-01</x:v>
      </x:c>
      <x:c r="E97" s="25" t="str">
        <x:v>人工智能工程技术人员</x:v>
      </x:c>
      <x:c r="F97" s="28" t="n">
        <x:f>COUNTIF('岗位-产业节点关系'!$C$4:$C$709,B97)</x:f>
        <x:v>0</x:v>
      </x:c>
      <x:c r="G97" s="26" t="str">
        <x:f>IF(F97=0,"未匹配（现有产业链范围未覆盖或证据不足）",IF(COUNTIFS('岗位-产业节点关系'!$C$4:$C$709,B97,'岗位-产业节点关系'!$M$4:$M$709,"低")&gt;0,"已匹配，建议复核","已匹配"))</x:f>
        <x:v>未匹配（现有产业链范围未覆盖或证据不足）</x:v>
      </x:c>
      <x:c r="H97" s="26" t="str">
        <x:v>-</x:v>
      </x:c>
      <x:c r="I97" s="26" t="str"/>
      <x:c r="J97" s="26" t="str"/>
      <x:c r="K97" s="26" t="str">
        <x:v>AI产品经理是互联网产品领域中不可或缺的角色，通过深度理解人工智能技术及其应用，推动创新产品的研发与优化。这一职位不仅要求候选人具备出色的产品思维和技术敏感度，还需拥有较强的市场洞察力和用户需求分析能力，以确保产品能够满…</x:v>
      </x:c>
      <x:c r="L97" s="26" t="str">
        <x:v>1. 负责AI相关产品的全生命周期管理，从需求调研、功能定义到迭代优化，确保产品符合市场需求并持续改进。 2. 与技术研发团队密切配合，推动AI算法的实际应用落地，提高产品的智能化水平和服务质量。 3. 定期收集并分析用…</x:v>
      </x:c>
    </x:row>
    <x:row r="98" ht="72" customHeight="1">
      <x:c r="A98" s="25" t="n">
        <x:v>10990</x:v>
      </x:c>
      <x:c r="B98" s="25" t="str">
        <x:v>IC-L3-247</x:v>
      </x:c>
      <x:c r="C98" s="25" t="str">
        <x:v>产品专员</x:v>
      </x:c>
      <x:c r="D98" s="25" t="str">
        <x:v>2-02-10-03</x:v>
      </x:c>
      <x:c r="E98" s="25" t="str">
        <x:v>计算机软件工程技术人员</x:v>
      </x:c>
      <x:c r="F98" s="28" t="n">
        <x:f>COUNTIF('岗位-产业节点关系'!$C$4:$C$709,B98)</x:f>
        <x:v>0</x:v>
      </x:c>
      <x:c r="G98" s="26" t="str">
        <x:f>IF(F98=0,"未匹配（现有产业链范围未覆盖或证据不足）",IF(COUNTIFS('岗位-产业节点关系'!$C$4:$C$709,B98,'岗位-产业节点关系'!$M$4:$M$709,"低")&gt;0,"已匹配，建议复核","已匹配"))</x:f>
        <x:v>未匹配（现有产业链范围未覆盖或证据不足）</x:v>
      </x:c>
      <x:c r="H98" s="26" t="str">
        <x:v>-</x:v>
      </x:c>
      <x:c r="I98" s="26" t="str"/>
      <x:c r="J98" s="26" t="str"/>
      <x:c r="K98" s="26" t="str">
        <x:v>互联网产品经理作为产品团队的核心成员，在产品开发与优化过程中扮演着至关重要的角色。他们不仅需要深入理解用户需求，还要具备敏锐的市场洞察力，能够将复杂的技术概念转化为易于理解和操作的产品设计。通过精准定位市场需求与技术实现…</x:v>
      </x:c>
      <x:c r="L98" s="26" t="str">
        <x:v>1. 负责收集和分析市场信息及客户需求，为新产品开发提供依据。 2. 协助制定产品战略规划，明确产品定位及发展方向。 3. 参与产品设计过程，确保功能实现符合预期标准。 4. 与技术团队密切配合，监督产品开发进度，解决实…</x:v>
      </x:c>
    </x:row>
    <x:row r="99" ht="72" customHeight="1">
      <x:c r="A99" s="25" t="n">
        <x:v>10991</x:v>
      </x:c>
      <x:c r="B99" s="25" t="str">
        <x:v>IC-L3-248</x:v>
      </x:c>
      <x:c r="C99" s="25" t="str">
        <x:v>产品助理</x:v>
      </x:c>
      <x:c r="D99" s="25" t="str">
        <x:v>2-06-07-03</x:v>
      </x:c>
      <x:c r="E99" s="25" t="str">
        <x:v>商务策划专业人员</x:v>
      </x:c>
      <x:c r="F99" s="28" t="n">
        <x:f>COUNTIF('岗位-产业节点关系'!$C$4:$C$709,B99)</x:f>
        <x:v>0</x:v>
      </x:c>
      <x:c r="G99" s="26" t="str">
        <x:f>IF(F99=0,"未匹配（现有产业链范围未覆盖或证据不足）",IF(COUNTIFS('岗位-产业节点关系'!$C$4:$C$709,B99,'岗位-产业节点关系'!$M$4:$M$709,"低")&gt;0,"已匹配，建议复核","已匹配"))</x:f>
        <x:v>未匹配（现有产业链范围未覆盖或证据不足）</x:v>
      </x:c>
      <x:c r="H99" s="26" t="str">
        <x:v>-</x:v>
      </x:c>
      <x:c r="I99" s="26" t="str"/>
      <x:c r="J99" s="26" t="str"/>
      <x:c r="K99" s="26" t="str">
        <x:v>产品助理是互联网行业中不可或缺的角色，他们负责协助产品经理完成产品的市场调研、功能设计与优化等任务，确保产品从概念到市场的顺利过渡。作为连接用户需求和技术实现之间的桥梁，产品助理对于提升用户体验、推动产品迭代具有重要作用…</x:v>
      </x:c>
      <x:c r="L99" s="26" t="str">
        <x:v>1. 协助产品经理进行市场研究和竞品分析，定期整理报告，为产品策略提供决策依据。 2. 参与产品需求讨论会，记录并跟踪需求变更情况，确保团队成员对需求理解一致。 3. 编写详细的产品需求文档（PRD），明确功能规格、验收…</x:v>
      </x:c>
    </x:row>
    <x:row r="100" ht="72" customHeight="1">
      <x:c r="A100" s="25" t="n">
        <x:v>10992</x:v>
      </x:c>
      <x:c r="B100" s="25" t="str">
        <x:v>IC-L3-249</x:v>
      </x:c>
      <x:c r="C100" s="25" t="str">
        <x:v>产品经理/主管</x:v>
      </x:c>
      <x:c r="D100" s="25" t="str">
        <x:v>2-02-10-03</x:v>
      </x:c>
      <x:c r="E100" s="25" t="str">
        <x:v>计算机软件工程技术人员</x:v>
      </x:c>
      <x:c r="F100" s="28" t="n">
        <x:f>COUNTIF('岗位-产业节点关系'!$C$4:$C$709,B100)</x:f>
        <x:v>0</x:v>
      </x:c>
      <x:c r="G100" s="26" t="str">
        <x:f>IF(F100=0,"未匹配（现有产业链范围未覆盖或证据不足）",IF(COUNTIFS('岗位-产业节点关系'!$C$4:$C$709,B100,'岗位-产业节点关系'!$M$4:$M$709,"低")&gt;0,"已匹配，建议复核","已匹配"))</x:f>
        <x:v>未匹配（现有产业链范围未覆盖或证据不足）</x:v>
      </x:c>
      <x:c r="H100" s="26" t="str">
        <x:v>-</x:v>
      </x:c>
      <x:c r="I100" s="26" t="str"/>
      <x:c r="J100" s="26" t="str"/>
      <x:c r="K100" s="26" t="str">
        <x:v>互联网产品经理是连接用户需求与技术实现的关键桥梁，在产品开发周期中扮演着核心的角色。通过深入了解市场趋势、用户行为以及竞争对手状况，产品经理能够确保所开发的产品既符合市场需求又能为企业带来持续的价值增长。此外，产品经理还…</x:v>
      </x:c>
      <x:c r="L100" s="26" t="str">
        <x:v>1. 负责收集并分析市场数据，结合用户反馈确定产品功能需求，制定详细的产品规划方案，确保产品设计符合用户期望。 2. 与UI/UX设计师密切配合，监督产品界面的设计过程，确保最终输出符合视觉美感与操作便捷性的标准。 3.…</x:v>
      </x:c>
    </x:row>
    <x:row r="101" ht="72" customHeight="1">
      <x:c r="A101" s="25" t="n">
        <x:v>10993</x:v>
      </x:c>
      <x:c r="B101" s="25" t="str">
        <x:v>IC-L3-250</x:v>
      </x:c>
      <x:c r="C101" s="25" t="str">
        <x:v>商业化产品经理</x:v>
      </x:c>
      <x:c r="D101" s="25" t="str">
        <x:v>2-02-10-03</x:v>
      </x:c>
      <x:c r="E101" s="25" t="str">
        <x:v>计算机软件工程技术人员</x:v>
      </x:c>
      <x:c r="F101" s="28" t="n">
        <x:f>COUNTIF('岗位-产业节点关系'!$C$4:$C$709,B101)</x:f>
        <x:v>0</x:v>
      </x:c>
      <x:c r="G101" s="26" t="str">
        <x:f>IF(F101=0,"未匹配（现有产业链范围未覆盖或证据不足）",IF(COUNTIFS('岗位-产业节点关系'!$C$4:$C$709,B101,'岗位-产业节点关系'!$M$4:$M$709,"低")&gt;0,"已匹配，建议复核","已匹配"))</x:f>
        <x:v>未匹配（现有产业链范围未覆盖或证据不足）</x:v>
      </x:c>
      <x:c r="H101" s="26" t="str">
        <x:v>-</x:v>
      </x:c>
      <x:c r="I101" s="26" t="str"/>
      <x:c r="J101" s="26" t="str"/>
      <x:c r="K101" s="26" t="str">
        <x:v>商业化产品经理是互联网行业中至关重要的角色之一，负责将公司产品与市场需求精准对接，通过有效的商业模式创新实现产品的商业价值最大化。这一职位不仅要求具备敏锐的市场洞察力和深厚的产品理解能力，还需要拥有出色的策略规划与执行能…</x:v>
      </x:c>
      <x:c r="L101" s="26" t="str">
        <x:v>1. 负责分析市场趋势，挖掘潜在的商业机会，制定符合公司战略的产品商业化方案。 2. 与技术团队密切配合，指导产品功能的设计与开发，确保商业化策略的有效落地。 3. 监控产品性能指标，定期评估商业化效果，及时调整优化策略…</x:v>
      </x:c>
    </x:row>
    <x:row r="102" ht="72" customHeight="1">
      <x:c r="A102" s="25" t="n">
        <x:v>10994</x:v>
      </x:c>
      <x:c r="B102" s="25" t="str">
        <x:v>IC-L3-251</x:v>
      </x:c>
      <x:c r="C102" s="25" t="str">
        <x:v>增长产品经理</x:v>
      </x:c>
      <x:c r="D102" s="25" t="str">
        <x:v>2-02-10-03</x:v>
      </x:c>
      <x:c r="E102" s="25" t="str">
        <x:v>计算机软件工程技术人员</x:v>
      </x:c>
      <x:c r="F102" s="28" t="n">
        <x:f>COUNTIF('岗位-产业节点关系'!$C$4:$C$709,B102)</x:f>
        <x:v>0</x:v>
      </x:c>
      <x:c r="G102" s="26" t="str">
        <x:f>IF(F102=0,"未匹配（现有产业链范围未覆盖或证据不足）",IF(COUNTIFS('岗位-产业节点关系'!$C$4:$C$709,B102,'岗位-产业节点关系'!$M$4:$M$709,"低")&gt;0,"已匹配，建议复核","已匹配"))</x:f>
        <x:v>未匹配（现有产业链范围未覆盖或证据不足）</x:v>
      </x:c>
      <x:c r="H102" s="26" t="str">
        <x:v>-</x:v>
      </x:c>
      <x:c r="I102" s="26" t="str"/>
      <x:c r="J102" s="26" t="str"/>
      <x:c r="K102" s="26" t="str">
        <x:v>增长产品经理是互联网产品领域中一个至关重要的角色，负责通过创新的方法和策略来推动产品的用户增长与市场扩张。在这个快速变化的行业中，增长产品经理不仅需要具备敏锐的市场洞察力，还需要能够迅速响应市场变化，为公司制定并执行有效…</x:v>
      </x:c>
      <x:c r="L102" s="26" t="str">
        <x:v>1. 负责制定并优化用户增长策略，包括但不限于新用户获取、老用户激活与留存等方面，以提高整体用户规模。 2. 运用A/B测试等方法进行增长实验的设计与执行，分析实验结果，迭代改进方案，确保每次迭代都能带来正面的增长效果。…</x:v>
      </x:c>
    </x:row>
    <x:row r="103" ht="72" customHeight="1">
      <x:c r="A103" s="25" t="n">
        <x:v>10995</x:v>
      </x:c>
      <x:c r="B103" s="25" t="str">
        <x:v>IC-L3-252</x:v>
      </x:c>
      <x:c r="C103" s="25" t="str">
        <x:v>平台产品经理</x:v>
      </x:c>
      <x:c r="D103" s="25" t="str">
        <x:v>2-02-10-03</x:v>
      </x:c>
      <x:c r="E103" s="25" t="str">
        <x:v>计算机软件工程技术人员</x:v>
      </x:c>
      <x:c r="F103" s="28" t="n">
        <x:f>COUNTIF('岗位-产业节点关系'!$C$4:$C$709,B103)</x:f>
        <x:v>0</x:v>
      </x:c>
      <x:c r="G103" s="26" t="str">
        <x:f>IF(F103=0,"未匹配（现有产业链范围未覆盖或证据不足）",IF(COUNTIFS('岗位-产业节点关系'!$C$4:$C$709,B103,'岗位-产业节点关系'!$M$4:$M$709,"低")&gt;0,"已匹配，建议复核","已匹配"))</x:f>
        <x:v>未匹配（现有产业链范围未覆盖或证据不足）</x:v>
      </x:c>
      <x:c r="H103" s="26" t="str">
        <x:v>-</x:v>
      </x:c>
      <x:c r="I103" s="26" t="str"/>
      <x:c r="J103" s="26" t="str"/>
      <x:c r="K103" s="26" t="str">
        <x:v>平台产品经理是互联网行业中至关重要的角色，负责构建和优化用户与服务之间的桥梁，确保产品的用户体验流畅且高效。通过深入理解市场需求和技术趋势，平台产品经理不仅能够推动产品迭代升级，还能为企业创造持续的竞争优势，提高市场占有…</x:v>
      </x:c>
      <x:c r="L103" s="26" t="str">
        <x:v>1. 负责收集并分析用户需求，制定平台产品的发展策略及实施计划，确保产品功能符合目标市场的需求。 2. 协调跨部门资源，推进项目进度，解决项目执行过程中的各种问题，保证产品按时高质量上线。 3. 定期评估产品性能，基于数…</x:v>
      </x:c>
    </x:row>
    <x:row r="104" ht="72" customHeight="1">
      <x:c r="A104" s="25" t="n">
        <x:v>10996</x:v>
      </x:c>
      <x:c r="B104" s="25" t="str">
        <x:v>IC-L3-253</x:v>
      </x:c>
      <x:c r="C104" s="25" t="str">
        <x:v>数据产品经理</x:v>
      </x:c>
      <x:c r="D104" s="25" t="str">
        <x:v>2-02-10-03</x:v>
      </x:c>
      <x:c r="E104" s="25" t="str">
        <x:v>计算机软件工程技术人员</x:v>
      </x:c>
      <x:c r="F104" s="28" t="n">
        <x:f>COUNTIF('岗位-产业节点关系'!$C$4:$C$709,B104)</x:f>
        <x:v>1</x:v>
      </x:c>
      <x:c r="G104" s="26" t="str">
        <x:f>IF(F104=0,"未匹配（现有产业链范围未覆盖或证据不足）",IF(COUNTIFS('岗位-产业节点关系'!$C$4:$C$709,B104,'岗位-产业节点关系'!$M$4:$M$709,"低")&gt;0,"已匹配，建议复核","已匹配"))</x:f>
        <x:v>已匹配</x:v>
      </x:c>
      <x:c r="H104" s="26" t="str">
        <x:v>中</x:v>
      </x:c>
      <x:c r="I104" s="26" t="str">
        <x:v>ICN003</x:v>
      </x:c>
      <x:c r="J104" s="26" t="str">
        <x:v>数据要素与数字经济产业链/下游/数字经济场景应用与内容创意</x:v>
      </x:c>
      <x:c r="K104" s="26" t="str">
        <x:v>数据产品经理是互联网行业中不可或缺的角色之一，通过将复杂的数据转化为易于理解的产品决策依据，帮助公司实现更精准的市场定位和用户需求分析。该职位不仅要求候选人具备扎实的数据分析能力，还需要有良好的产品思维和创新能力，以确保…</x:v>
      </x:c>
      <x:c r="L104" s="26" t="str">
        <x:v>1. 负责收集并分析用户行为数据，识别关键指标，为产品功能的优化提供科学依据，提升用户体验。 2. 与技术团队密切配合，制定数据采集方案，确保数据质量，支持产品迭代过程中的快速验证与调整。 3. 定期出具数据分析报告，向…</x:v>
      </x:c>
    </x:row>
    <x:row r="105" ht="72" customHeight="1">
      <x:c r="A105" s="25" t="n">
        <x:v>10997</x:v>
      </x:c>
      <x:c r="B105" s="25" t="str">
        <x:v>IC-L3-254</x:v>
      </x:c>
      <x:c r="C105" s="25" t="str">
        <x:v>用户产品经理</x:v>
      </x:c>
      <x:c r="D105" s="25" t="str">
        <x:v>2-02-10-03</x:v>
      </x:c>
      <x:c r="E105" s="25" t="str">
        <x:v>计算机软件工程技术人员</x:v>
      </x:c>
      <x:c r="F105" s="28" t="n">
        <x:f>COUNTIF('岗位-产业节点关系'!$C$4:$C$709,B105)</x:f>
        <x:v>0</x:v>
      </x:c>
      <x:c r="G105" s="26" t="str">
        <x:f>IF(F105=0,"未匹配（现有产业链范围未覆盖或证据不足）",IF(COUNTIFS('岗位-产业节点关系'!$C$4:$C$709,B105,'岗位-产业节点关系'!$M$4:$M$709,"低")&gt;0,"已匹配，建议复核","已匹配"))</x:f>
        <x:v>未匹配（现有产业链范围未覆盖或证据不足）</x:v>
      </x:c>
      <x:c r="H105" s="26" t="str">
        <x:v>-</x:v>
      </x:c>
      <x:c r="I105" s="26" t="str"/>
      <x:c r="J105" s="26" t="str"/>
      <x:c r="K105" s="26" t="str">
        <x:v>用户产品经理是互联网产品开发中不可或缺的关键角色，负责从用户角度出发设计和优化产品功能，确保产品的用户体验达到最佳状态。通过深入了解用户需求和行为模式，用户产品经理能够准确把握市场趋势，制定出符合用户期望的产品策略，从而…</x:v>
      </x:c>
      <x:c r="L105" s="26" t="str">
        <x:v>1. 负责收集并分析用户反馈，定期进行用户调研，以确保产品功能和服务满足用户实际需求。 2. 制定详细的产品需求文档（PRD），明确产品的功能、界面及交互流程，指导开发团队完成高质量的产品实现。 3. 协调跨职能团队资源…</x:v>
      </x:c>
    </x:row>
    <x:row r="106" ht="72" customHeight="1">
      <x:c r="A106" s="25" t="n">
        <x:v>10998</x:v>
      </x:c>
      <x:c r="B106" s="25" t="str">
        <x:v>IC-L3-255</x:v>
      </x:c>
      <x:c r="C106" s="25" t="str">
        <x:v>用户研究</x:v>
      </x:c>
      <x:c r="D106" s="25" t="str">
        <x:v>2-02-10-03</x:v>
      </x:c>
      <x:c r="E106" s="25" t="str">
        <x:v>计算机软件工程技术人员</x:v>
      </x:c>
      <x:c r="F106" s="28" t="n">
        <x:f>COUNTIF('岗位-产业节点关系'!$C$4:$C$709,B106)</x:f>
        <x:v>0</x:v>
      </x:c>
      <x:c r="G106" s="26" t="str">
        <x:f>IF(F106=0,"未匹配（现有产业链范围未覆盖或证据不足）",IF(COUNTIFS('岗位-产业节点关系'!$C$4:$C$709,B106,'岗位-产业节点关系'!$M$4:$M$709,"低")&gt;0,"已匹配，建议复核","已匹配"))</x:f>
        <x:v>未匹配（现有产业链范围未覆盖或证据不足）</x:v>
      </x:c>
      <x:c r="H106" s="26" t="str">
        <x:v>-</x:v>
      </x:c>
      <x:c r="I106" s="26" t="str"/>
      <x:c r="J106" s="26" t="str"/>
      <x:c r="K106" s="26" t="str">
        <x:v>用户研究作为互联网产品经理的一个重要方向，在产品开发过程中扮演着至关重要的角色。通过深入了解目标用户的需求、行为习惯以及偏好，用户研究能够帮助企业更精准地定位市场，设计出符合用户期待的产品和服务。该职位不仅能够推动产品迭…</x:v>
      </x:c>
      <x:c r="L106" s="26" t="str">
        <x:v>1. 设计并执行用户调研计划，涵盖在线调查、面对面访谈等多种形式，以全面了解用户需求及痛点。 2. 分析用户行为数据，运用定量和定性的研究方法，撰写详细的用户研究报告，为产品决策提供有力支持。 3. 与跨职能团队密切配合…</x:v>
      </x:c>
    </x:row>
    <x:row r="107" ht="72" customHeight="1">
      <x:c r="A107" s="25" t="n">
        <x:v>10999</x:v>
      </x:c>
      <x:c r="B107" s="25" t="str">
        <x:v>IC-L3-256</x:v>
      </x:c>
      <x:c r="C107" s="25" t="str">
        <x:v>电商产品经理</x:v>
      </x:c>
      <x:c r="D107" s="25" t="str">
        <x:v>2-02-10-03</x:v>
      </x:c>
      <x:c r="E107" s="25" t="str">
        <x:v>计算机软件工程技术人员</x:v>
      </x:c>
      <x:c r="F107" s="28" t="n">
        <x:f>COUNTIF('岗位-产业节点关系'!$C$4:$C$709,B107)</x:f>
        <x:v>1</x:v>
      </x:c>
      <x:c r="G107" s="26" t="str">
        <x:f>IF(F107=0,"未匹配（现有产业链范围未覆盖或证据不足）",IF(COUNTIFS('岗位-产业节点关系'!$C$4:$C$709,B107,'岗位-产业节点关系'!$M$4:$M$709,"低")&gt;0,"已匹配，建议复核","已匹配"))</x:f>
        <x:v>已匹配</x:v>
      </x:c>
      <x:c r="H107" s="26" t="str">
        <x:v>中</x:v>
      </x:c>
      <x:c r="I107" s="26" t="str">
        <x:v>ICN003</x:v>
      </x:c>
      <x:c r="J107" s="26" t="str">
        <x:v>数据要素与数字经济产业链/下游/数字经济场景应用与内容创意</x:v>
      </x:c>
      <x:c r="K107" s="26" t="str">
        <x:v>电商产品经理是产品行业中不可或缺的角色，尤其在互联网领域中，其重要性日益凸显。作为连接用户需求与企业资源的关键桥梁，电商产品经理不仅需要具备敏锐的市场洞察力，还应拥有良好的数据分析能力，以确保产品能够满足市场需求并持续优…</x:v>
      </x:c>
      <x:c r="L107" s="26" t="str">
        <x:v>1. 负责电商平台的整体规划与设计，确保产品功能符合用户需求及市场趋势。 2. 定期收集并分析用户反馈，结合行业动态调整产品发展方向，持续优化产品性能。 3. 与技术团队密切沟通，协调资源解决产品开发过程中遇到的问题，保…</x:v>
      </x:c>
    </x:row>
    <x:row r="108" ht="72" customHeight="1">
      <x:c r="A108" s="25" t="n">
        <x:v>11000</x:v>
      </x:c>
      <x:c r="B108" s="25" t="str">
        <x:v>IC-L3-257</x:v>
      </x:c>
      <x:c r="C108" s="25" t="str">
        <x:v>策略产品经理</x:v>
      </x:c>
      <x:c r="D108" s="25" t="str">
        <x:v>2-02-10-03</x:v>
      </x:c>
      <x:c r="E108" s="25" t="str">
        <x:v>计算机软件工程技术人员</x:v>
      </x:c>
      <x:c r="F108" s="28" t="n">
        <x:f>COUNTIF('岗位-产业节点关系'!$C$4:$C$709,B108)</x:f>
        <x:v>0</x:v>
      </x:c>
      <x:c r="G108" s="26" t="str">
        <x:f>IF(F108=0,"未匹配（现有产业链范围未覆盖或证据不足）",IF(COUNTIFS('岗位-产业节点关系'!$C$4:$C$709,B108,'岗位-产业节点关系'!$M$4:$M$709,"低")&gt;0,"已匹配，建议复核","已匹配"))</x:f>
        <x:v>未匹配（现有产业链范围未覆盖或证据不足）</x:v>
      </x:c>
      <x:c r="H108" s="26" t="str">
        <x:v>-</x:v>
      </x:c>
      <x:c r="I108" s="26" t="str"/>
      <x:c r="J108" s="26" t="str"/>
      <x:c r="K108" s="26" t="str">
        <x:v>策略产品经理是互联网产品领域中至关重要的角色，负责通过深入分析市场趋势与用户需求来制定产品的发展方向和竞争策略。这一职位不仅要求具备敏锐的洞察力和创新思维，还必须能够将战略思想转化为可执行的产品计划，以推动产品的持续优化…</x:v>
      </x:c>
      <x:c r="L108" s="26" t="str">
        <x:v>1. 负责研究市场动态，分析竞品特点，结合公司战略规划，制定清晰的产品策略和发展路线图。 2. 与用户研究团队合作，深入了解用户行为模式及需求变化，持续优化产品功能，提高用户满意度。 3. 协调跨职能团队资源，确保项目按…</x:v>
      </x:c>
    </x:row>
    <x:row r="109" ht="72" customHeight="1">
      <x:c r="A109" s="25" t="n">
        <x:v>11001</x:v>
      </x:c>
      <x:c r="B109" s="25" t="str">
        <x:v>IC-L3-258</x:v>
      </x:c>
      <x:c r="C109" s="25" t="str">
        <x:v>需求工程师</x:v>
      </x:c>
      <x:c r="D109" s="25" t="str">
        <x:v>2-02-10-03</x:v>
      </x:c>
      <x:c r="E109" s="25" t="str">
        <x:v>计算机软件工程技术人员</x:v>
      </x:c>
      <x:c r="F109" s="28" t="n">
        <x:f>COUNTIF('岗位-产业节点关系'!$C$4:$C$709,B109)</x:f>
        <x:v>0</x:v>
      </x:c>
      <x:c r="G109" s="26" t="str">
        <x:f>IF(F109=0,"未匹配（现有产业链范围未覆盖或证据不足）",IF(COUNTIFS('岗位-产业节点关系'!$C$4:$C$709,B109,'岗位-产业节点关系'!$M$4:$M$709,"低")&gt;0,"已匹配，建议复核","已匹配"))</x:f>
        <x:v>未匹配（现有产业链范围未覆盖或证据不足）</x:v>
      </x:c>
      <x:c r="H109" s="26" t="str">
        <x:v>-</x:v>
      </x:c>
      <x:c r="I109" s="26" t="str"/>
      <x:c r="J109" s="26" t="str"/>
      <x:c r="K109" s="26" t="str">
        <x:v>需求工程师在互联网产品领域扮演着至关重要的角色，他们是用户需求与技术实现之间的桥梁。通过精准地捕捉市场趋势及用户反馈，需求工程师能够有效推动产品的迭代优化，确保产品始终保持竞争力。 该职位的核心目标在于深入分析并准确理解…</x:v>
      </x:c>
      <x:c r="L109" s="26" t="str">
        <x:v>1. 负责收集并整理来自不同渠道的用户反馈，定期分析市场需求变化，为产品改进提供数据支持。 2. 与业务方密切沟通，深入了解其业务流程和痛点，协助确定产品需求优先级。 3. 编写详细的需求文档（PRD），明确功能描述、验…</x:v>
      </x:c>
    </x:row>
    <x:row r="110" ht="72" customHeight="1">
      <x:c r="A110" s="25" t="n">
        <x:v>11002</x:v>
      </x:c>
      <x:c r="B110" s="25" t="str">
        <x:v>IC-L3-259</x:v>
      </x:c>
      <x:c r="C110" s="25" t="str">
        <x:v>化妆品产品经理</x:v>
      </x:c>
      <x:c r="D110" s="25" t="str">
        <x:v>2-02-36-04</x:v>
      </x:c>
      <x:c r="E110" s="25" t="str">
        <x:v>日用化工工程技术人员</x:v>
      </x:c>
      <x:c r="F110" s="28" t="n">
        <x:f>COUNTIF('岗位-产业节点关系'!$C$4:$C$709,B110)</x:f>
        <x:v>0</x:v>
      </x:c>
      <x:c r="G110" s="26" t="str">
        <x:f>IF(F110=0,"未匹配（现有产业链范围未覆盖或证据不足）",IF(COUNTIFS('岗位-产业节点关系'!$C$4:$C$709,B110,'岗位-产业节点关系'!$M$4:$M$709,"低")&gt;0,"已匹配，建议复核","已匹配"))</x:f>
        <x:v>未匹配（现有产业链范围未覆盖或证据不足）</x:v>
      </x:c>
      <x:c r="H110" s="26" t="str">
        <x:v>-</x:v>
      </x:c>
      <x:c r="I110" s="26" t="str"/>
      <x:c r="J110" s="26" t="str"/>
      <x:c r="K110" s="26" t="str">
        <x:v>化妆品产品经理是产品开发与市场策略之间的桥梁，在化妆品行业中扮演着至关重要的角色。他们不仅负责理解消费者需求，还要引领产品从概念设计到最终上市的全过程，确保产品的竞争力和市场适应性。此外，该职位还涉及到跨部门合作，如研发…</x:v>
      </x:c>
      <x:c r="L110" s="26" t="str">
        <x:v>1. 负责收集并分析市场趋势及用户反馈，结合公司战略制定产品规划，确保新产品满足市场需求。 2. 协同研发团队进行产品创新设计，监督产品开发进度，确保按时按质完成产品上线准备。 3. 制定产品推广计划，与市场营销部门紧密…</x:v>
      </x:c>
    </x:row>
    <x:row r="111" ht="72" customHeight="1">
      <x:c r="A111" s="25" t="n">
        <x:v>11003</x:v>
      </x:c>
      <x:c r="B111" s="25" t="str">
        <x:v>IC-L3-260</x:v>
      </x:c>
      <x:c r="C111" s="25" t="str">
        <x:v>医药产品经理</x:v>
      </x:c>
      <x:c r="D111" s="25" t="str">
        <x:v>2-06-07-07</x:v>
      </x:c>
      <x:c r="E111" s="25" t="str">
        <x:v>医药代表</x:v>
      </x:c>
      <x:c r="F111" s="28" t="n">
        <x:f>COUNTIF('岗位-产业节点关系'!$C$4:$C$709,B111)</x:f>
        <x:v>1</x:v>
      </x:c>
      <x:c r="G111" s="26" t="str">
        <x:f>IF(F111=0,"未匹配（现有产业链范围未覆盖或证据不足）",IF(COUNTIFS('岗位-产业节点关系'!$C$4:$C$709,B111,'岗位-产业节点关系'!$M$4:$M$709,"低")&gt;0,"已匹配，建议复核","已匹配"))</x:f>
        <x:v>已匹配</x:v>
      </x:c>
      <x:c r="H111" s="26" t="str">
        <x:v>中</x:v>
      </x:c>
      <x:c r="I111" s="26" t="str">
        <x:v>ICN012</x:v>
      </x:c>
      <x:c r="J111" s="26" t="str">
        <x:v>医药生物与医疗健康产业链/下游/医疗服务、临床应用与健康管理</x:v>
      </x:c>
      <x:c r="K111" s="26" t="str">
        <x:v>医药产品经理是产品行业中一个至关重要的角色，特别是在医疗健康领域。该职位不仅需要深入理解医药市场的需求与趋势，还需要具备跨学科的知识背景，以确保产品从概念设计到上市推广的每个环节都能精准对接用户需求。作为医药产品经理，其…</x:v>
      </x:c>
      <x:c r="L111" s="26" t="str">
        <x:v>1. 负责进行市场调研，分析目标客户群体的需求变化，定期提交详细的市场需求报告，为新产品的开发提供数据支持。 2. 与研发团队密切配合，参与产品设计阶段，确保产品功能满足市场需求并符合法规要求，同时监督产品开发进度，确保…</x:v>
      </x:c>
    </x:row>
    <x:row r="112" ht="72" customHeight="1">
      <x:c r="A112" s="25" t="n">
        <x:v>11004</x:v>
      </x:c>
      <x:c r="B112" s="25" t="str">
        <x:v>IC-L3-261</x:v>
      </x:c>
      <x:c r="C112" s="25" t="str">
        <x:v>旅游产品经理</x:v>
      </x:c>
      <x:c r="D112" s="25" t="str">
        <x:v>4-07-01-01</x:v>
      </x:c>
      <x:c r="E112" s="25" t="str">
        <x:v>租赁业务员</x:v>
      </x:c>
      <x:c r="F112" s="28" t="n">
        <x:f>COUNTIF('岗位-产业节点关系'!$C$4:$C$709,B112)</x:f>
        <x:v>0</x:v>
      </x:c>
      <x:c r="G112" s="26" t="str">
        <x:f>IF(F112=0,"未匹配（现有产业链范围未覆盖或证据不足）",IF(COUNTIFS('岗位-产业节点关系'!$C$4:$C$709,B112,'岗位-产业节点关系'!$M$4:$M$709,"低")&gt;0,"已匹配，建议复核","已匹配"))</x:f>
        <x:v>未匹配（现有产业链范围未覆盖或证据不足）</x:v>
      </x:c>
      <x:c r="H112" s="26" t="str">
        <x:v>-</x:v>
      </x:c>
      <x:c r="I112" s="26" t="str"/>
      <x:c r="J112" s="26" t="str"/>
      <x:c r="K112" s="26" t="str">
        <x:v>旅游产品经理是产品领域中一个至关重要的角色，尤其是在旅游业蓬勃发展的今天。此职位不仅负责将旅行体验转化为数字化的产品，还致力于通过创新的技术手段提升用户体验，满足市场日益增长的需求。作为连接用户需求与公司技术实现之间的桥…</x:v>
      </x:c>
      <x:c r="L112" s="26" t="str">
        <x:v>1. 负责旅游产品的整体规划与设计，包括但不限于线路规划、景点推荐等功能模块的设计与优化。 2. 定期进行市场调研，收集用户反馈，分析竞争对手情况，以数据驱动的方式不断迭代产品功能。 3. 与技术团队紧密配合，确保产品从…</x:v>
      </x:c>
    </x:row>
    <x:row r="113" ht="72" customHeight="1">
      <x:c r="A113" s="25" t="n">
        <x:v>11005</x:v>
      </x:c>
      <x:c r="B113" s="25" t="str">
        <x:v>IC-L3-262</x:v>
      </x:c>
      <x:c r="C113" s="25" t="str">
        <x:v>电子产品经理/产品工程师</x:v>
      </x:c>
      <x:c r="D113" s="25" t="str">
        <x:v>2-02-09-02</x:v>
      </x:c>
      <x:c r="E113" s="25" t="str">
        <x:v>电子元器件工程技术人员</x:v>
      </x:c>
      <x:c r="F113" s="28" t="n">
        <x:f>COUNTIF('岗位-产业节点关系'!$C$4:$C$709,B113)</x:f>
        <x:v>1</x:v>
      </x:c>
      <x:c r="G113" s="26" t="str">
        <x:f>IF(F113=0,"未匹配（现有产业链范围未覆盖或证据不足）",IF(COUNTIFS('岗位-产业节点关系'!$C$4:$C$709,B113,'岗位-产业节点关系'!$M$4:$M$709,"低")&gt;0,"已匹配，建议复核","已匹配"))</x:f>
        <x:v>已匹配</x:v>
      </x:c>
      <x:c r="H113" s="26" t="str">
        <x:v>高</x:v>
      </x:c>
      <x:c r="I113" s="26" t="str">
        <x:v>ICN017</x:v>
      </x:c>
      <x:c r="J113" s="26" t="str">
        <x:v>智能物联与消费电子产业链/中游/智能终端、家电与物联平台</x:v>
      </x:c>
      <x:c r="K113" s="26" t="str">
        <x:v>电子产品经理或产品工程师是产品行业中不可或缺的角色，他们负责将技术创新与市场需求相结合，推动电子产品的设计、开发和优化过程。这一职位不仅要求具备深厚的技术背景，还需拥有敏锐的市场洞察力，以确保产品能够满足用户需求并引领市…</x:v>
      </x:c>
      <x:c r="L113" s="26" t="str">
        <x:v>1. 负责电子产品的全生命周期管理，从市场调研、需求分析、产品定义到上市推广，确保产品按时按质完成。 2. 与研发团队密切配合，参与产品设计和技术方案评审，解决产品开发过程中遇到的技术难题。 3. 定期收集并分析市场反馈…</x:v>
      </x:c>
    </x:row>
    <x:row r="114" ht="72" customHeight="1">
      <x:c r="A114" s="25" t="n">
        <x:v>11006</x:v>
      </x:c>
      <x:c r="B114" s="25" t="str">
        <x:v>IC-L3-263</x:v>
      </x:c>
      <x:c r="C114" s="25" t="str">
        <x:v>金融产品经理</x:v>
      </x:c>
      <x:c r="D114" s="25" t="str">
        <x:v>2-06-11-04</x:v>
      </x:c>
      <x:c r="E114" s="25" t="str">
        <x:v>金融产品销售专业人员</x:v>
      </x:c>
      <x:c r="F114" s="28" t="n">
        <x:f>COUNTIF('岗位-产业节点关系'!$C$4:$C$709,B114)</x:f>
        <x:v>0</x:v>
      </x:c>
      <x:c r="G114" s="26" t="str">
        <x:f>IF(F114=0,"未匹配（现有产业链范围未覆盖或证据不足）",IF(COUNTIFS('岗位-产业节点关系'!$C$4:$C$709,B114,'岗位-产业节点关系'!$M$4:$M$709,"低")&gt;0,"已匹配，建议复核","已匹配"))</x:f>
        <x:v>未匹配（现有产业链范围未覆盖或证据不足）</x:v>
      </x:c>
      <x:c r="H114" s="26" t="str">
        <x:v>-</x:v>
      </x:c>
      <x:c r="I114" s="26" t="str"/>
      <x:c r="J114" s="26" t="str"/>
      <x:c r="K114" s="26" t="str">
        <x:v>金融产品经理是产品行业中不可或缺的角色，负责将金融知识与市场需求相结合，推动金融产品的创新与发展。这一职位不仅要求具备深厚的金融专业知识，还需要拥有敏锐的市场洞察力和优秀的用户理解能力，以确保产品能够满足用户需求并引领市…</x:v>
      </x:c>
      <x:c r="L114" s="26" t="str">
        <x:v>1. 负责收集和分析金融市场信息及用户反馈，明确金融产品的功能需求和发展方向。 2. 与技术团队密切配合，确保产品设计符合技术可行性，并监督整个开发流程直至上线。 3. 制定详细的项目计划和时间表，协调资源确保按时完成各…</x:v>
      </x:c>
    </x:row>
    <x:row r="115" ht="72" customHeight="1">
      <x:c r="A115" s="25" t="n">
        <x:v>11007</x:v>
      </x:c>
      <x:c r="B115" s="25" t="str">
        <x:v>IC-L3-264</x:v>
      </x:c>
      <x:c r="C115" s="25" t="str">
        <x:v>产品助理</x:v>
      </x:c>
      <x:c r="D115" s="25" t="str">
        <x:v>2-06-07-03</x:v>
      </x:c>
      <x:c r="E115" s="25" t="str">
        <x:v>商务策划专业人员</x:v>
      </x:c>
      <x:c r="F115" s="28" t="n">
        <x:f>COUNTIF('岗位-产业节点关系'!$C$4:$C$709,B115)</x:f>
        <x:v>0</x:v>
      </x:c>
      <x:c r="G115" s="26" t="str">
        <x:f>IF(F115=0,"未匹配（现有产业链范围未覆盖或证据不足）",IF(COUNTIFS('岗位-产业节点关系'!$C$4:$C$709,B115,'岗位-产业节点关系'!$M$4:$M$709,"低")&gt;0,"已匹配，建议复核","已匹配"))</x:f>
        <x:v>未匹配（现有产业链范围未覆盖或证据不足）</x:v>
      </x:c>
      <x:c r="H115" s="26" t="str">
        <x:v>-</x:v>
      </x:c>
      <x:c r="I115" s="26" t="str"/>
      <x:c r="J115" s="26" t="str"/>
      <x:c r="K115" s="26" t="str">
        <x:v>产品助理是协助产品经理开展产品开发与管理的专业人员。该职位的核心目标是通过收集分析市场需求，协助推进产品全生命周期管理。在日常工作中，需要进行需求调研、数据分析、文档撰写、跨部门协调等工作。</x:v>
      </x:c>
      <x:c r="L115" s="26" t="str">
        <x:v>1. 收集市场信息 2. 整理用户需求 3. 协助产品设计 4. 跟进项目进度 5. 编写产品文档 6. 协调部门沟通</x:v>
      </x:c>
    </x:row>
    <x:row r="116" ht="72" customHeight="1">
      <x:c r="A116" s="25" t="n">
        <x:v>11008</x:v>
      </x:c>
      <x:c r="B116" s="25" t="str">
        <x:v>IC-L3-265</x:v>
      </x:c>
      <x:c r="C116" s="25" t="str">
        <x:v>数据产品经理</x:v>
      </x:c>
      <x:c r="D116" s="25" t="str">
        <x:v>2-02-10-03</x:v>
      </x:c>
      <x:c r="E116" s="25" t="str">
        <x:v>计算机软件工程技术人员</x:v>
      </x:c>
      <x:c r="F116" s="28" t="n">
        <x:f>COUNTIF('岗位-产业节点关系'!$C$4:$C$709,B116)</x:f>
        <x:v>1</x:v>
      </x:c>
      <x:c r="G116" s="26" t="str">
        <x:f>IF(F116=0,"未匹配（现有产业链范围未覆盖或证据不足）",IF(COUNTIFS('岗位-产业节点关系'!$C$4:$C$709,B116,'岗位-产业节点关系'!$M$4:$M$709,"低")&gt;0,"已匹配，建议复核","已匹配"))</x:f>
        <x:v>已匹配</x:v>
      </x:c>
      <x:c r="H116" s="26" t="str">
        <x:v>中</x:v>
      </x:c>
      <x:c r="I116" s="26" t="str">
        <x:v>ICN003</x:v>
      </x:c>
      <x:c r="J116" s="26" t="str">
        <x:v>数据要素与数字经济产业链/下游/数字经济场景应用与内容创意</x:v>
      </x:c>
      <x:c r="K116" s="26" t="str">
        <x:v>数据产品经理是专注于数据驱动型产品设计与管理的专业人员。该职位的核心目标是通过挖掘数据价值，打造高效的数据产品解决方案，推动业务增长。在日常工作中，需要进行需求分析、数据产品规划、跨部门协作及产品全生命周期管理等工作。</x:v>
      </x:c>
      <x:c r="L116" s="26" t="str">
        <x:v>1. 规划数据产品路线 2. 设计数据产品功能 3. 协调数据开发资源 4. 分析用户数据需求 5. 监控数据产品指标 6. 优化数据产品体验</x:v>
      </x:c>
    </x:row>
    <x:row r="117" ht="72" customHeight="1">
      <x:c r="A117" s="25" t="n">
        <x:v>11009</x:v>
      </x:c>
      <x:c r="B117" s="25" t="str">
        <x:v>IC-L3-266</x:v>
      </x:c>
      <x:c r="C117" s="25" t="str">
        <x:v>项目经理</x:v>
      </x:c>
      <x:c r="D117" s="25" t="str">
        <x:v>2-06-07-16</x:v>
      </x:c>
      <x:c r="E117" s="25" t="str">
        <x:v>技术经理人</x:v>
      </x:c>
      <x:c r="F117" s="28" t="n">
        <x:f>COUNTIF('岗位-产业节点关系'!$C$4:$C$709,B117)</x:f>
        <x:v>0</x:v>
      </x:c>
      <x:c r="G117" s="26" t="str">
        <x:f>IF(F117=0,"未匹配（现有产业链范围未覆盖或证据不足）",IF(COUNTIFS('岗位-产业节点关系'!$C$4:$C$709,B117,'岗位-产业节点关系'!$M$4:$M$709,"低")&gt;0,"已匹配，建议复核","已匹配"))</x:f>
        <x:v>未匹配（现有产业链范围未覆盖或证据不足）</x:v>
      </x:c>
      <x:c r="H117" s="26" t="str">
        <x:v>-</x:v>
      </x:c>
      <x:c r="I117" s="26" t="str"/>
      <x:c r="J117" s="26" t="str"/>
      <x:c r="K117" s="26" t="str">
        <x:v>项目经理是专门从事项目规划与执行管理的专业人员。该职位的核心目标是通过统筹资源、把控进度，确保项目在预算和时限内高质量交付。在日常工作中，需要进行需求分析、制定计划、协调团队、监控风险及评估项目成果等工作。</x:v>
      </x:c>
      <x:c r="L117" s="26" t="str">
        <x:v>1. 制定项目计划 2. 统筹项目资源 3. 监控项目进度 4. 控制项目成本 5. 协调跨部门合作 6. 评估项目成果</x:v>
      </x:c>
    </x:row>
    <x:row r="118" ht="72" customHeight="1">
      <x:c r="A118" s="25" t="n">
        <x:v>11010</x:v>
      </x:c>
      <x:c r="B118" s="25" t="str">
        <x:v>IC-L3-267</x:v>
      </x:c>
      <x:c r="C118" s="25" t="str">
        <x:v>游戏关卡策划</x:v>
      </x:c>
      <x:c r="D118" s="25" t="str">
        <x:v>2-09-06-01</x:v>
      </x:c>
      <x:c r="E118" s="25" t="str">
        <x:v>视觉传达设计人员</x:v>
      </x:c>
      <x:c r="F118" s="28" t="n">
        <x:f>COUNTIF('岗位-产业节点关系'!$C$4:$C$709,B118)</x:f>
        <x:v>1</x:v>
      </x:c>
      <x:c r="G118" s="26" t="str">
        <x:f>IF(F118=0,"未匹配（现有产业链范围未覆盖或证据不足）",IF(COUNTIFS('岗位-产业节点关系'!$C$4:$C$709,B118,'岗位-产业节点关系'!$M$4:$M$709,"低")&gt;0,"已匹配，建议复核","已匹配"))</x:f>
        <x:v>已匹配</x:v>
      </x:c>
      <x:c r="H118" s="26" t="str">
        <x:v>中</x:v>
      </x:c>
      <x:c r="I118" s="26" t="str">
        <x:v>ICN054</x:v>
      </x:c>
      <x:c r="J118" s="26" t="str">
        <x:v>新型显示与虚拟现实产业链/下游/沉浸式内容、行业应用与消费场景</x:v>
      </x:c>
      <x:c r="K118" s="26" t="str">
        <x:v>游戏关卡策划是游戏开发中不可或缺的角色之一，其重要性在于通过精心设计的游戏关卡，不仅能够提升玩家的游戏体验，还能有效延长游戏的生命周期。该职位的核心目标是根据游戏的整体风格和目标受众，设计出既符合游戏世界观又充满挑战性的…</x:v>
      </x:c>
      <x:c r="L118" s="26" t="str">
        <x:v>1. 负责游戏内各阶段关卡的设计与优化，确保每个关卡都能带给玩家新鲜感和成就感。 2. 与美术团队密切配合，确保关卡视觉效果与游戏整体风格相协调，提升玩家沉浸感。 3. 根据市场反馈及数据分析结果，定期调整关卡难度，以满…</x:v>
      </x:c>
    </x:row>
    <x:row r="119" ht="72" customHeight="1">
      <x:c r="A119" s="25" t="n">
        <x:v>11011</x:v>
      </x:c>
      <x:c r="B119" s="25" t="str">
        <x:v>IC-L3-268</x:v>
      </x:c>
      <x:c r="C119" s="25" t="str">
        <x:v>游戏制作人</x:v>
      </x:c>
      <x:c r="D119" s="25" t="str">
        <x:v>2-09-06-01</x:v>
      </x:c>
      <x:c r="E119" s="25" t="str">
        <x:v>视觉传达设计人员</x:v>
      </x:c>
      <x:c r="F119" s="28" t="n">
        <x:f>COUNTIF('岗位-产业节点关系'!$C$4:$C$709,B119)</x:f>
        <x:v>1</x:v>
      </x:c>
      <x:c r="G119" s="26" t="str">
        <x:f>IF(F119=0,"未匹配（现有产业链范围未覆盖或证据不足）",IF(COUNTIFS('岗位-产业节点关系'!$C$4:$C$709,B119,'岗位-产业节点关系'!$M$4:$M$709,"低")&gt;0,"已匹配，建议复核","已匹配"))</x:f>
        <x:v>已匹配</x:v>
      </x:c>
      <x:c r="H119" s="26" t="str">
        <x:v>中</x:v>
      </x:c>
      <x:c r="I119" s="26" t="str">
        <x:v>ICN054</x:v>
      </x:c>
      <x:c r="J119" s="26" t="str">
        <x:v>新型显示与虚拟现实产业链/下游/沉浸式内容、行业应用与消费场景</x:v>
      </x:c>
      <x:c r="K119" s="26" t="str">
        <x:v>游戏制作人在产品行业中扮演着至关重要的角色，他们是连接创意与商业成功之间的桥梁。通过精准把握市场趋势与玩家需求，游戏制作人负责整个游戏产品的生命周期管理，从概念设计到最终上线运营，确保产品质量与用户体验达到最优水平。 该…</x:v>
      </x:c>
      <x:c r="L119" s="26" t="str">
        <x:v>1. 负责游戏项目的整体规划与执行，包括但不限于立项评估、市场调研、产品定位等工作，以确保项目按计划高质量完成。 2. 与研发团队密切配合，监督并指导游戏的设计、开发、测试等各个环节，确保产品符合预期标准和市场需求。 3…</x:v>
      </x:c>
    </x:row>
    <x:row r="120" ht="72" customHeight="1">
      <x:c r="A120" s="25" t="n">
        <x:v>11012</x:v>
      </x:c>
      <x:c r="B120" s="25" t="str">
        <x:v>IC-L3-269</x:v>
      </x:c>
      <x:c r="C120" s="25" t="str">
        <x:v>游戏数值策划</x:v>
      </x:c>
      <x:c r="D120" s="25" t="str">
        <x:v>2-09-06-01</x:v>
      </x:c>
      <x:c r="E120" s="25" t="str">
        <x:v>视觉传达设计人员</x:v>
      </x:c>
      <x:c r="F120" s="28" t="n">
        <x:f>COUNTIF('岗位-产业节点关系'!$C$4:$C$709,B120)</x:f>
        <x:v>1</x:v>
      </x:c>
      <x:c r="G120" s="26" t="str">
        <x:f>IF(F120=0,"未匹配（现有产业链范围未覆盖或证据不足）",IF(COUNTIFS('岗位-产业节点关系'!$C$4:$C$709,B120,'岗位-产业节点关系'!$M$4:$M$709,"低")&gt;0,"已匹配，建议复核","已匹配"))</x:f>
        <x:v>已匹配</x:v>
      </x:c>
      <x:c r="H120" s="26" t="str">
        <x:v>中</x:v>
      </x:c>
      <x:c r="I120" s="26" t="str">
        <x:v>ICN054</x:v>
      </x:c>
      <x:c r="J120" s="26" t="str">
        <x:v>新型显示与虚拟现实产业链/下游/沉浸式内容、行业应用与消费场景</x:v>
      </x:c>
      <x:c r="K120" s="26" t="str">
        <x:v>游戏数值策划是游戏开发过程中的关键角色之一，负责游戏内各种数据的设计与平衡，确保玩家体验的趣味性和挑战性。通过精准的数据分析和设计，数值策划能够直接影响游戏的经济系统、战斗机制等核心玩法，从而提升游戏的整体质量和市场竞争…</x:v>
      </x:c>
      <x:c r="L120" s="26" t="str">
        <x:v>1. 负责游戏中所有数值系统的规划与设计工作，包括但不限于角色属性、技能效果、道具价格等，确保数值体系的合理性与平衡性。 2. 运用统计学方法对游戏数据进行深入分析，及时发现并解决数值不平衡问题，持续优化玩家的游戏体验。…</x:v>
      </x:c>
    </x:row>
    <x:row r="121" ht="72" customHeight="1">
      <x:c r="A121" s="25" t="n">
        <x:v>11013</x:v>
      </x:c>
      <x:c r="B121" s="25" t="str">
        <x:v>IC-L3-270</x:v>
      </x:c>
      <x:c r="C121" s="25" t="str">
        <x:v>游戏文案策划/剧情策划</x:v>
      </x:c>
      <x:c r="D121" s="25" t="str">
        <x:v>2-09-06-01</x:v>
      </x:c>
      <x:c r="E121" s="25" t="str">
        <x:v>视觉传达设计人员</x:v>
      </x:c>
      <x:c r="F121" s="28" t="n">
        <x:f>COUNTIF('岗位-产业节点关系'!$C$4:$C$709,B121)</x:f>
        <x:v>2</x:v>
      </x:c>
      <x:c r="G121" s="26" t="str">
        <x:f>IF(F121=0,"未匹配（现有产业链范围未覆盖或证据不足）",IF(COUNTIFS('岗位-产业节点关系'!$C$4:$C$709,B121,'岗位-产业节点关系'!$M$4:$M$709,"低")&gt;0,"已匹配，建议复核","已匹配"))</x:f>
        <x:v>已匹配</x:v>
      </x:c>
      <x:c r="H121" s="26" t="str">
        <x:v>中</x:v>
      </x:c>
      <x:c r="I121" s="26" t="str">
        <x:v>ICN003、ICN054</x:v>
      </x:c>
      <x:c r="J121" s="26" t="str">
        <x:v>数据要素与数字经济产业链/下游/数字经济场景应用与内容创意；新型显示与虚拟现实产业链/下游/沉浸式内容、行业应用与消费场景</x:v>
      </x:c>
      <x:c r="K121" s="26" t="str">
        <x:v>游戏文案策划/剧情策划是游戏开发中不可或缺的一部分，他们负责构建游戏的故事背景、人物设定以及任务情节等核心内容，对于提升玩家的游戏体验至关重要。通过创作引人入胜的故事线和生动的角色对话，此职位不仅能够增强游戏的文化内涵，…</x:v>
      </x:c>
      <x:c r="L121" s="26" t="str">
        <x:v>1. 负责游戏世界观的构建及完善，确保故事逻辑严谨、情感丰富，以吸引并留住目标受众。 2. 编写游戏角色的背景故事、性格特点及互动台词，使人物形象鲜明立体，增强玩家代入感。 3. 设计并优化各类剧情任务，结合游戏机制提出…</x:v>
      </x:c>
    </x:row>
    <x:row r="122" ht="72" customHeight="1">
      <x:c r="A122" s="25" t="n">
        <x:v>11014</x:v>
      </x:c>
      <x:c r="B122" s="25" t="str">
        <x:v>IC-L3-271</x:v>
      </x:c>
      <x:c r="C122" s="25" t="str">
        <x:v>游戏策划师</x:v>
      </x:c>
      <x:c r="D122" s="25" t="str">
        <x:v>2-09-06-01</x:v>
      </x:c>
      <x:c r="E122" s="25" t="str">
        <x:v>视觉传达设计人员</x:v>
      </x:c>
      <x:c r="F122" s="28" t="n">
        <x:f>COUNTIF('岗位-产业节点关系'!$C$4:$C$709,B122)</x:f>
        <x:v>1</x:v>
      </x:c>
      <x:c r="G122" s="26" t="str">
        <x:f>IF(F122=0,"未匹配（现有产业链范围未覆盖或证据不足）",IF(COUNTIFS('岗位-产业节点关系'!$C$4:$C$709,B122,'岗位-产业节点关系'!$M$4:$M$709,"低")&gt;0,"已匹配，建议复核","已匹配"))</x:f>
        <x:v>已匹配</x:v>
      </x:c>
      <x:c r="H122" s="26" t="str">
        <x:v>中</x:v>
      </x:c>
      <x:c r="I122" s="26" t="str">
        <x:v>ICN054</x:v>
      </x:c>
      <x:c r="J122" s="26" t="str">
        <x:v>新型显示与虚拟现实产业链/下游/沉浸式内容、行业应用与消费场景</x:v>
      </x:c>
      <x:c r="K122" s="26" t="str">
        <x:v>游戏策划师是游戏开发过程中的核心角色之一，他们负责创造游戏的概念、规则、故事线以及玩法设计，确保游戏能够吸引并留住玩家。通过深入理解市场需求与玩家心理，游戏策划师为公司带来创新的游戏理念，提高产品的市场竞争力和品牌影响力…</x:v>
      </x:c>
      <x:c r="L122" s="26" t="str">
        <x:v>1. 负责游戏的整体设计，包括但不限于世界观构建、剧情编写、关卡设计等，以确保游戏具有高度的可玩性和吸引力。 2. 根据市场调研结果分析用户需求，定期调整优化游戏内容，提高用户体验满意度，增加用户粘性。 3. 与技术团队…</x:v>
      </x:c>
    </x:row>
    <x:row r="123" ht="72" customHeight="1">
      <x:c r="A123" s="25" t="n">
        <x:v>11015</x:v>
      </x:c>
      <x:c r="B123" s="25" t="str">
        <x:v>IC-L3-272</x:v>
      </x:c>
      <x:c r="C123" s="25" t="str">
        <x:v>游戏系统策划</x:v>
      </x:c>
      <x:c r="D123" s="25" t="str">
        <x:v>2-09-06-01</x:v>
      </x:c>
      <x:c r="E123" s="25" t="str">
        <x:v>视觉传达设计人员</x:v>
      </x:c>
      <x:c r="F123" s="28" t="n">
        <x:f>COUNTIF('岗位-产业节点关系'!$C$4:$C$709,B123)</x:f>
        <x:v>1</x:v>
      </x:c>
      <x:c r="G123" s="26" t="str">
        <x:f>IF(F123=0,"未匹配（现有产业链范围未覆盖或证据不足）",IF(COUNTIFS('岗位-产业节点关系'!$C$4:$C$709,B123,'岗位-产业节点关系'!$M$4:$M$709,"低")&gt;0,"已匹配，建议复核","已匹配"))</x:f>
        <x:v>已匹配</x:v>
      </x:c>
      <x:c r="H123" s="26" t="str">
        <x:v>中</x:v>
      </x:c>
      <x:c r="I123" s="26" t="str">
        <x:v>ICN054</x:v>
      </x:c>
      <x:c r="J123" s="26" t="str">
        <x:v>新型显示与虚拟现实产业链/下游/沉浸式内容、行业应用与消费场景</x:v>
      </x:c>
      <x:c r="K123" s="26" t="str">
        <x:v>游戏系统策划是游戏开发过程中不可或缺的关键角色之一，负责游戏内各种系统的构建与优化，确保游戏体验既富有挑战性又充满乐趣。通过深入研究玩家行为和市场趋势，游戏系统策划能够设计出符合用户需求的游戏机制，从而提高游戏的吸引力和…</x:v>
      </x:c>
      <x:c r="L123" s="26" t="str">
        <x:v>1. 负责游戏核心玩法的设计与实现，包括但不限于战斗系统、经济系统等，确保游戏规则清晰、平衡合理。 2. 与技术团队密切配合，将创意转化为实际可操作的功能，解决开发过程中遇到的问题，保证项目按时高质量完成。 3. 定期收…</x:v>
      </x:c>
    </x:row>
    <x:row r="124" ht="72" customHeight="1">
      <x:c r="A124" s="25" t="n">
        <x:v>11016</x:v>
      </x:c>
      <x:c r="B124" s="25" t="str">
        <x:v>IC-L3-273</x:v>
      </x:c>
      <x:c r="C124" s="25" t="str">
        <x:v>AR/VR产品经理</x:v>
      </x:c>
      <x:c r="D124" s="25" t="str">
        <x:v>2-02-09-02</x:v>
      </x:c>
      <x:c r="E124" s="25" t="str">
        <x:v>电子元器件工程技术人员</x:v>
      </x:c>
      <x:c r="F124" s="28" t="n">
        <x:f>COUNTIF('岗位-产业节点关系'!$C$4:$C$709,B124)</x:f>
        <x:v>1</x:v>
      </x:c>
      <x:c r="G124" s="26" t="str">
        <x:f>IF(F124=0,"未匹配（现有产业链范围未覆盖或证据不足）",IF(COUNTIFS('岗位-产业节点关系'!$C$4:$C$709,B124,'岗位-产业节点关系'!$M$4:$M$709,"低")&gt;0,"已匹配，建议复核","已匹配"))</x:f>
        <x:v>已匹配</x:v>
      </x:c>
      <x:c r="H124" s="26" t="str">
        <x:v>中</x:v>
      </x:c>
      <x:c r="I124" s="26" t="str">
        <x:v>ICN054</x:v>
      </x:c>
      <x:c r="J124" s="26" t="str">
        <x:v>新型显示与虚拟现实产业链/下游/沉浸式内容、行业应用与消费场景</x:v>
      </x:c>
      <x:c r="K124" s="26" t="str">
        <x:v>AR/VR产品经理是产品行业中一个至关重要的角色，特别是在当前科技快速发展的背景下。这一职位不仅要求具备深厚的技术背景，更需要有敏锐的市场洞察力和创新能力，以推动公司产品在激烈的市场竞争中脱颖而出。 该职位的核心目标在于…</x:v>
      </x:c>
      <x:c r="L124" s="26" t="str">
        <x:v>AR/VR产品经理的主要职责包括：负责AR/VR产品的市场调研与需求分析，制定产品规划和开发计划；协调跨部门资源，推动产品开发与迭代；进行产品测试与优化，确保产品质量；管理产品生命周期，监控市场反馈并及时调整策略；制定产…</x:v>
      </x:c>
    </x:row>
    <x:row r="125" ht="72" customHeight="1">
      <x:c r="A125" s="25" t="n">
        <x:v>11017</x:v>
      </x:c>
      <x:c r="B125" s="25" t="str">
        <x:v>IC-L3-274</x:v>
      </x:c>
      <x:c r="C125" s="25" t="str">
        <x:v>IoT产品经理</x:v>
      </x:c>
      <x:c r="D125" s="25" t="str">
        <x:v>2-02-09-02</x:v>
      </x:c>
      <x:c r="E125" s="25" t="str">
        <x:v>电子元器件工程技术人员</x:v>
      </x:c>
      <x:c r="F125" s="28" t="n">
        <x:f>COUNTIF('岗位-产业节点关系'!$C$4:$C$709,B125)</x:f>
        <x:v>1</x:v>
      </x:c>
      <x:c r="G125" s="26" t="str">
        <x:f>IF(F125=0,"未匹配（现有产业链范围未覆盖或证据不足）",IF(COUNTIFS('岗位-产业节点关系'!$C$4:$C$709,B125,'岗位-产业节点关系'!$M$4:$M$709,"低")&gt;0,"已匹配，建议复核","已匹配"))</x:f>
        <x:v>已匹配</x:v>
      </x:c>
      <x:c r="H125" s="26" t="str">
        <x:v>中</x:v>
      </x:c>
      <x:c r="I125" s="26" t="str">
        <x:v>ICN017</x:v>
      </x:c>
      <x:c r="J125" s="26" t="str">
        <x:v>智能物联与消费电子产业链/中游/智能终端、家电与物联平台</x:v>
      </x:c>
      <x:c r="K125" s="26" t="str">
        <x:v>IoT（物联网）产品经理是产品行业中一个关键角色，随着物联网技术的发展，该职位对于推动技术创新和市场拓展至关重要。作为连接技术与市场的桥梁，IoT产品经理不仅需要具备深厚的技术背景，还要拥有敏锐的市场洞察力，以确保产品能…</x:v>
      </x:c>
      <x:c r="L125" s="26" t="str">
        <x:v>1. 负责调研分析市场及竞品情况，确定IoT产品的功能定位和差异化优势，制定详细的产品规划。 2. 组织跨部门会议，协调资源，确保项目按计划推进，及时解决项目执行过程中的问题。 3. 与技术团队密切配合，参与产品设计评审…</x:v>
      </x:c>
    </x:row>
    <x:row r="126" ht="72" customHeight="1">
      <x:c r="A126" s="25" t="n">
        <x:v>11018</x:v>
      </x:c>
      <x:c r="B126" s="25" t="str">
        <x:v>IC-L3-275</x:v>
      </x:c>
      <x:c r="C126" s="25" t="str">
        <x:v>半导体产品经理/产品工程师</x:v>
      </x:c>
      <x:c r="D126" s="25" t="str">
        <x:v>2-02-09-02</x:v>
      </x:c>
      <x:c r="E126" s="25" t="str">
        <x:v>电子元器件工程技术人员</x:v>
      </x:c>
      <x:c r="F126" s="28" t="n">
        <x:f>COUNTIF('岗位-产业节点关系'!$C$4:$C$709,B126)</x:f>
        <x:v>1</x:v>
      </x:c>
      <x:c r="G126" s="26" t="str">
        <x:f>IF(F126=0,"未匹配（现有产业链范围未覆盖或证据不足）",IF(COUNTIFS('岗位-产业节点关系'!$C$4:$C$709,B126,'岗位-产业节点关系'!$M$4:$M$709,"低")&gt;0,"已匹配，建议复核","已匹配"))</x:f>
        <x:v>已匹配</x:v>
      </x:c>
      <x:c r="H126" s="26" t="str">
        <x:v>中</x:v>
      </x:c>
      <x:c r="I126" s="26" t="str">
        <x:v>ICN048</x:v>
      </x:c>
      <x:c r="J126" s="26" t="str">
        <x:v>半导体与集成电路产业链/下游/电子终端、汽车与工业芯片应用</x:v>
      </x:c>
      <x:c r="K126" s="26" t="str">
        <x:v>半导体产品经理/产品工程师是产品开发与市场推广之间的关键桥梁，在硬件产品领域中扮演着至关重要的角色。他们不仅负责将技术创新转化为实际应用，还要确保产品能够满足市场需求，推动公司技术领先优势的持续发展。作为半导体行业的核心…</x:v>
      </x:c>
      <x:c r="L126" s="26" t="str">
        <x:v>1. 负责收集和分析市场信息，结合公司战略规划，制定新产品开发计划及现有产品的优化方案，确保产品符合市场需求。 2. 与研发团队紧密配合，参与产品设计评审，指导产品功能定义和技术规格书编写，保证产品质量与性能达到预期标准…</x:v>
      </x:c>
    </x:row>
    <x:row r="127" ht="72" customHeight="1">
      <x:c r="A127" s="25" t="n">
        <x:v>11019</x:v>
      </x:c>
      <x:c r="B127" s="25" t="str">
        <x:v>IC-L3-276</x:v>
      </x:c>
      <x:c r="C127" s="25" t="str">
        <x:v>智能硬件产品经理</x:v>
      </x:c>
      <x:c r="D127" s="25" t="str">
        <x:v>2-02-09-02</x:v>
      </x:c>
      <x:c r="E127" s="25" t="str">
        <x:v>电子元器件工程技术人员</x:v>
      </x:c>
      <x:c r="F127" s="28" t="n">
        <x:f>COUNTIF('岗位-产业节点关系'!$C$4:$C$709,B127)</x:f>
        <x:v>1</x:v>
      </x:c>
      <x:c r="G127" s="26" t="str">
        <x:f>IF(F127=0,"未匹配（现有产业链范围未覆盖或证据不足）",IF(COUNTIFS('岗位-产业节点关系'!$C$4:$C$709,B127,'岗位-产业节点关系'!$M$4:$M$709,"低")&gt;0,"已匹配，建议复核","已匹配"))</x:f>
        <x:v>已匹配</x:v>
      </x:c>
      <x:c r="H127" s="26" t="str">
        <x:v>中</x:v>
      </x:c>
      <x:c r="I127" s="26" t="str">
        <x:v>ICN017</x:v>
      </x:c>
      <x:c r="J127" s="26" t="str">
        <x:v>智能物联与消费电子产业链/中游/智能终端、家电与物联平台</x:v>
      </x:c>
      <x:c r="K127" s="26" t="str">
        <x:v>智能硬件产品经理是连接技术与市场的桥梁，在产品行业中扮演着至关重要的角色。通过深入了解用户需求、市场趋势以及竞争态势，智能硬件产品经理能够指导产品的设计与开发过程，确保最终产品既符合市场需求又具备技术创新性。该职位对于推…</x:v>
      </x:c>
      <x:c r="L127" s="26" t="str">
        <x:v>1. 负责收集并分析市场信息和客户需求，制定智能硬件产品的发展策略及路线图，确保产品定位准确、功能实用。 2. 与研发团队密切沟通，参与产品概念设计和技术方案讨论，协调资源解决产品开发过程中遇到的问题，保证产品质量与进度…</x:v>
      </x:c>
    </x:row>
    <x:row r="128" ht="72" customHeight="1">
      <x:c r="A128" s="25" t="n">
        <x:v>11020</x:v>
      </x:c>
      <x:c r="B128" s="25" t="str">
        <x:v>IC-L3-277</x:v>
      </x:c>
      <x:c r="C128" s="25" t="str">
        <x:v>硬件工程师</x:v>
      </x:c>
      <x:c r="D128" s="25" t="str">
        <x:v>2-02-09-02</x:v>
      </x:c>
      <x:c r="E128" s="25" t="str">
        <x:v>电子元器件工程技术人员</x:v>
      </x:c>
      <x:c r="F128" s="28" t="n">
        <x:f>COUNTIF('岗位-产业节点关系'!$C$4:$C$709,B128)</x:f>
        <x:v>1</x:v>
      </x:c>
      <x:c r="G128" s="26" t="str">
        <x:f>IF(F128=0,"未匹配（现有产业链范围未覆盖或证据不足）",IF(COUNTIFS('岗位-产业节点关系'!$C$4:$C$709,B128,'岗位-产业节点关系'!$M$4:$M$709,"低")&gt;0,"已匹配，建议复核","已匹配"))</x:f>
        <x:v>已匹配</x:v>
      </x:c>
      <x:c r="H128" s="26" t="str">
        <x:v>中</x:v>
      </x:c>
      <x:c r="I128" s="26" t="str">
        <x:v>ICN016</x:v>
      </x:c>
      <x:c r="J128" s="26" t="str">
        <x:v>智能物联与消费电子产业链/上游/传感器、芯片模组与基础器件</x:v>
      </x:c>
      <x:c r="K128" s="26" t="str">
        <x:v>硬件工程师是专门从事电子硬件系统设计与开发的专业人员。该职位的核心目标是通过硬件方案设计和技术创新，实现产品功能与性能指标。在日常工作中，需要进行电路设计、PCB布局、原型测试及与产品经理协作优化硬件方案等工作。</x:v>
      </x:c>
      <x:c r="L128" s="26" t="str">
        <x:v>1. 设计硬件电路方案 2. 开发产品原型样品 3. 测试硬件性能参数 4. 优化产品设计方案 5. 编写技术文档资料 6. 解决生产质量问题</x:v>
      </x:c>
    </x:row>
    <x:row r="129" ht="72" customHeight="1">
      <x:c r="A129" s="25" t="n">
        <x:v>11021</x:v>
      </x:c>
      <x:c r="B129" s="25" t="str">
        <x:v>IC-L3-278</x:v>
      </x:c>
      <x:c r="C129" s="25" t="str">
        <x:v>产品VP</x:v>
      </x:c>
      <x:c r="D129" s="25" t="str">
        <x:v>2-06-11-04</x:v>
      </x:c>
      <x:c r="E129" s="25" t="str">
        <x:v>金融产品销售专业人员</x:v>
      </x:c>
      <x:c r="F129" s="28" t="n">
        <x:f>COUNTIF('岗位-产业节点关系'!$C$4:$C$709,B129)</x:f>
        <x:v>0</x:v>
      </x:c>
      <x:c r="G129" s="26" t="str">
        <x:f>IF(F129=0,"未匹配（现有产业链范围未覆盖或证据不足）",IF(COUNTIFS('岗位-产业节点关系'!$C$4:$C$709,B129,'岗位-产业节点关系'!$M$4:$M$709,"低")&gt;0,"已匹配，建议复核","已匹配"))</x:f>
        <x:v>未匹配（现有产业链范围未覆盖或证据不足）</x:v>
      </x:c>
      <x:c r="H129" s="26" t="str">
        <x:v>-</x:v>
      </x:c>
      <x:c r="I129" s="26" t="str"/>
      <x:c r="J129" s="26" t="str"/>
      <x:c r="K129" s="26" t="str">
        <x:v>作为产品副总裁（产品VP），您将在产品开发与市场战略之间架起关键的桥梁，确保公司能够持续推出满足市场需求的创新产品。此职位不仅是产品团队的领导者，也是公司整体战略规划的核心成员之一，对于推动企业成长和发展具有不可或缺的作…</x:v>
      </x:c>
      <x:c r="L129" s="26" t="str">
        <x:v>1. 制定全面的产品发展计划，明确各阶段的目标及时间表，确保产品从概念到上市的每一个步骤都得到充分考虑和有效执行。 2. 领导并激励产品团队，建立高效的工作流程，提升团队的整体绩效，同时关注成员个人职业成长，促进内部人才…</x:v>
      </x:c>
    </x:row>
    <x:row r="130" ht="72" customHeight="1">
      <x:c r="A130" s="25" t="n">
        <x:v>11022</x:v>
      </x:c>
      <x:c r="B130" s="25" t="str">
        <x:v>IC-L3-279</x:v>
      </x:c>
      <x:c r="C130" s="25" t="str">
        <x:v>首席产品官CPO</x:v>
      </x:c>
      <x:c r="D130" s="25" t="str">
        <x:v>2-06-07-03</x:v>
      </x:c>
      <x:c r="E130" s="25" t="str">
        <x:v>商务策划专业人员</x:v>
      </x:c>
      <x:c r="F130" s="28" t="n">
        <x:f>COUNTIF('岗位-产业节点关系'!$C$4:$C$709,B130)</x:f>
        <x:v>0</x:v>
      </x:c>
      <x:c r="G130" s="26" t="str">
        <x:f>IF(F130=0,"未匹配（现有产业链范围未覆盖或证据不足）",IF(COUNTIFS('岗位-产业节点关系'!$C$4:$C$709,B130,'岗位-产业节点关系'!$M$4:$M$709,"低")&gt;0,"已匹配，建议复核","已匹配"))</x:f>
        <x:v>未匹配（现有产业链范围未覆盖或证据不足）</x:v>
      </x:c>
      <x:c r="H130" s="26" t="str">
        <x:v>-</x:v>
      </x:c>
      <x:c r="I130" s="26" t="str"/>
      <x:c r="J130" s="26" t="str"/>
      <x:c r="K130" s="26" t="str">
        <x:v>首席产品官（CPO）是产品领域的核心领导角色，在现代企业中占据着至关重要的地位。作为公司产品战略的制定者与执行者，CPO不仅负责指导产品从概念到市场的全过程，还承担着推动产品创新、确保产品质量以及优化用户体验的关键任务。…</x:v>
      </x:c>
      <x:c r="L130" s="26" t="str">
        <x:v>1. 负责制定全面的产品战略规划，包括市场调研、竞品分析及用户需求挖掘，确保产品发展方向符合公司愿景。 2. 领导跨职能团队完成新产品开发流程，从概念设计到上市推广，确保按时按质交付高质量的产品。 3. 监控产品性能指标…</x:v>
      </x:c>
    </x:row>
    <x:row r="131" ht="72" customHeight="1">
      <x:c r="A131" s="25" t="n">
        <x:v>11023</x:v>
      </x:c>
      <x:c r="B131" s="25" t="str">
        <x:v>IC-L3-280</x:v>
      </x:c>
      <x:c r="C131" s="25" t="str">
        <x:v>高级产品总监/产品总监</x:v>
      </x:c>
      <x:c r="D131" s="25" t="str">
        <x:v>2-06-11-04</x:v>
      </x:c>
      <x:c r="E131" s="25" t="str">
        <x:v>金融产品销售专业人员</x:v>
      </x:c>
      <x:c r="F131" s="28" t="n">
        <x:f>COUNTIF('岗位-产业节点关系'!$C$4:$C$709,B131)</x:f>
        <x:v>0</x:v>
      </x:c>
      <x:c r="G131" s="26" t="str">
        <x:f>IF(F131=0,"未匹配（现有产业链范围未覆盖或证据不足）",IF(COUNTIFS('岗位-产业节点关系'!$C$4:$C$709,B131,'岗位-产业节点关系'!$M$4:$M$709,"低")&gt;0,"已匹配，建议复核","已匹配"))</x:f>
        <x:v>未匹配（现有产业链范围未覆盖或证据不足）</x:v>
      </x:c>
      <x:c r="H131" s="26" t="str">
        <x:v>-</x:v>
      </x:c>
      <x:c r="I131" s="26" t="str"/>
      <x:c r="J131" s="26" t="str"/>
      <x:c r="K131" s="26" t="str">
        <x:v>高级产品总监是产品行业中不可或缺的关键角色，他们负责领导产品战略的制定与执行，确保公司能够持续推出符合市场需求的高质量产品。作为公司的核心成员之一，高级产品总监不仅需要具备深厚的产品知识和敏锐的市场洞察力，还需拥有卓越的…</x:v>
      </x:c>
      <x:c r="L131" s="26" t="str">
        <x:v>1. 负责制定公司整体产品战略规划，明确产品发展方向，确保产品线布局合理，满足市场需求。 2. 组织跨部门资源，协调各方力量，推动新产品从立项到上市的全流程管理，确保按时按质完成产品开发任务。 3. 定期收集并分析市场反…</x:v>
      </x:c>
    </x:row>
    <x:row r="132" ht="72" customHeight="1">
      <x:c r="A132" s="25" t="n">
        <x:v>11024</x:v>
      </x:c>
      <x:c r="B132" s="25" t="str">
        <x:v>IC-L3-281</x:v>
      </x:c>
      <x:c r="C132" s="25" t="str">
        <x:v>HRBP人力资源</x:v>
      </x:c>
      <x:c r="D132" s="25" t="str">
        <x:v>2-06-08-01</x:v>
      </x:c>
      <x:c r="E132" s="25" t="str">
        <x:v>人力资源管理专业人员</x:v>
      </x:c>
      <x:c r="F132" s="28" t="n">
        <x:f>COUNTIF('岗位-产业节点关系'!$C$4:$C$709,B132)</x:f>
        <x:v>0</x:v>
      </x:c>
      <x:c r="G132" s="26" t="str">
        <x:f>IF(F132=0,"未匹配（现有产业链范围未覆盖或证据不足）",IF(COUNTIFS('岗位-产业节点关系'!$C$4:$C$709,B132,'岗位-产业节点关系'!$M$4:$M$709,"低")&gt;0,"已匹配，建议复核","已匹配"))</x:f>
        <x:v>未匹配（现有产业链范围未覆盖或证据不足）</x:v>
      </x:c>
      <x:c r="H132" s="26" t="str">
        <x:v>-</x:v>
      </x:c>
      <x:c r="I132" s="26" t="str"/>
      <x:c r="J132" s="26" t="str"/>
      <x:c r="K132" s="26" t="str">
        <x:v>HRBP（Human Resources Business Partner）是人力资源领域中一个至关重要的角色，它不仅连接了人力资源部门与业务部门之间的沟通桥梁，而且通过深度理解业务需求来提供定制化的人力资源解决方案，从…</x:v>
      </x:c>
      <x:c r="L132" s="26" t="str">
        <x:v>1. 负责制定并执行所支持业务单元的人力资源策略，确保与公司整体战略相一致，旨在提升团队效能和员工满意度。 2. 为直线经理提供关于招聘、培训发展、绩效管理和员工关系等方面的专业指导和支持，协助解决复杂的人事问题，促进团…</x:v>
      </x:c>
    </x:row>
    <x:row r="133" ht="72" customHeight="1">
      <x:c r="A133" s="25" t="n">
        <x:v>11025</x:v>
      </x:c>
      <x:c r="B133" s="25" t="str">
        <x:v>IC-L3-282</x:v>
      </x:c>
      <x:c r="C133" s="25" t="str">
        <x:v>人事专员</x:v>
      </x:c>
      <x:c r="D133" s="25" t="str">
        <x:v>2-06-08-01</x:v>
      </x:c>
      <x:c r="E133" s="25" t="str">
        <x:v>人力资源管理专业人员</x:v>
      </x:c>
      <x:c r="F133" s="28" t="n">
        <x:f>COUNTIF('岗位-产业节点关系'!$C$4:$C$709,B133)</x:f>
        <x:v>0</x:v>
      </x:c>
      <x:c r="G133" s="26" t="str">
        <x:f>IF(F133=0,"未匹配（现有产业链范围未覆盖或证据不足）",IF(COUNTIFS('岗位-产业节点关系'!$C$4:$C$709,B133,'岗位-产业节点关系'!$M$4:$M$709,"低")&gt;0,"已匹配，建议复核","已匹配"))</x:f>
        <x:v>未匹配（现有产业链范围未覆盖或证据不足）</x:v>
      </x:c>
      <x:c r="H133" s="26" t="str">
        <x:v>-</x:v>
      </x:c>
      <x:c r="I133" s="26" t="str"/>
      <x:c r="J133" s="26" t="str"/>
      <x:c r="K133" s="26" t="str">
        <x:v>人事专员是企业人力资源管理的重要组成部分，主要负责公司内部员工的招聘、培训、考核等事务，确保企业的人力资源得到有效管理和利用。作为连接管理层与员工之间的桥梁，人事专员不仅能够帮助企业建立完善的人才梯队，还能促进企业文化的…</x:v>
      </x:c>
      <x:c r="L133" s="26" t="str">
        <x:v>1. 负责公司招聘流程的实施，包括但不限于发布招聘信息、筛选简历、安排面试以及后续跟进，以确保及时高效地完成人员招募任务。 2. 组织开展新入职员工的岗前培训，确保每位员工都能快速熟悉公司文化及业务流程，顺利融入团队。 …</x:v>
      </x:c>
    </x:row>
    <x:row r="134" ht="72" customHeight="1">
      <x:c r="A134" s="25" t="n">
        <x:v>11026</x:v>
      </x:c>
      <x:c r="B134" s="25" t="str">
        <x:v>IC-L3-283</x:v>
      </x:c>
      <x:c r="C134" s="25" t="str">
        <x:v>人事主管</x:v>
      </x:c>
      <x:c r="D134" s="25" t="str">
        <x:v>2-06-08-01</x:v>
      </x:c>
      <x:c r="E134" s="25" t="str">
        <x:v>人力资源管理专业人员</x:v>
      </x:c>
      <x:c r="F134" s="28" t="n">
        <x:f>COUNTIF('岗位-产业节点关系'!$C$4:$C$709,B134)</x:f>
        <x:v>0</x:v>
      </x:c>
      <x:c r="G134" s="26" t="str">
        <x:f>IF(F134=0,"未匹配（现有产业链范围未覆盖或证据不足）",IF(COUNTIFS('岗位-产业节点关系'!$C$4:$C$709,B134,'岗位-产业节点关系'!$M$4:$M$709,"低")&gt;0,"已匹配，建议复核","已匹配"))</x:f>
        <x:v>未匹配（现有产业链范围未覆盖或证据不足）</x:v>
      </x:c>
      <x:c r="H134" s="26" t="str">
        <x:v>-</x:v>
      </x:c>
      <x:c r="I134" s="26" t="str"/>
      <x:c r="J134" s="26" t="str"/>
      <x:c r="K134" s="26" t="str">
        <x:v>人事主管是人事/行政行业中不可或缺的角色，负责组织的人力资源管理与开发，确保企业能够吸引、保留和发展优秀人才。作为连接管理层与员工之间的桥梁，人事主管不仅需要具备良好的沟通协调能力，还需要有敏锐的洞察力和创新思维，以适应…</x:v>
      </x:c>
      <x:c r="L134" s="26" t="str">
        <x:v>1. 制定并执行全面的人力资源计划，涵盖招聘选拔、员工培训、薪酬福利等方面，确保公司人力资源配置合理高效。 2. 组织开展员工绩效管理，建立公正透明的评价体系，激励员工积极工作，促进个人与组织的共同发展。 3. 负责处理…</x:v>
      </x:c>
    </x:row>
    <x:row r="135" ht="72" customHeight="1">
      <x:c r="A135" s="25" t="n">
        <x:v>11027</x:v>
      </x:c>
      <x:c r="B135" s="25" t="str">
        <x:v>IC-L3-284</x:v>
      </x:c>
      <x:c r="C135" s="25" t="str">
        <x:v>人事助理</x:v>
      </x:c>
      <x:c r="D135" s="25" t="str">
        <x:v>2-06-08-01</x:v>
      </x:c>
      <x:c r="E135" s="25" t="str">
        <x:v>人力资源管理专业人员</x:v>
      </x:c>
      <x:c r="F135" s="28" t="n">
        <x:f>COUNTIF('岗位-产业节点关系'!$C$4:$C$709,B135)</x:f>
        <x:v>0</x:v>
      </x:c>
      <x:c r="G135" s="26" t="str">
        <x:f>IF(F135=0,"未匹配（现有产业链范围未覆盖或证据不足）",IF(COUNTIFS('岗位-产业节点关系'!$C$4:$C$709,B135,'岗位-产业节点关系'!$M$4:$M$709,"低")&gt;0,"已匹配，建议复核","已匹配"))</x:f>
        <x:v>未匹配（现有产业链范围未覆盖或证据不足）</x:v>
      </x:c>
      <x:c r="H135" s="26" t="str">
        <x:v>-</x:v>
      </x:c>
      <x:c r="I135" s="26" t="str"/>
      <x:c r="J135" s="26" t="str"/>
      <x:c r="K135" s="26" t="str">
        <x:v>人事助理是人事/行政行业中不可或缺的角色之一，负责协助人力资源部门完成日常事务，确保公司内部的人力资源管理流程顺畅运行。通过提供高效的支持服务，人事助理不仅能够帮助员工解决工作生活中的实际问题，还能促进企业文化的建设与发…</x:v>
      </x:c>
      <x:c r="L135" s="26" t="str">
        <x:v>1. 协助完成招聘流程，包括筛选简历、安排面试、跟进候选人反馈，以确保招聘工作的高效有序进行。 2. 负责新员工入职手续办理，包括签订劳动合同、办理社保公积金等相关事宜，确保新员工顺利融入公司环境。 3. 组织并参与各类…</x:v>
      </x:c>
    </x:row>
    <x:row r="136" ht="72" customHeight="1">
      <x:c r="A136" s="25" t="n">
        <x:v>11028</x:v>
      </x:c>
      <x:c r="B136" s="25" t="str">
        <x:v>IC-L3-285</x:v>
      </x:c>
      <x:c r="C136" s="25" t="str">
        <x:v>人事总监</x:v>
      </x:c>
      <x:c r="D136" s="25" t="str">
        <x:v>2-06-08-01</x:v>
      </x:c>
      <x:c r="E136" s="25" t="str">
        <x:v>人力资源管理专业人员</x:v>
      </x:c>
      <x:c r="F136" s="28" t="n">
        <x:f>COUNTIF('岗位-产业节点关系'!$C$4:$C$709,B136)</x:f>
        <x:v>0</x:v>
      </x:c>
      <x:c r="G136" s="26" t="str">
        <x:f>IF(F136=0,"未匹配（现有产业链范围未覆盖或证据不足）",IF(COUNTIFS('岗位-产业节点关系'!$C$4:$C$709,B136,'岗位-产业节点关系'!$M$4:$M$709,"低")&gt;0,"已匹配，建议复核","已匹配"))</x:f>
        <x:v>未匹配（现有产业链范围未覆盖或证据不足）</x:v>
      </x:c>
      <x:c r="H136" s="26" t="str">
        <x:v>-</x:v>
      </x:c>
      <x:c r="I136" s="26" t="str"/>
      <x:c r="J136" s="26" t="str"/>
      <x:c r="K136" s="26" t="str">
        <x:v>人事总监是企业中不可或缺的关键角色之一，在人事/行政行业中占据着核心地位。作为连接管理层与员工之间的桥梁，人事总监负责制定并执行全面的人力资源战略，以确保公司能够吸引、保留和发展所需的人才，从而推动企业的长期发展。 人事…</x:v>
      </x:c>
      <x:c r="L136" s="26" t="str">
        <x:v>1. 制定并实施全面的人力资源策略和计划，以支持公司的业务目标，确保人力资源政策与公司战略相一致。 2. 负责招聘流程的设计与优化，包括但不限于职位分析、面试流程、候选人评估等环节，以提高招聘效率和质量。 3. 监督绩效…</x:v>
      </x:c>
    </x:row>
    <x:row r="137" ht="72" customHeight="1">
      <x:c r="A137" s="25" t="n">
        <x:v>11029</x:v>
      </x:c>
      <x:c r="B137" s="25" t="str">
        <x:v>IC-L3-286</x:v>
      </x:c>
      <x:c r="C137" s="25" t="str">
        <x:v>人事经理</x:v>
      </x:c>
      <x:c r="D137" s="25" t="str">
        <x:v>2-06-08-01</x:v>
      </x:c>
      <x:c r="E137" s="25" t="str">
        <x:v>人力资源管理专业人员</x:v>
      </x:c>
      <x:c r="F137" s="28" t="n">
        <x:f>COUNTIF('岗位-产业节点关系'!$C$4:$C$709,B137)</x:f>
        <x:v>0</x:v>
      </x:c>
      <x:c r="G137" s="26" t="str">
        <x:f>IF(F137=0,"未匹配（现有产业链范围未覆盖或证据不足）",IF(COUNTIFS('岗位-产业节点关系'!$C$4:$C$709,B137,'岗位-产业节点关系'!$M$4:$M$709,"低")&gt;0,"已匹配，建议复核","已匹配"))</x:f>
        <x:v>未匹配（现有产业链范围未覆盖或证据不足）</x:v>
      </x:c>
      <x:c r="H137" s="26" t="str">
        <x:v>-</x:v>
      </x:c>
      <x:c r="I137" s="26" t="str"/>
      <x:c r="J137" s="26" t="str"/>
      <x:c r="K137" s="26" t="str">
        <x:v>人事经理是人事/行政行业中不可或缺的角色，负责确保公司的人力资源政策、程序和实践符合法律要求并支持组织战略目标。作为人力资源部门的核心领导者，人事经理在员工招聘、培训与发展、绩效管理等方面发挥着关键作用，对于塑造积极的企…</x:v>
      </x:c>
      <x:c r="L137" s="26" t="str">
        <x:v>1. 制定并执行全面的人力资源战略，涵盖招聘、选拔、入职培训、绩效评估等多个方面，以满足公司当前及未来的人才需求。 2. 监督并完善公司薪酬福利体系，确保其公平合理且具有市场竞争力，同时控制成本，提高员工工作积极性。 3…</x:v>
      </x:c>
    </x:row>
    <x:row r="138" ht="72" customHeight="1">
      <x:c r="A138" s="25" t="n">
        <x:v>11030</x:v>
      </x:c>
      <x:c r="B138" s="25" t="str">
        <x:v>IC-L3-287</x:v>
      </x:c>
      <x:c r="C138" s="25" t="str">
        <x:v>人力资源信息系统专员</x:v>
      </x:c>
      <x:c r="D138" s="25" t="str">
        <x:v>2-06-08-01</x:v>
      </x:c>
      <x:c r="E138" s="25" t="str">
        <x:v>人力资源管理专业人员</x:v>
      </x:c>
      <x:c r="F138" s="28" t="n">
        <x:f>COUNTIF('岗位-产业节点关系'!$C$4:$C$709,B138)</x:f>
        <x:v>0</x:v>
      </x:c>
      <x:c r="G138" s="26" t="str">
        <x:f>IF(F138=0,"未匹配（现有产业链范围未覆盖或证据不足）",IF(COUNTIFS('岗位-产业节点关系'!$C$4:$C$709,B138,'岗位-产业节点关系'!$M$4:$M$709,"低")&gt;0,"已匹配，建议复核","已匹配"))</x:f>
        <x:v>未匹配（现有产业链范围未覆盖或证据不足）</x:v>
      </x:c>
      <x:c r="H138" s="26" t="str">
        <x:v>-</x:v>
      </x:c>
      <x:c r="I138" s="26" t="str"/>
      <x:c r="J138" s="26" t="str"/>
      <x:c r="K138" s="26" t="str">
        <x:v>人力资源信息系统专员是人事/行政行业中不可或缺的角色，主要负责公司内部的人力资源信息系统的管理与维护工作，确保系统高效运行，为企业提供准确、及时的人力资源数据支持。该职位通过优化流程、提高工作效率来实现人力资源管理的信息…</x:v>
      </x:c>
      <x:c r="L138" s="26" t="str">
        <x:v>1. 负责公司人力资源信息系统的日常运营维护，确保系统稳定可靠地运行，满足各部门对人力资源数据的需求。 2. 根据实际业务需求，定期对系统功能进行评估和改进，提出合理化建议并实施，以适应公司战略发展的要求。 3. 为用户…</x:v>
      </x:c>
    </x:row>
    <x:row r="139" ht="72" customHeight="1">
      <x:c r="A139" s="25" t="n">
        <x:v>11031</x:v>
      </x:c>
      <x:c r="B139" s="25" t="str">
        <x:v>IC-L3-288</x:v>
      </x:c>
      <x:c r="C139" s="25" t="str">
        <x:v>企业文化/员工关系/工会管理</x:v>
      </x:c>
      <x:c r="D139" s="25" t="str">
        <x:v>2-06-08-01</x:v>
      </x:c>
      <x:c r="E139" s="25" t="str">
        <x:v>人力资源管理专业人员</x:v>
      </x:c>
      <x:c r="F139" s="28" t="n">
        <x:f>COUNTIF('岗位-产业节点关系'!$C$4:$C$709,B139)</x:f>
        <x:v>0</x:v>
      </x:c>
      <x:c r="G139" s="26" t="str">
        <x:f>IF(F139=0,"未匹配（现有产业链范围未覆盖或证据不足）",IF(COUNTIFS('岗位-产业节点关系'!$C$4:$C$709,B139,'岗位-产业节点关系'!$M$4:$M$709,"低")&gt;0,"已匹配，建议复核","已匹配"))</x:f>
        <x:v>未匹配（现有产业链范围未覆盖或证据不足）</x:v>
      </x:c>
      <x:c r="H139" s="26" t="str">
        <x:v>-</x:v>
      </x:c>
      <x:c r="I139" s="26" t="str"/>
      <x:c r="J139" s="26" t="str"/>
      <x:c r="K139" s="26" t="str">
        <x:v>企业文化/员工关系/工会管理是人事/行政行业中不可或缺的一部分，它不仅关乎到企业文化的建设与传承，更直接关系到员工的满意度和企业的社会形象。该职位通过构建和谐的劳动关系、促进公平公正的企业文化氛围，能够有效提升员工的工作…</x:v>
      </x:c>
      <x:c r="L139" s="26" t="str">
        <x:v>1. 负责制定并实施企业文化的推广计划，确保所有员工都能理解并认同公司的核心价值观，增强团队凝聚力。 2. 定期组织员工活动，如团队建设、节日庆祝等，以增进同事间的交流沟通，营造良好的工作氛围。 3. 监督执行国家有关劳…</x:v>
      </x:c>
    </x:row>
    <x:row r="140" ht="72" customHeight="1">
      <x:c r="A140" s="25" t="n">
        <x:v>11032</x:v>
      </x:c>
      <x:c r="B140" s="25" t="str">
        <x:v>IC-L3-289</x:v>
      </x:c>
      <x:c r="C140" s="25" t="str">
        <x:v>劳务派遣专员</x:v>
      </x:c>
      <x:c r="D140" s="25" t="str">
        <x:v>2-06-08-01</x:v>
      </x:c>
      <x:c r="E140" s="25" t="str">
        <x:v>人力资源管理专业人员</x:v>
      </x:c>
      <x:c r="F140" s="28" t="n">
        <x:f>COUNTIF('岗位-产业节点关系'!$C$4:$C$709,B140)</x:f>
        <x:v>0</x:v>
      </x:c>
      <x:c r="G140" s="26" t="str">
        <x:f>IF(F140=0,"未匹配（现有产业链范围未覆盖或证据不足）",IF(COUNTIFS('岗位-产业节点关系'!$C$4:$C$709,B140,'岗位-产业节点关系'!$M$4:$M$709,"低")&gt;0,"已匹配，建议复核","已匹配"))</x:f>
        <x:v>未匹配（现有产业链范围未覆盖或证据不足）</x:v>
      </x:c>
      <x:c r="H140" s="26" t="str">
        <x:v>-</x:v>
      </x:c>
      <x:c r="I140" s="26" t="str"/>
      <x:c r="J140" s="26" t="str"/>
      <x:c r="K140" s="26" t="str">
        <x:v>劳务派遣专员是人事/行政行业中不可或缺的角色，其工作直接影响到企业的人力资源配置效率与合规性。通过专业的派遣服务，该职位不仅能够帮助企业解决短期或项目性的人力需求问题，还能够在一定程度上降低企业的用工风险，提高人力资源管…</x:v>
      </x:c>
      <x:c r="L140" s="26" t="str">
        <x:v>1. 负责与用人单位沟通了解具体用人需求，制定合理的派遣计划并组织实施。 2. 对派遣前后的员工进行必要的岗前培训及后续跟踪服务，确保其快速融入新环境。 3. 定期收集分析派遣员工的工作表现数据，评估派遣效果并向管理层汇…</x:v>
      </x:c>
    </x:row>
    <x:row r="141" ht="72" customHeight="1">
      <x:c r="A141" s="25" t="n">
        <x:v>11033</x:v>
      </x:c>
      <x:c r="B141" s="25" t="str">
        <x:v>IC-L3-290</x:v>
      </x:c>
      <x:c r="C141" s="25" t="str">
        <x:v>培训专员/助理/培训师</x:v>
      </x:c>
      <x:c r="D141" s="25" t="str">
        <x:v>4-07-03-05</x:v>
      </x:c>
      <x:c r="E141" s="25" t="str">
        <x:v>职业培训师</x:v>
      </x:c>
      <x:c r="F141" s="28" t="n">
        <x:f>COUNTIF('岗位-产业节点关系'!$C$4:$C$709,B141)</x:f>
        <x:v>0</x:v>
      </x:c>
      <x:c r="G141" s="26" t="str">
        <x:f>IF(F141=0,"未匹配（现有产业链范围未覆盖或证据不足）",IF(COUNTIFS('岗位-产业节点关系'!$C$4:$C$709,B141,'岗位-产业节点关系'!$M$4:$M$709,"低")&gt;0,"已匹配，建议复核","已匹配"))</x:f>
        <x:v>未匹配（现有产业链范围未覆盖或证据不足）</x:v>
      </x:c>
      <x:c r="H141" s="26" t="str">
        <x:v>-</x:v>
      </x:c>
      <x:c r="I141" s="26" t="str"/>
      <x:c r="J141" s="26" t="str"/>
      <x:c r="K141" s="26" t="str">
        <x:v>培训专员/助理/培训师是人事/行政行业中不可或缺的角色，他们专注于员工的职业发展和个人成长，通过设计和实施有效的培训计划，确保公司的人才储备和发展战略相匹配。这一职位不仅促进了员工技能的提升，还加强了组织文化，提高了员工…</x:v>
      </x:c>
      <x:c r="L141" s="26" t="str">
        <x:v>1. 设计并执行各类培训项目，覆盖新员工入职培训、在职员工技能提升以及管理层领导力开发等多个方面，确保培训内容符合公司业务需求和发展目标。 2. 负责培训资源的整合与管理，包括内部讲师队伍的建设和外部培训机构的选择，确保…</x:v>
      </x:c>
    </x:row>
    <x:row r="142" ht="72" customHeight="1">
      <x:c r="A142" s="25" t="n">
        <x:v>11034</x:v>
      </x:c>
      <x:c r="B142" s="25" t="str">
        <x:v>IC-L3-291</x:v>
      </x:c>
      <x:c r="C142" s="25" t="str">
        <x:v>培训经理/主管</x:v>
      </x:c>
      <x:c r="D142" s="25" t="str">
        <x:v>4-07-03-05</x:v>
      </x:c>
      <x:c r="E142" s="25" t="str">
        <x:v>职业培训师</x:v>
      </x:c>
      <x:c r="F142" s="28" t="n">
        <x:f>COUNTIF('岗位-产业节点关系'!$C$4:$C$709,B142)</x:f>
        <x:v>0</x:v>
      </x:c>
      <x:c r="G142" s="26" t="str">
        <x:f>IF(F142=0,"未匹配（现有产业链范围未覆盖或证据不足）",IF(COUNTIFS('岗位-产业节点关系'!$C$4:$C$709,B142,'岗位-产业节点关系'!$M$4:$M$709,"低")&gt;0,"已匹配，建议复核","已匹配"))</x:f>
        <x:v>未匹配（现有产业链范围未覆盖或证据不足）</x:v>
      </x:c>
      <x:c r="H142" s="26" t="str">
        <x:v>-</x:v>
      </x:c>
      <x:c r="I142" s="26" t="str"/>
      <x:c r="J142" s="26" t="str"/>
      <x:c r="K142" s="26" t="str">
        <x:v>培训经理/主管在人事/行政行业中扮演着至关重要的角色。作为企业人才发展的核心推动者，他们负责设计、实施并评估员工培训项目，以确保组织具备应对市场变化所需的知识与技能。通过持续优化培训体系，培训经理/主管不仅能够提升员工个…</x:v>
      </x:c>
      <x:c r="L142" s="26" t="str">
        <x:v>1. 负责制定年度培训计划，结合公司发展战略和员工需求，确定培训主题、形式及预算，确保培训活动的有效开展。 2. 组织实施各类培训课程，包括新员工入职培训、在职员工技能提升培训以及管理层领导力发展培训，监督培训过程，确保…</x:v>
      </x:c>
    </x:row>
    <x:row r="143" ht="72" customHeight="1">
      <x:c r="A143" s="25" t="n">
        <x:v>11035</x:v>
      </x:c>
      <x:c r="B143" s="25" t="str">
        <x:v>IC-L3-292</x:v>
      </x:c>
      <x:c r="C143" s="25" t="str">
        <x:v>招聘专员/助理</x:v>
      </x:c>
      <x:c r="D143" s="25" t="str">
        <x:v>2-06-08-01</x:v>
      </x:c>
      <x:c r="E143" s="25" t="str">
        <x:v>人力资源管理专业人员</x:v>
      </x:c>
      <x:c r="F143" s="28" t="n">
        <x:f>COUNTIF('岗位-产业节点关系'!$C$4:$C$709,B143)</x:f>
        <x:v>0</x:v>
      </x:c>
      <x:c r="G143" s="26" t="str">
        <x:f>IF(F143=0,"未匹配（现有产业链范围未覆盖或证据不足）",IF(COUNTIFS('岗位-产业节点关系'!$C$4:$C$709,B143,'岗位-产业节点关系'!$M$4:$M$709,"低")&gt;0,"已匹配，建议复核","已匹配"))</x:f>
        <x:v>未匹配（现有产业链范围未覆盖或证据不足）</x:v>
      </x:c>
      <x:c r="H143" s="26" t="str">
        <x:v>-</x:v>
      </x:c>
      <x:c r="I143" s="26" t="str"/>
      <x:c r="J143" s="26" t="str"/>
      <x:c r="K143" s="26" t="str">
        <x:v>招聘专员/助理是人事/行政行业中不可或缺的角色，他们负责组织与实施企业的招聘活动，确保企业能够吸引并选拔合适的人才，对于构建高效能的团队至关重要。通过精准地匹配岗位需求与人才供给，招聘专员/助理不仅能够帮助企业降低员工流…</x:v>
      </x:c>
      <x:c r="L143" s="26" t="str">
        <x:v>1. 负责制定并执行年度招聘计划，根据各部门的人力资源需求，定期发布招聘信息，确保及时有效地填补空缺职位。 2. 与用人部门紧密配合，深入了解其业务特点及用人标准，准确把握岗位要求，筛选简历，初步面试候选人，推荐优秀人才…</x:v>
      </x:c>
    </x:row>
    <x:row r="144" ht="72" customHeight="1">
      <x:c r="A144" s="25" t="n">
        <x:v>11036</x:v>
      </x:c>
      <x:c r="B144" s="25" t="str">
        <x:v>IC-L3-293</x:v>
      </x:c>
      <x:c r="C144" s="25" t="str">
        <x:v>招聘经理/主管</x:v>
      </x:c>
      <x:c r="D144" s="25" t="str">
        <x:v>2-06-08-01</x:v>
      </x:c>
      <x:c r="E144" s="25" t="str">
        <x:v>人力资源管理专业人员</x:v>
      </x:c>
      <x:c r="F144" s="28" t="n">
        <x:f>COUNTIF('岗位-产业节点关系'!$C$4:$C$709,B144)</x:f>
        <x:v>0</x:v>
      </x:c>
      <x:c r="G144" s="26" t="str">
        <x:f>IF(F144=0,"未匹配（现有产业链范围未覆盖或证据不足）",IF(COUNTIFS('岗位-产业节点关系'!$C$4:$C$709,B144,'岗位-产业节点关系'!$M$4:$M$709,"低")&gt;0,"已匹配，建议复核","已匹配"))</x:f>
        <x:v>未匹配（现有产业链范围未覆盖或证据不足）</x:v>
      </x:c>
      <x:c r="H144" s="26" t="str">
        <x:v>-</x:v>
      </x:c>
      <x:c r="I144" s="26" t="str"/>
      <x:c r="J144" s="26" t="str"/>
      <x:c r="K144" s="26" t="str">
        <x:v>招聘经理/主管是企业人力资源管理中不可或缺的关键角色，负责构建高效的人才获取体系，确保公司能够吸引并留住最优秀的人才资源。该职位通过制定和执行有效的招聘策略与流程，不仅能够满足组织当前的人力需求，还能够为未来的业务发展打…</x:v>
      </x:c>
      <x:c r="L144" s="26" t="str">
        <x:v>1. 制定并实施全面的招聘计划，覆盖从需求分析到候选人入职的整个流程，以确保按时按质完成招聘任务。 2. 与各部门负责人沟通，明确岗位要求，协助设计职位描述及任职资格，提高招聘广告的吸引力和准确性。 3. 管理并维护招聘…</x:v>
      </x:c>
    </x:row>
    <x:row r="145" ht="72" customHeight="1">
      <x:c r="A145" s="25" t="n">
        <x:v>11037</x:v>
      </x:c>
      <x:c r="B145" s="25" t="str">
        <x:v>IC-L3-294</x:v>
      </x:c>
      <x:c r="C145" s="25" t="str">
        <x:v>绩效考核专员/助理</x:v>
      </x:c>
      <x:c r="D145" s="25" t="str">
        <x:v>2-06-08-01</x:v>
      </x:c>
      <x:c r="E145" s="25" t="str">
        <x:v>人力资源管理专业人员</x:v>
      </x:c>
      <x:c r="F145" s="28" t="n">
        <x:f>COUNTIF('岗位-产业节点关系'!$C$4:$C$709,B145)</x:f>
        <x:v>0</x:v>
      </x:c>
      <x:c r="G145" s="26" t="str">
        <x:f>IF(F145=0,"未匹配（现有产业链范围未覆盖或证据不足）",IF(COUNTIFS('岗位-产业节点关系'!$C$4:$C$709,B145,'岗位-产业节点关系'!$M$4:$M$709,"低")&gt;0,"已匹配，建议复核","已匹配"))</x:f>
        <x:v>未匹配（现有产业链范围未覆盖或证据不足）</x:v>
      </x:c>
      <x:c r="H145" s="26" t="str">
        <x:v>-</x:v>
      </x:c>
      <x:c r="I145" s="26" t="str"/>
      <x:c r="J145" s="26" t="str"/>
      <x:c r="K145" s="26" t="str">
        <x:v>绩效考核专员/助理是企业人力资源管理中不可或缺的角色，负责制定和实施员工绩效评估体系，确保公司能够公平、客观地评价员工表现，促进个人与组织的共同发展。作为绩效考核专员/助理，其核心目标在于建立和完善绩效管理体系，通过定期…</x:v>
      </x:c>
      <x:c r="L145" s="26" t="str">
        <x:v>1. 负责设计并优化绩效考核制度，确保其符合公司战略目标及业务需求。 2. 组织实施绩效评估流程，包括收集数据、分析结果、撰写报告等，确保评估过程公正透明。 3. 定期与各部门沟通交流，了解绩效管理现状，提出改进建议，帮…</x:v>
      </x:c>
    </x:row>
    <x:row r="146" ht="72" customHeight="1">
      <x:c r="A146" s="25" t="n">
        <x:v>11038</x:v>
      </x:c>
      <x:c r="B146" s="25" t="str">
        <x:v>IC-L3-295</x:v>
      </x:c>
      <x:c r="C146" s="25" t="str">
        <x:v>绩效考核经理/主管</x:v>
      </x:c>
      <x:c r="D146" s="25" t="str">
        <x:v>2-06-08-01</x:v>
      </x:c>
      <x:c r="E146" s="25" t="str">
        <x:v>人力资源管理专业人员</x:v>
      </x:c>
      <x:c r="F146" s="28" t="n">
        <x:f>COUNTIF('岗位-产业节点关系'!$C$4:$C$709,B146)</x:f>
        <x:v>0</x:v>
      </x:c>
      <x:c r="G146" s="26" t="str">
        <x:f>IF(F146=0,"未匹配（现有产业链范围未覆盖或证据不足）",IF(COUNTIFS('岗位-产业节点关系'!$C$4:$C$709,B146,'岗位-产业节点关系'!$M$4:$M$709,"低")&gt;0,"已匹配，建议复核","已匹配"))</x:f>
        <x:v>未匹配（现有产业链范围未覆盖或证据不足）</x:v>
      </x:c>
      <x:c r="H146" s="26" t="str">
        <x:v>-</x:v>
      </x:c>
      <x:c r="I146" s="26" t="str"/>
      <x:c r="J146" s="26" t="str"/>
      <x:c r="K146" s="26" t="str">
        <x:v>绩效考核经理/主管是企业中不可或缺的关键角色，负责构建和完善公司绩效管理体系，确保组织目标与个人目标相一致。通过科学合理的绩效评估体系，该职位不仅能够促进员工个人能力的提升，还能有效推动公司战略目标的实现，为企业带来持续…</x:v>
      </x:c>
      <x:c r="L146" s="26" t="str">
        <x:v>1. 制定并实施全面的绩效管理制度，覆盖所有层级员工，确保制度的公平性与激励性，以提高整体工作效率。 2. 定期收集、分析绩效数据，识别绩效问题及潜在风险，提出改进措施，指导各部门进行绩效辅导与反馈，帮助员工达成业绩目标…</x:v>
      </x:c>
    </x:row>
    <x:row r="147" ht="72" customHeight="1">
      <x:c r="A147" s="25" t="n">
        <x:v>11039</x:v>
      </x:c>
      <x:c r="B147" s="25" t="str">
        <x:v>IC-L3-296</x:v>
      </x:c>
      <x:c r="C147" s="25" t="str">
        <x:v>薪资福利专员/助理</x:v>
      </x:c>
      <x:c r="D147" s="25" t="str">
        <x:v>2-06-08-01</x:v>
      </x:c>
      <x:c r="E147" s="25" t="str">
        <x:v>人力资源管理专业人员</x:v>
      </x:c>
      <x:c r="F147" s="28" t="n">
        <x:f>COUNTIF('岗位-产业节点关系'!$C$4:$C$709,B147)</x:f>
        <x:v>0</x:v>
      </x:c>
      <x:c r="G147" s="26" t="str">
        <x:f>IF(F147=0,"未匹配（现有产业链范围未覆盖或证据不足）",IF(COUNTIFS('岗位-产业节点关系'!$C$4:$C$709,B147,'岗位-产业节点关系'!$M$4:$M$709,"低")&gt;0,"已匹配，建议复核","已匹配"))</x:f>
        <x:v>未匹配（现有产业链范围未覆盖或证据不足）</x:v>
      </x:c>
      <x:c r="H147" s="26" t="str">
        <x:v>-</x:v>
      </x:c>
      <x:c r="I147" s="26" t="str"/>
      <x:c r="J147" s="26" t="str"/>
      <x:c r="K147" s="26" t="str">
        <x:v>薪资福利专员/助理是人事/行政行业中不可或缺的专业人才，负责确保员工薪酬体系的公平性与竞争力，维护良好的员工关系，同时提高组织的人力资源管理水平。在公司内部，薪资福利专员/助理通过制定和执行有效的薪资福利政策，不仅能够吸…</x:v>
      </x:c>
      <x:c r="L147" s="26" t="str">
        <x:v>薪资福利专员/助理的主要职责包括：1) 负责薪资结构设计、薪资计算与发放，确保准确性与及时性；2) 管理员工福利计划，包括但不限于保险、休假、员工关怀项目等；3) 跟踪并解读最新的劳动法规，确保公司政策合规；4) 协助处…</x:v>
      </x:c>
    </x:row>
    <x:row r="148" ht="72" customHeight="1">
      <x:c r="A148" s="25" t="n">
        <x:v>11040</x:v>
      </x:c>
      <x:c r="B148" s="25" t="str">
        <x:v>IC-L3-297</x:v>
      </x:c>
      <x:c r="C148" s="25" t="str">
        <x:v>薪资福利经理/主管</x:v>
      </x:c>
      <x:c r="D148" s="25" t="str">
        <x:v>2-06-08-01</x:v>
      </x:c>
      <x:c r="E148" s="25" t="str">
        <x:v>人力资源管理专业人员</x:v>
      </x:c>
      <x:c r="F148" s="28" t="n">
        <x:f>COUNTIF('岗位-产业节点关系'!$C$4:$C$709,B148)</x:f>
        <x:v>0</x:v>
      </x:c>
      <x:c r="G148" s="26" t="str">
        <x:f>IF(F148=0,"未匹配（现有产业链范围未覆盖或证据不足）",IF(COUNTIFS('岗位-产业节点关系'!$C$4:$C$709,B148,'岗位-产业节点关系'!$M$4:$M$709,"低")&gt;0,"已匹配，建议复核","已匹配"))</x:f>
        <x:v>未匹配（现有产业链范围未覆盖或证据不足）</x:v>
      </x:c>
      <x:c r="H148" s="26" t="str">
        <x:v>-</x:v>
      </x:c>
      <x:c r="I148" s="26" t="str"/>
      <x:c r="J148" s="26" t="str"/>
      <x:c r="K148" s="26" t="str">
        <x:v>薪资福利经理/主管是人事/行政行业中不可或缺的关键角色，主要负责制定并实施公司的薪酬与福利策略，确保其既能吸引和保留人才，又能符合公司财务状况及业务发展需求。作为企业人力资源体系的重要组成部分，该职位不仅需要具备深厚的行…</x:v>
      </x:c>
      <x:c r="L148" s="26" t="str">
        <x:v>1. 制定并执行全面的薪酬福利方案，涵盖基本工资、奖金、保险、假期等多个方面，旨在建立公正合理的激励机制，激发员工工作热情。 2. 定期进行市场调研，分析同行业薪酬水平，调整公司薪酬结构，确保竞争力；同时，监控内部公平性…</x:v>
      </x:c>
    </x:row>
    <x:row r="149" ht="72" customHeight="1">
      <x:c r="A149" s="25" t="n">
        <x:v>11041</x:v>
      </x:c>
      <x:c r="B149" s="25" t="str">
        <x:v>IC-L3-298</x:v>
      </x:c>
      <x:c r="C149" s="25" t="str">
        <x:v>党工团干事</x:v>
      </x:c>
      <x:c r="D149" s="25" t="str">
        <x:v>3-01-02-01</x:v>
      </x:c>
      <x:c r="E149" s="25" t="str">
        <x:v>机要员</x:v>
      </x:c>
      <x:c r="F149" s="28" t="n">
        <x:f>COUNTIF('岗位-产业节点关系'!$C$4:$C$709,B149)</x:f>
        <x:v>0</x:v>
      </x:c>
      <x:c r="G149" s="26" t="str">
        <x:f>IF(F149=0,"未匹配（现有产业链范围未覆盖或证据不足）",IF(COUNTIFS('岗位-产业节点关系'!$C$4:$C$709,B149,'岗位-产业节点关系'!$M$4:$M$709,"低")&gt;0,"已匹配，建议复核","已匹配"))</x:f>
        <x:v>未匹配（现有产业链范围未覆盖或证据不足）</x:v>
      </x:c>
      <x:c r="H149" s="26" t="str">
        <x:v>-</x:v>
      </x:c>
      <x:c r="I149" s="26" t="str"/>
      <x:c r="J149" s="26" t="str"/>
      <x:c r="K149" s="26" t="str">
        <x:v>党工团干事是人事/行政领域中不可或缺的角色，负责协调和组织党务、工会及共青团等各类活动，确保企业内部文化建设与国家政策导向相一致。通过维护良好的员工关系，促进企业文化建设，增强团队凝聚力，为公司营造积极向上的工作氛围。此…</x:v>
      </x:c>
      <x:c r="L149" s="26" t="str">
        <x:v>1. 负责制定并执行年度党工团工作计划，确保各项活动符合党和国家的方针政策要求，同时满足企业发展的实际需求。 2. 组织开展形式多样的党工团活动，如主题党日、志愿者服务、文体比赛等，以丰富员工业余生活，提升团队士气。 3…</x:v>
      </x:c>
    </x:row>
    <x:row r="150" ht="72" customHeight="1">
      <x:c r="A150" s="25" t="n">
        <x:v>11042</x:v>
      </x:c>
      <x:c r="B150" s="25" t="str">
        <x:v>IC-L3-299</x:v>
      </x:c>
      <x:c r="C150" s="25" t="str">
        <x:v>党建/党群/党务人员</x:v>
      </x:c>
      <x:c r="D150" s="25" t="str">
        <x:v>3-01-02-01</x:v>
      </x:c>
      <x:c r="E150" s="25" t="str">
        <x:v>机要员</x:v>
      </x:c>
      <x:c r="F150" s="28" t="n">
        <x:f>COUNTIF('岗位-产业节点关系'!$C$4:$C$709,B150)</x:f>
        <x:v>0</x:v>
      </x:c>
      <x:c r="G150" s="26" t="str">
        <x:f>IF(F150=0,"未匹配（现有产业链范围未覆盖或证据不足）",IF(COUNTIFS('岗位-产业节点关系'!$C$4:$C$709,B150,'岗位-产业节点关系'!$M$4:$M$709,"低")&gt;0,"已匹配，建议复核","已匹配"))</x:f>
        <x:v>未匹配（现有产业链范围未覆盖或证据不足）</x:v>
      </x:c>
      <x:c r="H150" s="26" t="str">
        <x:v>-</x:v>
      </x:c>
      <x:c r="I150" s="26" t="str"/>
      <x:c r="J150" s="26" t="str"/>
      <x:c r="K150" s="26" t="str">
        <x:v>党建/党群/党务人员是人事/行政领域中不可或缺的角色，主要负责组织和实施党组织活动，确保党的路线方针政策在企业中的贯彻落实，促进企业文化建设与党建工作融合发展，提高员工的思想政治素质和道德水平，增强企业的凝聚力和战斗力。…</x:v>
      </x:c>
      <x:c r="L150" s="26" t="str">
        <x:v>1. 负责制定并执行公司年度党建工作计划，确保各项活动有序开展，达到预期效果。 2. 组织召开党员大会、支部会议等各类党内会议，做好会议记录及纪要整理工作，保证信息传达准确无误。 3. 开展形式多样的党员教育培训，如专题…</x:v>
      </x:c>
    </x:row>
    <x:row r="151" ht="72" customHeight="1">
      <x:c r="A151" s="25" t="n">
        <x:v>11043</x:v>
      </x:c>
      <x:c r="B151" s="25" t="str">
        <x:v>IC-L3-300</x:v>
      </x:c>
      <x:c r="C151" s="25" t="str">
        <x:v>前台接待/总机/接待生</x:v>
      </x:c>
      <x:c r="D151" s="25" t="str">
        <x:v>3-01-02-01</x:v>
      </x:c>
      <x:c r="E151" s="25" t="str">
        <x:v>机要员</x:v>
      </x:c>
      <x:c r="F151" s="28" t="n">
        <x:f>COUNTIF('岗位-产业节点关系'!$C$4:$C$709,B151)</x:f>
        <x:v>0</x:v>
      </x:c>
      <x:c r="G151" s="26" t="str">
        <x:f>IF(F151=0,"未匹配（现有产业链范围未覆盖或证据不足）",IF(COUNTIFS('岗位-产业节点关系'!$C$4:$C$709,B151,'岗位-产业节点关系'!$M$4:$M$709,"低")&gt;0,"已匹配，建议复核","已匹配"))</x:f>
        <x:v>未匹配（现有产业链范围未覆盖或证据不足）</x:v>
      </x:c>
      <x:c r="H151" s="26" t="str">
        <x:v>-</x:v>
      </x:c>
      <x:c r="I151" s="26" t="str"/>
      <x:c r="J151" s="26" t="str"/>
      <x:c r="K151" s="26" t="str">
        <x:v>前台接待/总机/接待生是公司形象的第一窗口，对于营造良好的企业氛围起着至关重要的作用。该职位不仅是来访者的第一印象，也是员工日常工作的起点，因此要求具备优秀的沟通能力和细致的服务意识。通过热情周到的服务，不仅能够提升公司…</x:v>
      </x:c>
      <x:c r="L151" s="26" t="str">
        <x:v>1. 负责接听电话并准确转接至相关部门或个人，确保信息传递无误，提高工作效率。 2. 热情迎接每一位来访客人，登记来访信息，指引其前往相应地点，展现公司良好形象。 3. 定期检查办公区域内的公共设施（如饮水机、打印机等）…</x:v>
      </x:c>
    </x:row>
    <x:row r="152" ht="72" customHeight="1">
      <x:c r="A152" s="25" t="n">
        <x:v>11044</x:v>
      </x:c>
      <x:c r="B152" s="25" t="str">
        <x:v>IC-L3-301</x:v>
      </x:c>
      <x:c r="C152" s="25" t="str">
        <x:v>后勤</x:v>
      </x:c>
      <x:c r="D152" s="25" t="str">
        <x:v>3-01-02-01</x:v>
      </x:c>
      <x:c r="E152" s="25" t="str">
        <x:v>机要员</x:v>
      </x:c>
      <x:c r="F152" s="28" t="n">
        <x:f>COUNTIF('岗位-产业节点关系'!$C$4:$C$709,B152)</x:f>
        <x:v>0</x:v>
      </x:c>
      <x:c r="G152" s="26" t="str">
        <x:f>IF(F152=0,"未匹配（现有产业链范围未覆盖或证据不足）",IF(COUNTIFS('岗位-产业节点关系'!$C$4:$C$709,B152,'岗位-产业节点关系'!$M$4:$M$709,"低")&gt;0,"已匹配，建议复核","已匹配"))</x:f>
        <x:v>未匹配（现有产业链范围未覆盖或证据不足）</x:v>
      </x:c>
      <x:c r="H152" s="26" t="str">
        <x:v>-</x:v>
      </x:c>
      <x:c r="I152" s="26" t="str"/>
      <x:c r="J152" s="26" t="str"/>
      <x:c r="K152" s="26" t="str">
        <x:v>后勤岗位在人事/行政行业中扮演着至关重要的角色。作为企业内部运作的支持系统，后勤人员负责确保公司日常运营的顺畅进行，为员工提供一个舒适、高效的工作环境，从而间接提升企业的整体生产力和竞争力。 后勤岗位的核心目标是通过优化…</x:v>
      </x:c>
      <x:c r="L152" s="26" t="str">
        <x:v>1. 负责办公用品的采购计划制定与执行，确保库存充足并合理控制成本。 2. 定期检查维护公司各类固定资产（如电脑、打印机等），及时报修损坏设备，保证其正常运行。 3. 组织安排员工活动及会议，包括场地预定、物资准备等工作…</x:v>
      </x:c>
    </x:row>
    <x:row r="153" ht="72" customHeight="1">
      <x:c r="A153" s="25" t="n">
        <x:v>11045</x:v>
      </x:c>
      <x:c r="B153" s="25" t="str">
        <x:v>IC-L3-302</x:v>
      </x:c>
      <x:c r="C153" s="25" t="str">
        <x:v>经理助理/秘书</x:v>
      </x:c>
      <x:c r="D153" s="25" t="str">
        <x:v>3-01-02-02</x:v>
      </x:c>
      <x:c r="E153" s="25" t="str">
        <x:v>秘书</x:v>
      </x:c>
      <x:c r="F153" s="28" t="n">
        <x:f>COUNTIF('岗位-产业节点关系'!$C$4:$C$709,B153)</x:f>
        <x:v>0</x:v>
      </x:c>
      <x:c r="G153" s="26" t="str">
        <x:f>IF(F153=0,"未匹配（现有产业链范围未覆盖或证据不足）",IF(COUNTIFS('岗位-产业节点关系'!$C$4:$C$709,B153,'岗位-产业节点关系'!$M$4:$M$709,"低")&gt;0,"已匹配，建议复核","已匹配"))</x:f>
        <x:v>未匹配（现有产业链范围未覆盖或证据不足）</x:v>
      </x:c>
      <x:c r="H153" s="26" t="str">
        <x:v>-</x:v>
      </x:c>
      <x:c r="I153" s="26" t="str"/>
      <x:c r="J153" s="26" t="str"/>
      <x:c r="K153" s="26" t="str">
        <x:v>经理助理/秘书是人事/行政领域中不可或缺的角色，主要负责支持高级管理层高效运作，确保日常管理工作的顺利进行。作为公司与外部沟通的重要桥梁，该职位不仅需要具备优秀的文字处理能力和协调能力，还需要拥有良好的职业道德和服务意识…</x:v>
      </x:c>
      <x:c r="L153" s="26" t="str">
        <x:v>1. 负责起草并审核各类文件资料，包括但不限于报告、通知、邮件等，确保信息准确无误，传达及时有效。 2. 协助上级领导处理日常行政事务，例如会议安排、来访接待、行程预订等，保证各项工作的有序进行。 3. 组织并参与公司内…</x:v>
      </x:c>
    </x:row>
    <x:row r="154" ht="72" customHeight="1">
      <x:c r="A154" s="25" t="n">
        <x:v>11046</x:v>
      </x:c>
      <x:c r="B154" s="25" t="str">
        <x:v>IC-L3-303</x:v>
      </x:c>
      <x:c r="C154" s="25" t="str">
        <x:v>行政专员/助理</x:v>
      </x:c>
      <x:c r="D154" s="25" t="str">
        <x:v>3-01-02-01</x:v>
      </x:c>
      <x:c r="E154" s="25" t="str">
        <x:v>机要员</x:v>
      </x:c>
      <x:c r="F154" s="28" t="n">
        <x:f>COUNTIF('岗位-产业节点关系'!$C$4:$C$709,B154)</x:f>
        <x:v>0</x:v>
      </x:c>
      <x:c r="G154" s="26" t="str">
        <x:f>IF(F154=0,"未匹配（现有产业链范围未覆盖或证据不足）",IF(COUNTIFS('岗位-产业节点关系'!$C$4:$C$709,B154,'岗位-产业节点关系'!$M$4:$M$709,"低")&gt;0,"已匹配，建议复核","已匹配"))</x:f>
        <x:v>未匹配（现有产业链范围未覆盖或证据不足）</x:v>
      </x:c>
      <x:c r="H154" s="26" t="str">
        <x:v>-</x:v>
      </x:c>
      <x:c r="I154" s="26" t="str"/>
      <x:c r="J154" s="26" t="str"/>
      <x:c r="K154" s="26" t="str">
        <x:v>行政专员/助理是人事/行政行业中不可或缺的角色，负责支持公司日常运营的顺利进行。通过处理行政事务、维护办公环境以及协调内外部资源，行政专员/助理确保了公司内部流程的高效运转与员工工作环境的舒适度。在团队中，行政专员/助理…</x:v>
      </x:c>
      <x:c r="L154" s="26" t="str">
        <x:v>1. 负责公司各类文件资料的整理归档工作，确保档案资料的安全完整及便于检索利用。 2. 协助组织并执行各类会议活动，从前期准备到后期总结，保证会议效果达到预期目的。 3. 管理办公用品的采购与分发，定期盘点库存，控制成本…</x:v>
      </x:c>
    </x:row>
    <x:row r="155" ht="72" customHeight="1">
      <x:c r="A155" s="25" t="n">
        <x:v>11047</x:v>
      </x:c>
      <x:c r="B155" s="25" t="str">
        <x:v>IC-L3-304</x:v>
      </x:c>
      <x:c r="C155" s="25" t="str">
        <x:v>行政总监</x:v>
      </x:c>
      <x:c r="D155" s="25" t="str">
        <x:v>3-01-02-01</x:v>
      </x:c>
      <x:c r="E155" s="25" t="str">
        <x:v>机要员</x:v>
      </x:c>
      <x:c r="F155" s="28" t="n">
        <x:f>COUNTIF('岗位-产业节点关系'!$C$4:$C$709,B155)</x:f>
        <x:v>0</x:v>
      </x:c>
      <x:c r="G155" s="26" t="str">
        <x:f>IF(F155=0,"未匹配（现有产业链范围未覆盖或证据不足）",IF(COUNTIFS('岗位-产业节点关系'!$C$4:$C$709,B155,'岗位-产业节点关系'!$M$4:$M$709,"低")&gt;0,"已匹配，建议复核","已匹配"))</x:f>
        <x:v>未匹配（现有产业链范围未覆盖或证据不足）</x:v>
      </x:c>
      <x:c r="H155" s="26" t="str">
        <x:v>-</x:v>
      </x:c>
      <x:c r="I155" s="26" t="str"/>
      <x:c r="J155" s="26" t="str"/>
      <x:c r="K155" s="26" t="str">
        <x:v>行政总监是人事/行政行业中不可或缺的关键角色，负责确保公司日常运营的高效与顺畅。通过制定并执行行政管理策略，该职位能够显著提升组织效能，同时为员工创造一个舒适、安全的工作环境，从而促进企业文化的建设与发展。作为行政部门的…</x:v>
      </x:c>
      <x:c r="L155" s="26" t="str">
        <x:v>1. 负责全面规划和实施公司的行政管理体系，确保各项规章制度得到有效执行，旨在提高工作效率和服务质量。 2. 监督办公设施及物资的采购与维护工作，合理控制成本开支，保证办公环境整洁有序，满足员工日常工作需求。 3. 组织…</x:v>
      </x:c>
    </x:row>
    <x:row r="156" ht="72" customHeight="1">
      <x:c r="A156" s="25" t="n">
        <x:v>11048</x:v>
      </x:c>
      <x:c r="B156" s="25" t="str">
        <x:v>IC-L3-305</x:v>
      </x:c>
      <x:c r="C156" s="25" t="str">
        <x:v>行政经理/主管/办公室主任</x:v>
      </x:c>
      <x:c r="D156" s="25" t="str">
        <x:v>3-01-02-01</x:v>
      </x:c>
      <x:c r="E156" s="25" t="str">
        <x:v>机要员</x:v>
      </x:c>
      <x:c r="F156" s="28" t="n">
        <x:f>COUNTIF('岗位-产业节点关系'!$C$4:$C$709,B156)</x:f>
        <x:v>0</x:v>
      </x:c>
      <x:c r="G156" s="26" t="str">
        <x:f>IF(F156=0,"未匹配（现有产业链范围未覆盖或证据不足）",IF(COUNTIFS('岗位-产业节点关系'!$C$4:$C$709,B156,'岗位-产业节点关系'!$M$4:$M$709,"低")&gt;0,"已匹配，建议复核","已匹配"))</x:f>
        <x:v>未匹配（现有产业链范围未覆盖或证据不足）</x:v>
      </x:c>
      <x:c r="H156" s="26" t="str">
        <x:v>-</x:v>
      </x:c>
      <x:c r="I156" s="26" t="str"/>
      <x:c r="J156" s="26" t="str"/>
      <x:c r="K156" s="26" t="str">
        <x:v>行政经理/主管/办公室主任是人事/行政行业中不可或缺的关键角色，主要负责确保公司日常运营的顺畅及高效。通过制定并执行各项行政管理政策与流程，他们不仅能够提升企业内部的运作效率，还能够在很大程度上塑造公司的形象和文化氛围。…</x:v>
      </x:c>
      <x:c r="L156" s="26" t="str">
        <x:v>1. 负责公司行政管理制度的建设与实施，确保所有规章制度符合国家法律法规要求，并定期评估其有效性，提出改进建议。 2. 组织安排各类会议、活动，包括但不限于年会、培训、团建等，确保活动顺利开展，达到预期效果。 3. 监督…</x:v>
      </x:c>
    </x:row>
    <x:row r="157" ht="72" customHeight="1">
      <x:c r="A157" s="25" t="n">
        <x:v>11049</x:v>
      </x:c>
      <x:c r="B157" s="25" t="str">
        <x:v>IC-L3-306</x:v>
      </x:c>
      <x:c r="C157" s="25" t="str">
        <x:v>出纳</x:v>
      </x:c>
      <x:c r="D157" s="25" t="str">
        <x:v>3-01-02-01</x:v>
      </x:c>
      <x:c r="E157" s="25" t="str">
        <x:v>机要员</x:v>
      </x:c>
      <x:c r="F157" s="28" t="n">
        <x:f>COUNTIF('岗位-产业节点关系'!$C$4:$C$709,B157)</x:f>
        <x:v>0</x:v>
      </x:c>
      <x:c r="G157" s="26" t="str">
        <x:f>IF(F157=0,"未匹配（现有产业链范围未覆盖或证据不足）",IF(COUNTIFS('岗位-产业节点关系'!$C$4:$C$709,B157,'岗位-产业节点关系'!$M$4:$M$709,"低")&gt;0,"已匹配，建议复核","已匹配"))</x:f>
        <x:v>未匹配（现有产业链范围未覆盖或证据不足）</x:v>
      </x:c>
      <x:c r="H157" s="26" t="str">
        <x:v>-</x:v>
      </x:c>
      <x:c r="I157" s="26" t="str"/>
      <x:c r="J157" s="26" t="str"/>
      <x:c r="K157" s="26" t="str">
        <x:v>出纳是专门从事资金收付管理的专业人员。该职位的核心目标是通过准确的资金收支处理，确保企业现金流安全高效运转。在日常工作中，需要进行现金保管、银行结算、账目登记、票据审核及日常报销处理等工作。</x:v>
      </x:c>
      <x:c r="L157" s="26" t="str">
        <x:v>1. 办理现金收支业务 2. 登记现金日记账簿 3. 核对银行对账单 4. 保管财务票据 5. 编制资金日报表 6. 执行报销审核</x:v>
      </x:c>
    </x:row>
    <x:row r="158" ht="72" customHeight="1">
      <x:c r="A158" s="25" t="n">
        <x:v>11050</x:v>
      </x:c>
      <x:c r="B158" s="25" t="str">
        <x:v>IC-L3-307</x:v>
      </x:c>
      <x:c r="C158" s="25" t="str">
        <x:v>城市管理网格员</x:v>
      </x:c>
      <x:c r="D158" s="25" t="str">
        <x:v>3-01-02-01</x:v>
      </x:c>
      <x:c r="E158" s="25" t="str">
        <x:v>机要员</x:v>
      </x:c>
      <x:c r="F158" s="28" t="n">
        <x:f>COUNTIF('岗位-产业节点关系'!$C$4:$C$709,B158)</x:f>
        <x:v>0</x:v>
      </x:c>
      <x:c r="G158" s="26" t="str">
        <x:f>IF(F158=0,"未匹配（现有产业链范围未覆盖或证据不足）",IF(COUNTIFS('岗位-产业节点关系'!$C$4:$C$709,B158,'岗位-产业节点关系'!$M$4:$M$709,"低")&gt;0,"已匹配，建议复核","已匹配"))</x:f>
        <x:v>未匹配（现有产业链范围未覆盖或证据不足）</x:v>
      </x:c>
      <x:c r="H158" s="26" t="str">
        <x:v>-</x:v>
      </x:c>
      <x:c r="I158" s="26" t="str"/>
      <x:c r="J158" s="26" t="str"/>
      <x:c r="K158" s="26" t="str">
        <x:v>城市管理网格员是专门从事基层社会治理和城市管理的专业人员。该职位的核心目标是通过网格化管理模式，实现城市精细化管理和服务效能提升。在日常工作中，需要进行网格巡查、信息采集、问题上报、协调处置以及政策宣传等工作。</x:v>
      </x:c>
      <x:c r="L158" s="26" t="str">
        <x:v>1. 巡查网格区域 2. 上报问题事件 3. 协调处理纠纷 4. 收集居民意见 5. 宣传政策法规 6. 维护基础数据</x:v>
      </x:c>
    </x:row>
    <x:row r="159" ht="72" customHeight="1">
      <x:c r="A159" s="25" t="n">
        <x:v>11051</x:v>
      </x:c>
      <x:c r="B159" s="25" t="str">
        <x:v>IC-L3-308</x:v>
      </x:c>
      <x:c r="C159" s="25" t="str">
        <x:v>临床协调员</x:v>
      </x:c>
      <x:c r="D159" s="25" t="str">
        <x:v>2-05-07-01</x:v>
      </x:c>
      <x:c r="E159" s="25" t="str">
        <x:v>影像技师</x:v>
      </x:c>
      <x:c r="F159" s="28" t="n">
        <x:f>COUNTIF('岗位-产业节点关系'!$C$4:$C$709,B159)</x:f>
        <x:v>1</x:v>
      </x:c>
      <x:c r="G159" s="26" t="str">
        <x:f>IF(F159=0,"未匹配（现有产业链范围未覆盖或证据不足）",IF(COUNTIFS('岗位-产业节点关系'!$C$4:$C$709,B159,'岗位-产业节点关系'!$M$4:$M$709,"低")&gt;0,"已匹配，建议复核","已匹配"))</x:f>
        <x:v>已匹配</x:v>
      </x:c>
      <x:c r="H159" s="26" t="str">
        <x:v>高</x:v>
      </x:c>
      <x:c r="I159" s="26" t="str">
        <x:v>ICN012</x:v>
      </x:c>
      <x:c r="J159" s="26" t="str">
        <x:v>医药生物与医疗健康产业链/下游/医疗服务、临床应用与健康管理</x:v>
      </x:c>
      <x:c r="K159" s="26" t="str">
        <x:v>临床协调员是医药/医疗行业中不可或缺的专业角色，主要负责确保临床试验的顺利进行。这一职位不仅直接关系到新药或治疗方法的安全性和有效性评估，而且对于加快产品上市速度、提高患者护理质量具有重要意义。 该职位的核心目标在于确保…</x:v>
      </x:c>
      <x:c r="L159" s="26" t="str">
        <x:v>1. 负责制定详细的临床试验计划，包括时间表、预算和资源配置，确保项目按时按质完成。 2. 协调内外部资源，组织并参与临床试验启动会、监查访问及关闭会议，保障试验流程的顺利执行。 3. 监控临床试验过程中的各项指标，定期…</x:v>
      </x:c>
    </x:row>
    <x:row r="160" ht="72" customHeight="1">
      <x:c r="A160" s="25" t="n">
        <x:v>11052</x:v>
      </x:c>
      <x:c r="B160" s="25" t="str">
        <x:v>IC-L3-309</x:v>
      </x:c>
      <x:c r="C160" s="25" t="str">
        <x:v>临床数据分析员</x:v>
      </x:c>
      <x:c r="D160" s="25" t="str">
        <x:v>2-02-10-03</x:v>
      </x:c>
      <x:c r="E160" s="25" t="str">
        <x:v>计算机软件工程技术人员</x:v>
      </x:c>
      <x:c r="F160" s="28" t="n">
        <x:f>COUNTIF('岗位-产业节点关系'!$C$4:$C$709,B160)</x:f>
        <x:v>2</x:v>
      </x:c>
      <x:c r="G160" s="26" t="str">
        <x:f>IF(F160=0,"未匹配（现有产业链范围未覆盖或证据不足）",IF(COUNTIFS('岗位-产业节点关系'!$C$4:$C$709,B160,'岗位-产业节点关系'!$M$4:$M$709,"低")&gt;0,"已匹配，建议复核","已匹配"))</x:f>
        <x:v>已匹配</x:v>
      </x:c>
      <x:c r="H160" s="26" t="str">
        <x:v>中</x:v>
      </x:c>
      <x:c r="I160" s="26" t="str">
        <x:v>ICN012、ICN002</x:v>
      </x:c>
      <x:c r="J160" s="26" t="str">
        <x:v>医药生物与医疗健康产业链/下游/医疗服务、临床应用与健康管理；数据要素与数字经济产业链/中游/数据治理、流通与服务</x:v>
      </x:c>
      <x:c r="K160" s="26" t="str">
        <x:v>### 临床数据分析员职位简介 临床数据分析员是医药/医疗行业中不可或缺的专业人才，主要负责处理和分析来自临床试验的数据，以支持药物开发过程中的决策制定。通过精确的数据分析，他们能够帮助评估新药的安全性和有效性，从而加速…</x:v>
      </x:c>
      <x:c r="L160" s="26" t="str">
        <x:v>临床数据分析员的主要职责包括：负责收集、整理和分析临床试验数据，确保数据的准确性和完整性；运用统计学方法进行数据分析，撰写数据分析报告；与临床研究团队紧密合作，提供数据分析支持，协助解决研究中的数据问题；维护和更新数据管…</x:v>
      </x:c>
    </x:row>
    <x:row r="161" ht="72" customHeight="1">
      <x:c r="A161" s="25" t="n">
        <x:v>11053</x:v>
      </x:c>
      <x:c r="B161" s="25" t="str">
        <x:v>IC-L3-310</x:v>
      </x:c>
      <x:c r="C161" s="25" t="str">
        <x:v>临床监查员</x:v>
      </x:c>
      <x:c r="D161" s="25" t="str">
        <x:v>2-05-07-01</x:v>
      </x:c>
      <x:c r="E161" s="25" t="str">
        <x:v>影像技师</x:v>
      </x:c>
      <x:c r="F161" s="28" t="n">
        <x:f>COUNTIF('岗位-产业节点关系'!$C$4:$C$709,B161)</x:f>
        <x:v>1</x:v>
      </x:c>
      <x:c r="G161" s="26" t="str">
        <x:f>IF(F161=0,"未匹配（现有产业链范围未覆盖或证据不足）",IF(COUNTIFS('岗位-产业节点关系'!$C$4:$C$709,B161,'岗位-产业节点关系'!$M$4:$M$709,"低")&gt;0,"已匹配，建议复核","已匹配"))</x:f>
        <x:v>已匹配</x:v>
      </x:c>
      <x:c r="H161" s="26" t="str">
        <x:v>中</x:v>
      </x:c>
      <x:c r="I161" s="26" t="str">
        <x:v>ICN012</x:v>
      </x:c>
      <x:c r="J161" s="26" t="str">
        <x:v>医药生物与医疗健康产业链/下游/医疗服务、临床应用与健康管理</x:v>
      </x:c>
      <x:c r="K161" s="26" t="str">
        <x:v>临床监查员是医药行业中不可或缺的专业人才，在确保临床试验的质量与合规性方面发挥着关键作用。他们作为连接研究机构、申办者及监管机构之间的桥梁，通过严谨的数据收集和分析，保障了药物研发过程的安全性和有效性，从而推动新药从实验…</x:v>
      </x:c>
      <x:c r="L161" s="26" t="str">
        <x:v>1. 负责对指定研究中心进行定期访视，检查并记录试验操作是否遵循GCP（良好临床实践）原则及研究方案要求。 2. 审核病例报告表（CRF）和其他相关文件，确保数据的真实性和完整性，发现问题时立即采取纠正措施。 3. 与研…</x:v>
      </x:c>
    </x:row>
    <x:row r="162" ht="72" customHeight="1">
      <x:c r="A162" s="25" t="n">
        <x:v>11054</x:v>
      </x:c>
      <x:c r="B162" s="25" t="str">
        <x:v>IC-L3-311</x:v>
      </x:c>
      <x:c r="C162" s="25" t="str">
        <x:v>临床研究员</x:v>
      </x:c>
      <x:c r="D162" s="25" t="str">
        <x:v>2-01-06-03</x:v>
      </x:c>
      <x:c r="E162" s="25" t="str">
        <x:v>化学研究人员</x:v>
      </x:c>
      <x:c r="F162" s="28" t="n">
        <x:f>COUNTIF('岗位-产业节点关系'!$C$4:$C$709,B162)</x:f>
        <x:v>1</x:v>
      </x:c>
      <x:c r="G162" s="26" t="str">
        <x:f>IF(F162=0,"未匹配（现有产业链范围未覆盖或证据不足）",IF(COUNTIFS('岗位-产业节点关系'!$C$4:$C$709,B162,'岗位-产业节点关系'!$M$4:$M$709,"低")&gt;0,"已匹配，建议复核","已匹配"))</x:f>
        <x:v>已匹配</x:v>
      </x:c>
      <x:c r="H162" s="26" t="str">
        <x:v>高</x:v>
      </x:c>
      <x:c r="I162" s="26" t="str">
        <x:v>ICN012</x:v>
      </x:c>
      <x:c r="J162" s="26" t="str">
        <x:v>医药生物与医疗健康产业链/下游/医疗服务、临床应用与健康管理</x:v>
      </x:c>
      <x:c r="K162" s="26" t="str">
        <x:v>临床研究员是医药/医疗行业中不可或缺的专业人才，主要负责临床试验的设计、执行与监督，确保研究活动符合科学、伦理及法规标准。通过精准的数据收集和分析，他们为新药研发提供关键支持，推动医学进步，改善患者健康状况。在公司内部，…</x:v>
      </x:c>
      <x:c r="L162" s="26" t="str">
        <x:v>1. 负责制定详细的临床试验方案，包括试验设计、样本量计算、数据收集方法等，确保试验方案科学合理，满足监管要求。 2. 组织并参与临床试验前的准备工作，如伦理审查申请、研究者会议召开等，保证试验顺利启动。 3. 监督整个…</x:v>
      </x:c>
    </x:row>
    <x:row r="163" ht="72" customHeight="1">
      <x:c r="A163" s="25" t="n">
        <x:v>11055</x:v>
      </x:c>
      <x:c r="B163" s="25" t="str">
        <x:v>IC-L3-312</x:v>
      </x:c>
      <x:c r="C163" s="25" t="str">
        <x:v>化验员</x:v>
      </x:c>
      <x:c r="D163" s="25" t="str">
        <x:v>2-05-07-01</x:v>
      </x:c>
      <x:c r="E163" s="25" t="str">
        <x:v>影像技师</x:v>
      </x:c>
      <x:c r="F163" s="28" t="n">
        <x:f>COUNTIF('岗位-产业节点关系'!$C$4:$C$709,B163)</x:f>
        <x:v>0</x:v>
      </x:c>
      <x:c r="G163" s="26" t="str">
        <x:f>IF(F163=0,"未匹配（现有产业链范围未覆盖或证据不足）",IF(COUNTIFS('岗位-产业节点关系'!$C$4:$C$709,B163,'岗位-产业节点关系'!$M$4:$M$709,"低")&gt;0,"已匹配，建议复核","已匹配"))</x:f>
        <x:v>未匹配（现有产业链范围未覆盖或证据不足）</x:v>
      </x:c>
      <x:c r="H163" s="26" t="str">
        <x:v>-</x:v>
      </x:c>
      <x:c r="I163" s="26" t="str"/>
      <x:c r="J163" s="26" t="str"/>
      <x:c r="K163" s="26" t="str">
        <x:v>化验员是专门从事临床试验样本检测与分析的专业人员。该职位的核心目标是通过精确的实验室检测，确保临床研究数据的准确性和可靠性。在日常工作中，需要进行样本接收与处理、实验操作、数据记录与分析、仪器维护等工作。</x:v>
      </x:c>
      <x:c r="L163" s="26" t="str">
        <x:v>1. 执行样本检测分析 2. 记录实验数据信息 3. 维护检测仪器设备 4. 遵守实验室安全规范 5. 协助临床研究报告 6. 管理实验耗材库存</x:v>
      </x:c>
    </x:row>
    <x:row r="164" ht="72" customHeight="1">
      <x:c r="A164" s="25" t="n">
        <x:v>11056</x:v>
      </x:c>
      <x:c r="B164" s="25" t="str">
        <x:v>IC-L3-313</x:v>
      </x:c>
      <x:c r="C164" s="25" t="str">
        <x:v>药理研究员</x:v>
      </x:c>
      <x:c r="D164" s="25" t="str">
        <x:v>2-01-06-03</x:v>
      </x:c>
      <x:c r="E164" s="25" t="str">
        <x:v>化学研究人员</x:v>
      </x:c>
      <x:c r="F164" s="28" t="n">
        <x:f>COUNTIF('岗位-产业节点关系'!$C$4:$C$709,B164)</x:f>
        <x:v>0</x:v>
      </x:c>
      <x:c r="G164" s="26" t="str">
        <x:f>IF(F164=0,"未匹配（现有产业链范围未覆盖或证据不足）",IF(COUNTIFS('岗位-产业节点关系'!$C$4:$C$709,B164,'岗位-产业节点关系'!$M$4:$M$709,"低")&gt;0,"已匹配，建议复核","已匹配"))</x:f>
        <x:v>未匹配（现有产业链范围未覆盖或证据不足）</x:v>
      </x:c>
      <x:c r="H164" s="26" t="str">
        <x:v>-</x:v>
      </x:c>
      <x:c r="I164" s="26" t="str"/>
      <x:c r="J164" s="26" t="str"/>
      <x:c r="K164" s="26" t="str">
        <x:v>药理研究员是专门从事药物作用机制及药效评估的专业人员。该职位的核心目标是通过开展临床前及临床药理研究，支持新药研发与安全性评估。在日常工作中，需要进行实验方案设计、数据收集分析、研究报告撰写及跨部门协作等工作。</x:v>
      </x:c>
      <x:c r="L164" s="26" t="str">
        <x:v>1. 设计药理实验方案 2. 开展药物作用机制研究 3. 分析临床前药效数据 4. 评估药物安全性指标 5. 撰写药理研究报告 6. 参与临床试验方案制定</x:v>
      </x:c>
    </x:row>
    <x:row r="165" ht="72" customHeight="1">
      <x:c r="A165" s="25" t="n">
        <x:v>11057</x:v>
      </x:c>
      <x:c r="B165" s="25" t="str">
        <x:v>IC-L3-314</x:v>
      </x:c>
      <x:c r="C165" s="25" t="str">
        <x:v>专科医生</x:v>
      </x:c>
      <x:c r="D165" s="25" t="str">
        <x:v>2-05-01-19</x:v>
      </x:c>
      <x:c r="E165" s="25" t="str">
        <x:v>全科医师</x:v>
      </x:c>
      <x:c r="F165" s="28" t="n">
        <x:f>COUNTIF('岗位-产业节点关系'!$C$4:$C$709,B165)</x:f>
        <x:v>1</x:v>
      </x:c>
      <x:c r="G165" s="26" t="str">
        <x:f>IF(F165=0,"未匹配（现有产业链范围未覆盖或证据不足）",IF(COUNTIFS('岗位-产业节点关系'!$C$4:$C$709,B165,'岗位-产业节点关系'!$M$4:$M$709,"低")&gt;0,"已匹配，建议复核","已匹配"))</x:f>
        <x:v>已匹配</x:v>
      </x:c>
      <x:c r="H165" s="26" t="str">
        <x:v>高</x:v>
      </x:c>
      <x:c r="I165" s="26" t="str">
        <x:v>ICN012</x:v>
      </x:c>
      <x:c r="J165" s="26" t="str">
        <x:v>医药生物与医疗健康产业链/下游/医疗服务、临床应用与健康管理</x:v>
      </x:c>
      <x:c r="K165" s="26" t="str">
        <x:v>专科医生是医药/医疗行业中不可或缺的专业人才，他们通过运用专业知识和技术，为患者提供精准的诊断与治疗方案，不仅提升了患者的生活质量，也促进了整个医疗行业的健康发展。作为医疗机构的重要组成部分，专科医生的核心目标在于提高医…</x:v>
      </x:c>
      <x:c r="L165" s="26" t="str">
        <x:v>1. 负责本科室患者的日常诊疗工作，准确评估病情并制定合理的治疗计划，以达到最佳的康复效果。 2. 与护理人员及其他医务人员紧密配合，共同完成手术操作或特殊检查项目，确保医疗过程的安全性和有效性。 3. 定期参加学术交流…</x:v>
      </x:c>
    </x:row>
    <x:row r="166" ht="72" customHeight="1">
      <x:c r="A166" s="25" t="n">
        <x:v>11058</x:v>
      </x:c>
      <x:c r="B166" s="25" t="str">
        <x:v>IC-L3-315</x:v>
      </x:c>
      <x:c r="C166" s="25" t="str">
        <x:v>中医科医生</x:v>
      </x:c>
      <x:c r="D166" s="25" t="str">
        <x:v>2-05-01-19</x:v>
      </x:c>
      <x:c r="E166" s="25" t="str">
        <x:v>全科医师</x:v>
      </x:c>
      <x:c r="F166" s="28" t="n">
        <x:f>COUNTIF('岗位-产业节点关系'!$C$4:$C$709,B166)</x:f>
        <x:v>1</x:v>
      </x:c>
      <x:c r="G166" s="26" t="str">
        <x:f>IF(F166=0,"未匹配（现有产业链范围未覆盖或证据不足）",IF(COUNTIFS('岗位-产业节点关系'!$C$4:$C$709,B166,'岗位-产业节点关系'!$M$4:$M$709,"低")&gt;0,"已匹配，建议复核","已匹配"))</x:f>
        <x:v>已匹配</x:v>
      </x:c>
      <x:c r="H166" s="26" t="str">
        <x:v>高</x:v>
      </x:c>
      <x:c r="I166" s="26" t="str">
        <x:v>ICN012</x:v>
      </x:c>
      <x:c r="J166" s="26" t="str">
        <x:v>医药生物与医疗健康产业链/下游/医疗服务、临床应用与健康管理</x:v>
      </x:c>
      <x:c r="K166" s="26" t="str">
        <x:v>中医科医生作为医疗领域中不可或缺的专业人才，在维护患者健康和促进疾病康复方面发挥着至关重要的作用。他们不仅承担着诊断与治疗常见病及多发病的任务，还肩负着传承与发展祖国传统医学文化的使命。通过运用针灸、推拿、中药等多样化的…</x:v>
      </x:c>
      <x:c r="L166" s="26" t="str">
        <x:v>1. 负责接诊病人，通过望闻问切等方式收集病情资料，准确判断病症类型及程度，并制定合理的治疗计划。 2. 根据患者的具体情况开具中药处方或实施针灸、拔罐等非药物疗法，指导患者正确使用药物及注意生活调养。 3. 定期随访复…</x:v>
      </x:c>
    </x:row>
    <x:row r="167" ht="72" customHeight="1">
      <x:c r="A167" s="25" t="n">
        <x:v>11059</x:v>
      </x:c>
      <x:c r="B167" s="25" t="str">
        <x:v>IC-L3-316</x:v>
      </x:c>
      <x:c r="C167" s="25" t="str">
        <x:v>健康管理师</x:v>
      </x:c>
      <x:c r="D167" s="25" t="str">
        <x:v>2-05-01-19</x:v>
      </x:c>
      <x:c r="E167" s="25" t="str">
        <x:v>全科医师</x:v>
      </x:c>
      <x:c r="F167" s="28" t="n">
        <x:f>COUNTIF('岗位-产业节点关系'!$C$4:$C$709,B167)</x:f>
        <x:v>1</x:v>
      </x:c>
      <x:c r="G167" s="26" t="str">
        <x:f>IF(F167=0,"未匹配（现有产业链范围未覆盖或证据不足）",IF(COUNTIFS('岗位-产业节点关系'!$C$4:$C$709,B167,'岗位-产业节点关系'!$M$4:$M$709,"低")&gt;0,"已匹配，建议复核","已匹配"))</x:f>
        <x:v>已匹配</x:v>
      </x:c>
      <x:c r="H167" s="26" t="str">
        <x:v>高</x:v>
      </x:c>
      <x:c r="I167" s="26" t="str">
        <x:v>ICN012</x:v>
      </x:c>
      <x:c r="J167" s="26" t="str">
        <x:v>医药生物与医疗健康产业链/下游/医疗服务、临床应用与健康管理</x:v>
      </x:c>
      <x:c r="K167" s="26" t="str">
        <x:v>健康管理师是医药/医疗行业中不可或缺的专业人才，负责通过科学的方法和手段，帮助个人或群体维护健康状态，预防疾病的发生，提升生活质量。作为连接患者与医疗资源的重要桥梁，健康管理师在促进公众健康意识提高及推动医疗体系优化方面…</x:v>
      </x:c>
      <x:c r="L167" s="26" t="str">
        <x:v>1. 负责收集并整理客户的健康信息，建立个人健康档案，定期更新以反映最新的健康状况。 2. 依据客户的健康数据，运用专业知识进行综合分析，识别潜在的健康风险因素，提出预警并给出预防措施。 3. 根据客户需求定制个性化的健…</x:v>
      </x:c>
    </x:row>
    <x:row r="168" ht="72" customHeight="1">
      <x:c r="A168" s="25" t="n">
        <x:v>11060</x:v>
      </x:c>
      <x:c r="B168" s="25" t="str">
        <x:v>IC-L3-317</x:v>
      </x:c>
      <x:c r="C168" s="25" t="str">
        <x:v>儿科医生</x:v>
      </x:c>
      <x:c r="D168" s="25" t="str">
        <x:v>2-05-01-19</x:v>
      </x:c>
      <x:c r="E168" s="25" t="str">
        <x:v>全科医师</x:v>
      </x:c>
      <x:c r="F168" s="28" t="n">
        <x:f>COUNTIF('岗位-产业节点关系'!$C$4:$C$709,B168)</x:f>
        <x:v>1</x:v>
      </x:c>
      <x:c r="G168" s="26" t="str">
        <x:f>IF(F168=0,"未匹配（现有产业链范围未覆盖或证据不足）",IF(COUNTIFS('岗位-产业节点关系'!$C$4:$C$709,B168,'岗位-产业节点关系'!$M$4:$M$709,"低")&gt;0,"已匹配，建议复核","已匹配"))</x:f>
        <x:v>已匹配</x:v>
      </x:c>
      <x:c r="H168" s="26" t="str">
        <x:v>高</x:v>
      </x:c>
      <x:c r="I168" s="26" t="str">
        <x:v>ICN012</x:v>
      </x:c>
      <x:c r="J168" s="26" t="str">
        <x:v>医药生物与医疗健康产业链/下游/医疗服务、临床应用与健康管理</x:v>
      </x:c>
      <x:c r="K168" s="26" t="str">
        <x:v>儿科医生是医药/医疗行业中不可或缺的专业人才，他们专注于儿童健康与疾病的预防、诊断和治疗，扮演着保护下一代健康成长的重要角色。作为医疗机构中的一线力量，儿科医生通过提供高质量的医疗服务，不仅能够有效提升患者的生活质量，还…</x:v>
      </x:c>
      <x:c r="L168" s="26" t="str">
        <x:v>1. 负责接诊前来就诊的儿童患者，进行详细的病史询问及体格检查，确保准确无误地了解病情并作出初步判断。 2. 根据临床指南制定个性化治疗方案，包括开具处方药物、安排必要的辅助检查以及提供康复指导，力求达到最佳治疗效果。 …</x:v>
      </x:c>
    </x:row>
    <x:row r="169" ht="72" customHeight="1">
      <x:c r="A169" s="25" t="n">
        <x:v>11061</x:v>
      </x:c>
      <x:c r="B169" s="25" t="str">
        <x:v>IC-L3-318</x:v>
      </x:c>
      <x:c r="C169" s="25" t="str">
        <x:v>公共卫生/疾病控制</x:v>
      </x:c>
      <x:c r="D169" s="25" t="str">
        <x:v>2-05-01-19</x:v>
      </x:c>
      <x:c r="E169" s="25" t="str">
        <x:v>全科医师</x:v>
      </x:c>
      <x:c r="F169" s="28" t="n">
        <x:f>COUNTIF('岗位-产业节点关系'!$C$4:$C$709,B169)</x:f>
        <x:v>1</x:v>
      </x:c>
      <x:c r="G169" s="26" t="str">
        <x:f>IF(F169=0,"未匹配（现有产业链范围未覆盖或证据不足）",IF(COUNTIFS('岗位-产业节点关系'!$C$4:$C$709,B169,'岗位-产业节点关系'!$M$4:$M$709,"低")&gt;0,"已匹配，建议复核","已匹配"))</x:f>
        <x:v>已匹配，建议复核</x:v>
      </x:c>
      <x:c r="H169" s="26" t="str">
        <x:v>低</x:v>
      </x:c>
      <x:c r="I169" s="26" t="str">
        <x:v>ICN012</x:v>
      </x:c>
      <x:c r="J169" s="26" t="str">
        <x:v>医药生物与医疗健康产业链/下游/医疗服务、临床应用与健康管理</x:v>
      </x:c>
      <x:c r="K169" s="26" t="str">
        <x:v>公共卫生/疾病控制专家在医药/医疗行业中扮演着至关重要的角色。他们负责监测、预防和控制疾病的传播，确保公众健康得到维护，同时在突发疫情时提供快速响应，以减轻其影响。这一角色不仅关乎个体健康，更关系到整个社会的福祉与稳定。…</x:v>
      </x:c>
      <x:c r="L169" s="26" t="str">
        <x:v>1. 负责开展流行病学调查，分析数据以识别潜在的公共卫生风险因素，为制定防控策略提供科学依据。 2. 设计并实施针对特定群体或地区的健康教育活动，提高公众对疾病预防的认识和参与度。 3. 协调跨部门资源，组织多学科团队共…</x:v>
      </x:c>
    </x:row>
    <x:row r="170" ht="72" customHeight="1">
      <x:c r="A170" s="25" t="n">
        <x:v>11062</x:v>
      </x:c>
      <x:c r="B170" s="25" t="str">
        <x:v>IC-L3-319</x:v>
      </x:c>
      <x:c r="C170" s="25" t="str">
        <x:v>内科医生</x:v>
      </x:c>
      <x:c r="D170" s="25" t="str">
        <x:v>2-05-01-19</x:v>
      </x:c>
      <x:c r="E170" s="25" t="str">
        <x:v>全科医师</x:v>
      </x:c>
      <x:c r="F170" s="28" t="n">
        <x:f>COUNTIF('岗位-产业节点关系'!$C$4:$C$709,B170)</x:f>
        <x:v>1</x:v>
      </x:c>
      <x:c r="G170" s="26" t="str">
        <x:f>IF(F170=0,"未匹配（现有产业链范围未覆盖或证据不足）",IF(COUNTIFS('岗位-产业节点关系'!$C$4:$C$709,B170,'岗位-产业节点关系'!$M$4:$M$709,"低")&gt;0,"已匹配，建议复核","已匹配"))</x:f>
        <x:v>已匹配</x:v>
      </x:c>
      <x:c r="H170" s="26" t="str">
        <x:v>高</x:v>
      </x:c>
      <x:c r="I170" s="26" t="str">
        <x:v>ICN012</x:v>
      </x:c>
      <x:c r="J170" s="26" t="str">
        <x:v>医药生物与医疗健康产业链/下游/医疗服务、临床应用与健康管理</x:v>
      </x:c>
      <x:c r="K170" s="26" t="str">
        <x:v>内科医生是医药/医疗行业中不可或缺的专业人才，他们通过专业知识和技术为患者提供高质量的医疗服务，确保患者的健康和安全。作为医疗团队的核心成员，内科医生不仅承担着诊断疾病、制定治疗方案的重要职责，还肩负着与患者沟通、提供心…</x:v>
      </x:c>
      <x:c r="L170" s="26" t="str">
        <x:v>1. 负责门诊或住院部内科患者的接诊工作，收集病史资料，进行体格检查，确保诊断结果的准确性。 2. 根据患者的具体病情，开具合理有效的治疗方案，指导患者正确用药，监测治疗效果，及时调整治疗计划。 3. 参与危重病人的抢救…</x:v>
      </x:c>
    </x:row>
    <x:row r="171" ht="72" customHeight="1">
      <x:c r="A171" s="25" t="n">
        <x:v>11063</x:v>
      </x:c>
      <x:c r="B171" s="25" t="str">
        <x:v>IC-L3-320</x:v>
      </x:c>
      <x:c r="C171" s="25" t="str">
        <x:v>医学检验</x:v>
      </x:c>
      <x:c r="D171" s="25" t="str">
        <x:v>2-05-01-19</x:v>
      </x:c>
      <x:c r="E171" s="25" t="str">
        <x:v>全科医师</x:v>
      </x:c>
      <x:c r="F171" s="28" t="n">
        <x:f>COUNTIF('岗位-产业节点关系'!$C$4:$C$709,B171)</x:f>
        <x:v>1</x:v>
      </x:c>
      <x:c r="G171" s="26" t="str">
        <x:f>IF(F171=0,"未匹配（现有产业链范围未覆盖或证据不足）",IF(COUNTIFS('岗位-产业节点关系'!$C$4:$C$709,B171,'岗位-产业节点关系'!$M$4:$M$709,"低")&gt;0,"已匹配，建议复核","已匹配"))</x:f>
        <x:v>已匹配</x:v>
      </x:c>
      <x:c r="H171" s="26" t="str">
        <x:v>中</x:v>
      </x:c>
      <x:c r="I171" s="26" t="str">
        <x:v>ICN012</x:v>
      </x:c>
      <x:c r="J171" s="26" t="str">
        <x:v>医药生物与医疗健康产业链/下游/医疗服务、临床应用与健康管理</x:v>
      </x:c>
      <x:c r="K171" s="26" t="str">
        <x:v>医学检验师是医疗健康领域不可或缺的专业人才，他们通过精准的检测技术为临床诊断提供科学依据，确保患者得到及时有效的治疗。在医院或第三方实验室中，医学检验师承担着重要的角色，他们的工作直接影响到疾病的早期发现、病情监控及疗效…</x:v>
      </x:c>
      <x:c r="L171" s="26" t="str">
        <x:v>1. 负责日常临床标本（如血液、尿液、组织切片等）的接收、处理及检验工作，确保操作规范符合国家标准。 2. 对检验过程中出现的异常数据进行初步判断并记录，必要时与临床医生沟通确认患者情况。 3. 定期参与科室内部的质量控…</x:v>
      </x:c>
    </x:row>
    <x:row r="172" ht="72" customHeight="1">
      <x:c r="A172" s="25" t="n">
        <x:v>11064</x:v>
      </x:c>
      <x:c r="B172" s="25" t="str">
        <x:v>IC-L3-321</x:v>
      </x:c>
      <x:c r="C172" s="25" t="str">
        <x:v>医院管理人员</x:v>
      </x:c>
      <x:c r="D172" s="25" t="str">
        <x:v>2-05-01-19</x:v>
      </x:c>
      <x:c r="E172" s="25" t="str">
        <x:v>全科医师</x:v>
      </x:c>
      <x:c r="F172" s="28" t="n">
        <x:f>COUNTIF('岗位-产业节点关系'!$C$4:$C$709,B172)</x:f>
        <x:v>1</x:v>
      </x:c>
      <x:c r="G172" s="26" t="str">
        <x:f>IF(F172=0,"未匹配（现有产业链范围未覆盖或证据不足）",IF(COUNTIFS('岗位-产业节点关系'!$C$4:$C$709,B172,'岗位-产业节点关系'!$M$4:$M$709,"低")&gt;0,"已匹配，建议复核","已匹配"))</x:f>
        <x:v>已匹配，建议复核</x:v>
      </x:c>
      <x:c r="H172" s="26" t="str">
        <x:v>低</x:v>
      </x:c>
      <x:c r="I172" s="26" t="str">
        <x:v>ICN012</x:v>
      </x:c>
      <x:c r="J172" s="26" t="str">
        <x:v>医药生物与医疗健康产业链/下游/医疗服务、临床应用与健康管理</x:v>
      </x:c>
      <x:c r="K172" s="26" t="str">
        <x:v>医院管理人员是医药/医疗行业中不可或缺的角色，他们不仅负责确保医疗机构的日常运营顺畅高效，还承担着提升患者满意度和服务质量的重要使命。通过优化资源配置、推动技术创新以及加强团队建设等措施，医院管理人员能够显著提高医疗机构…</x:v>
      </x:c>
      <x:c r="L172" s="26" t="str">
        <x:v>1. 制定并实施医院管理策略，确保各项业务流程符合国家法律法规及行业标准，旨在提高医疗服务质量和效率。 2. 负责监督预算编制与执行过程，合理分配财务资源，控制成本开支，保障医院经济效益最大化。 3. 组织开展员工培训与…</x:v>
      </x:c>
    </x:row>
    <x:row r="173" ht="72" customHeight="1">
      <x:c r="A173" s="25" t="n">
        <x:v>11065</x:v>
      </x:c>
      <x:c r="B173" s="25" t="str">
        <x:v>IC-L3-322</x:v>
      </x:c>
      <x:c r="C173" s="25" t="str">
        <x:v>外科医生</x:v>
      </x:c>
      <x:c r="D173" s="25" t="str">
        <x:v>2-05-01-19</x:v>
      </x:c>
      <x:c r="E173" s="25" t="str">
        <x:v>全科医师</x:v>
      </x:c>
      <x:c r="F173" s="28" t="n">
        <x:f>COUNTIF('岗位-产业节点关系'!$C$4:$C$709,B173)</x:f>
        <x:v>1</x:v>
      </x:c>
      <x:c r="G173" s="26" t="str">
        <x:f>IF(F173=0,"未匹配（现有产业链范围未覆盖或证据不足）",IF(COUNTIFS('岗位-产业节点关系'!$C$4:$C$709,B173,'岗位-产业节点关系'!$M$4:$M$709,"低")&gt;0,"已匹配，建议复核","已匹配"))</x:f>
        <x:v>已匹配</x:v>
      </x:c>
      <x:c r="H173" s="26" t="str">
        <x:v>高</x:v>
      </x:c>
      <x:c r="I173" s="26" t="str">
        <x:v>ICN012</x:v>
      </x:c>
      <x:c r="J173" s="26" t="str">
        <x:v>医药生物与医疗健康产业链/下游/医疗服务、临床应用与健康管理</x:v>
      </x:c>
      <x:c r="K173" s="26" t="str">
        <x:v>外科医生是医药/医疗行业中不可或缺的专业人才，他们通过实施手术治疗各种疾病和创伤，对于患者健康恢复至关重要。在外科领域，医生不仅需要具备精湛的技术，还应有良好的心理素质和高度的责任感，以应对紧急情况和复杂病例。 作为医疗…</x:v>
      </x:c>
      <x:c r="L173" s="26" t="str">
        <x:v>1. 对接诊患者进行全面检查，准确诊断病情并制定合理的手术计划。 2. 在手术过程中负责指导助手操作，确保手术顺利进行，同时注意控制出血量和减少并发症发生率。 3. 手术后密切关注患者恢复状况，及时调整治疗方案，促进康复…</x:v>
      </x:c>
    </x:row>
    <x:row r="174" ht="72" customHeight="1">
      <x:c r="A174" s="25" t="n">
        <x:v>11066</x:v>
      </x:c>
      <x:c r="B174" s="25" t="str">
        <x:v>IC-L3-323</x:v>
      </x:c>
      <x:c r="C174" s="25" t="str">
        <x:v>妇产科医生</x:v>
      </x:c>
      <x:c r="D174" s="25" t="str">
        <x:v>2-05-01-19</x:v>
      </x:c>
      <x:c r="E174" s="25" t="str">
        <x:v>全科医师</x:v>
      </x:c>
      <x:c r="F174" s="28" t="n">
        <x:f>COUNTIF('岗位-产业节点关系'!$C$4:$C$709,B174)</x:f>
        <x:v>1</x:v>
      </x:c>
      <x:c r="G174" s="26" t="str">
        <x:f>IF(F174=0,"未匹配（现有产业链范围未覆盖或证据不足）",IF(COUNTIFS('岗位-产业节点关系'!$C$4:$C$709,B174,'岗位-产业节点关系'!$M$4:$M$709,"低")&gt;0,"已匹配，建议复核","已匹配"))</x:f>
        <x:v>已匹配</x:v>
      </x:c>
      <x:c r="H174" s="26" t="str">
        <x:v>高</x:v>
      </x:c>
      <x:c r="I174" s="26" t="str">
        <x:v>ICN012</x:v>
      </x:c>
      <x:c r="J174" s="26" t="str">
        <x:v>医药生物与医疗健康产业链/下游/医疗服务、临床应用与健康管理</x:v>
      </x:c>
      <x:c r="K174" s="26" t="str">
        <x:v>妇产科医生是医药/医疗行业中不可或缺的专业人才，他们专注于女性生殖系统的健康问题，不仅负责妇女的日常保健和疾病治疗，还在孕产妇护理方面扮演着至关重要的角色。通过提供高质量的医疗服务，妇产科医生能够显著提高患者的生活质量，…</x:v>
      </x:c>
      <x:c r="L174" s="26" t="str">
        <x:v>1. 为妇科及产科病人提供全面的诊断服务，包括但不限于妇科检查、超声波检查等，确保准确判断病情并制定合理的治疗方案。 2. 在孕妇整个孕期期间进行定期随访，监测胎儿发育情况，及时发现并处理可能出现的问题，保障母婴健康。 …</x:v>
      </x:c>
    </x:row>
    <x:row r="175" ht="72" customHeight="1">
      <x:c r="A175" s="25" t="n">
        <x:v>11067</x:v>
      </x:c>
      <x:c r="B175" s="25" t="str">
        <x:v>IC-L3-324</x:v>
      </x:c>
      <x:c r="C175" s="25" t="str">
        <x:v>导医</x:v>
      </x:c>
      <x:c r="D175" s="25" t="str">
        <x:v>2-05-01-19</x:v>
      </x:c>
      <x:c r="E175" s="25" t="str">
        <x:v>全科医师</x:v>
      </x:c>
      <x:c r="F175" s="28" t="n">
        <x:f>COUNTIF('岗位-产业节点关系'!$C$4:$C$709,B175)</x:f>
        <x:v>1</x:v>
      </x:c>
      <x:c r="G175" s="26" t="str">
        <x:f>IF(F175=0,"未匹配（现有产业链范围未覆盖或证据不足）",IF(COUNTIFS('岗位-产业节点关系'!$C$4:$C$709,B175,'岗位-产业节点关系'!$M$4:$M$709,"低")&gt;0,"已匹配，建议复核","已匹配"))</x:f>
        <x:v>已匹配，建议复核</x:v>
      </x:c>
      <x:c r="H175" s="26" t="str">
        <x:v>低</x:v>
      </x:c>
      <x:c r="I175" s="26" t="str">
        <x:v>ICN012</x:v>
      </x:c>
      <x:c r="J175" s="26" t="str">
        <x:v>医药生物与医疗健康产业链/下游/医疗服务、临床应用与健康管理</x:v>
      </x:c>
      <x:c r="K175" s="26" t="str">
        <x:v>导医作为医疗行业的重要组成部分，在医院或诊所中起着至关重要的作用。他们不仅是患者与医生之间的桥梁，也是医疗机构服务质量的直接体现者，对于提升患者就医体验具有不可替代的作用。通过高效有序地引导患者完成挂号、就诊等流程，确保…</x:v>
      </x:c>
      <x:c r="L175" s="26" t="str">
        <x:v>1. 负责接待来访患者，解答咨询问题，提供准确的科室指引，确保患者能够快速找到合适的诊疗地点。 2. 协助患者办理挂号手续，指导其正确填写相关信息表格，保证信息录入的准确性和完整性。 3. 维护候诊区域秩序，合理安排患者…</x:v>
      </x:c>
    </x:row>
    <x:row r="176" ht="72" customHeight="1">
      <x:c r="A176" s="25" t="n">
        <x:v>11068</x:v>
      </x:c>
      <x:c r="B176" s="25" t="str">
        <x:v>IC-L3-325</x:v>
      </x:c>
      <x:c r="C176" s="25" t="str">
        <x:v>心理医生</x:v>
      </x:c>
      <x:c r="D176" s="25" t="str">
        <x:v>2-05-01-19</x:v>
      </x:c>
      <x:c r="E176" s="25" t="str">
        <x:v>全科医师</x:v>
      </x:c>
      <x:c r="F176" s="28" t="n">
        <x:f>COUNTIF('岗位-产业节点关系'!$C$4:$C$709,B176)</x:f>
        <x:v>1</x:v>
      </x:c>
      <x:c r="G176" s="26" t="str">
        <x:f>IF(F176=0,"未匹配（现有产业链范围未覆盖或证据不足）",IF(COUNTIFS('岗位-产业节点关系'!$C$4:$C$709,B176,'岗位-产业节点关系'!$M$4:$M$709,"低")&gt;0,"已匹配，建议复核","已匹配"))</x:f>
        <x:v>已匹配</x:v>
      </x:c>
      <x:c r="H176" s="26" t="str">
        <x:v>高</x:v>
      </x:c>
      <x:c r="I176" s="26" t="str">
        <x:v>ICN012</x:v>
      </x:c>
      <x:c r="J176" s="26" t="str">
        <x:v>医药生物与医疗健康产业链/下游/医疗服务、临床应用与健康管理</x:v>
      </x:c>
      <x:c r="K176" s="26" t="str">
        <x:v>心理医生是医药/医疗行业中不可或缺的专业人才，他们不仅为患者提供心理健康服务，还在预防疾病、促进健康方面发挥着重要作用。心理医生作为精神卫生领域的专家，他们的工作能够帮助个人克服情感障碍，提高生活质量，同时也能增强医疗机…</x:v>
      </x:c>
      <x:c r="L176" s="26" t="str">
        <x:v>1. 通过面谈、评估等方式了解患者的心理状态，诊断并制定个性化的心理治疗计划，以改善患者的情绪和行为问题。 2. 定期与患者进行沟通交流，监测其心理健康状况的变化，及时调整治疗策略，确保治疗的有效性和安全性。 3. 积极…</x:v>
      </x:c>
    </x:row>
    <x:row r="177" ht="72" customHeight="1">
      <x:c r="A177" s="25" t="n">
        <x:v>11069</x:v>
      </x:c>
      <x:c r="B177" s="25" t="str">
        <x:v>IC-L3-326</x:v>
      </x:c>
      <x:c r="C177" s="25" t="str">
        <x:v>心理咨询师</x:v>
      </x:c>
      <x:c r="D177" s="25" t="str">
        <x:v>2-05-01-19</x:v>
      </x:c>
      <x:c r="E177" s="25" t="str">
        <x:v>全科医师</x:v>
      </x:c>
      <x:c r="F177" s="28" t="n">
        <x:f>COUNTIF('岗位-产业节点关系'!$C$4:$C$709,B177)</x:f>
        <x:v>1</x:v>
      </x:c>
      <x:c r="G177" s="26" t="str">
        <x:f>IF(F177=0,"未匹配（现有产业链范围未覆盖或证据不足）",IF(COUNTIFS('岗位-产业节点关系'!$C$4:$C$709,B177,'岗位-产业节点关系'!$M$4:$M$709,"低")&gt;0,"已匹配，建议复核","已匹配"))</x:f>
        <x:v>已匹配</x:v>
      </x:c>
      <x:c r="H177" s="26" t="str">
        <x:v>高</x:v>
      </x:c>
      <x:c r="I177" s="26" t="str">
        <x:v>ICN012</x:v>
      </x:c>
      <x:c r="J177" s="26" t="str">
        <x:v>医药生物与医疗健康产业链/下游/医疗服务、临床应用与健康管理</x:v>
      </x:c>
      <x:c r="K177" s="26" t="str">
        <x:v>心理咨询师是医药/医疗行业中不可或缺的专业人员，他们通过专业的心理评估和干预技术，帮助患者解决心理问题，提高生活质量。在医院或诊所中，心理咨询师不仅为患者提供心理支持，还与临床医生密切合作，确保患者的身心健康得到全面关注…</x:v>
      </x:c>
      <x:c r="L177" s="26" t="str">
        <x:v>1. 进行心理评估，了解来访者的基本情况及心理状态，为其制定个性化的咨询计划。 2. 采用科学的方法和技术开展个体或团体心理咨询，帮助来访者调整情绪，改善人际关系，解决心理困扰。 3. 定期跟踪来访者的咨询进展，记录咨询…</x:v>
      </x:c>
    </x:row>
    <x:row r="178" ht="72" customHeight="1">
      <x:c r="A178" s="25" t="n">
        <x:v>11070</x:v>
      </x:c>
      <x:c r="B178" s="25" t="str">
        <x:v>IC-L3-327</x:v>
      </x:c>
      <x:c r="C178" s="25" t="str">
        <x:v>核酸检测员</x:v>
      </x:c>
      <x:c r="D178" s="25" t="str">
        <x:v>2-05-01-19</x:v>
      </x:c>
      <x:c r="E178" s="25" t="str">
        <x:v>全科医师</x:v>
      </x:c>
      <x:c r="F178" s="28" t="n">
        <x:f>COUNTIF('岗位-产业节点关系'!$C$4:$C$709,B178)</x:f>
        <x:v>1</x:v>
      </x:c>
      <x:c r="G178" s="26" t="str">
        <x:f>IF(F178=0,"未匹配（现有产业链范围未覆盖或证据不足）",IF(COUNTIFS('岗位-产业节点关系'!$C$4:$C$709,B178,'岗位-产业节点关系'!$M$4:$M$709,"低")&gt;0,"已匹配，建议复核","已匹配"))</x:f>
        <x:v>已匹配，建议复核</x:v>
      </x:c>
      <x:c r="H178" s="26" t="str">
        <x:v>低</x:v>
      </x:c>
      <x:c r="I178" s="26" t="str">
        <x:v>ICN012</x:v>
      </x:c>
      <x:c r="J178" s="26" t="str">
        <x:v>医药生物与医疗健康产业链/下游/医疗服务、临床应用与健康管理</x:v>
      </x:c>
      <x:c r="K178" s="26" t="str">
        <x:v>核酸检测员是医药/医疗行业中不可或缺的专业人才，特别是在当前全球公共卫生形势下，其工作的重要性日益凸显。该职位不仅承担着疾病诊断的关键任务，还是疫情防控的第一道防线，对于保障公众健康具有不可替代的作用。 作为核酸检测员，…</x:v>
      </x:c>
      <x:c r="L178" s="26" t="str">
        <x:v>1. 负责接收并登记待检样本，确保信息录入无误，为后续检测流程奠定基础。 2. 按照标准操作程序执行核酸提取、扩增等实验步骤，保证检测过程的规范性和安全性。 3. 对检测数据进行分析解读，及时出具报告，并对异常结果进行复…</x:v>
      </x:c>
    </x:row>
    <x:row r="179" ht="72" customHeight="1">
      <x:c r="A179" s="25" t="n">
        <x:v>11071</x:v>
      </x:c>
      <x:c r="B179" s="25" t="str">
        <x:v>IC-L3-328</x:v>
      </x:c>
      <x:c r="C179" s="25" t="str">
        <x:v>牙科医生</x:v>
      </x:c>
      <x:c r="D179" s="25" t="str">
        <x:v>2-05-01-19</x:v>
      </x:c>
      <x:c r="E179" s="25" t="str">
        <x:v>全科医师</x:v>
      </x:c>
      <x:c r="F179" s="28" t="n">
        <x:f>COUNTIF('岗位-产业节点关系'!$C$4:$C$709,B179)</x:f>
        <x:v>1</x:v>
      </x:c>
      <x:c r="G179" s="26" t="str">
        <x:f>IF(F179=0,"未匹配（现有产业链范围未覆盖或证据不足）",IF(COUNTIFS('岗位-产业节点关系'!$C$4:$C$709,B179,'岗位-产业节点关系'!$M$4:$M$709,"低")&gt;0,"已匹配，建议复核","已匹配"))</x:f>
        <x:v>已匹配</x:v>
      </x:c>
      <x:c r="H179" s="26" t="str">
        <x:v>高</x:v>
      </x:c>
      <x:c r="I179" s="26" t="str">
        <x:v>ICN012</x:v>
      </x:c>
      <x:c r="J179" s="26" t="str">
        <x:v>医药生物与医疗健康产业链/下游/医疗服务、临床应用与健康管理</x:v>
      </x:c>
      <x:c r="K179" s="26" t="str">
        <x:v>牙科医生是医药/医疗行业中不可或缺的专业人才，他们专注于口腔健康问题的诊断与治疗，为患者提供全面的口腔护理服务，确保每位患者都能享受到高质量的医疗服务。作为医疗机构的重要组成部分，牙科医生不仅承担着维护患者口腔健康的重任…</x:v>
      </x:c>
      <x:c r="L179" s="26" t="str">
        <x:v>1. 为患者提供专业的牙齿检查、诊断及治疗方案，包括但不限于洁牙、补牙、拔牙等常规操作，确保患者得到及时有效的治疗。 2. 针对特定病例进行深入研究，结合最新的医学研究成果和临床指南，为患者制定个性化的长期护理计划，促进…</x:v>
      </x:c>
    </x:row>
    <x:row r="180" ht="72" customHeight="1">
      <x:c r="A180" s="25" t="n">
        <x:v>11072</x:v>
      </x:c>
      <x:c r="B180" s="25" t="str">
        <x:v>IC-L3-329</x:v>
      </x:c>
      <x:c r="C180" s="25" t="str">
        <x:v>理疗师</x:v>
      </x:c>
      <x:c r="D180" s="25" t="str">
        <x:v>2-05-01-19</x:v>
      </x:c>
      <x:c r="E180" s="25" t="str">
        <x:v>全科医师</x:v>
      </x:c>
      <x:c r="F180" s="28" t="n">
        <x:f>COUNTIF('岗位-产业节点关系'!$C$4:$C$709,B180)</x:f>
        <x:v>1</x:v>
      </x:c>
      <x:c r="G180" s="26" t="str">
        <x:f>IF(F180=0,"未匹配（现有产业链范围未覆盖或证据不足）",IF(COUNTIFS('岗位-产业节点关系'!$C$4:$C$709,B180,'岗位-产业节点关系'!$M$4:$M$709,"低")&gt;0,"已匹配，建议复核","已匹配"))</x:f>
        <x:v>已匹配</x:v>
      </x:c>
      <x:c r="H180" s="26" t="str">
        <x:v>中</x:v>
      </x:c>
      <x:c r="I180" s="26" t="str">
        <x:v>ICN012</x:v>
      </x:c>
      <x:c r="J180" s="26" t="str">
        <x:v>医药生物与医疗健康产业链/下游/医疗服务、临床应用与健康管理</x:v>
      </x:c>
      <x:c r="K180" s="26" t="str">
        <x:v>理疗师作为医疗保健领域中不可或缺的专业人员，承担着帮助患者恢复身体功能、减轻疼痛以及提高生活质量的重要职责。通过运用物理治疗手段和技术，他们能够针对不同类型的疾病或损伤提供个性化的康复方案，从而促进患者的全面康复。这一角…</x:v>
      </x:c>
      <x:c r="L180" s="26" t="str">
        <x:v>1. 对新入院或转诊的患者进行初步评估，了解其病史、症状及治疗需求，确定合适的物理治疗方法。 2. 根据患者的具体情况，设计个性化的康复训练计划，包括但不限于运动疗法、手法治疗、电疗等，以改善或恢复其身体功能。 3. 定…</x:v>
      </x:c>
    </x:row>
    <x:row r="181" ht="72" customHeight="1">
      <x:c r="A181" s="25" t="n">
        <x:v>11073</x:v>
      </x:c>
      <x:c r="B181" s="25" t="str">
        <x:v>IC-L3-330</x:v>
      </x:c>
      <x:c r="C181" s="25" t="str">
        <x:v>眼科医生</x:v>
      </x:c>
      <x:c r="D181" s="25" t="str">
        <x:v>2-05-01-19</x:v>
      </x:c>
      <x:c r="E181" s="25" t="str">
        <x:v>全科医师</x:v>
      </x:c>
      <x:c r="F181" s="28" t="n">
        <x:f>COUNTIF('岗位-产业节点关系'!$C$4:$C$709,B181)</x:f>
        <x:v>1</x:v>
      </x:c>
      <x:c r="G181" s="26" t="str">
        <x:f>IF(F181=0,"未匹配（现有产业链范围未覆盖或证据不足）",IF(COUNTIFS('岗位-产业节点关系'!$C$4:$C$709,B181,'岗位-产业节点关系'!$M$4:$M$709,"低")&gt;0,"已匹配，建议复核","已匹配"))</x:f>
        <x:v>已匹配</x:v>
      </x:c>
      <x:c r="H181" s="26" t="str">
        <x:v>高</x:v>
      </x:c>
      <x:c r="I181" s="26" t="str">
        <x:v>ICN012</x:v>
      </x:c>
      <x:c r="J181" s="26" t="str">
        <x:v>医药生物与医疗健康产业链/下游/医疗服务、临床应用与健康管理</x:v>
      </x:c>
      <x:c r="K181" s="26" t="str">
        <x:v>眼科医生是医药/医疗行业中不可或缺的专业人才，负责诊断和治疗与眼睛相关的各种疾病。作为医生/医技方向的一员，他们不仅需要具备扎实的医学知识和临床技能，还需要拥有高度的责任心和服务意识，以确保患者能够得到最合适的治疗方案。…</x:v>
      </x:c>
      <x:c r="L181" s="26" t="str">
        <x:v>1. 对前来就诊的患者进行详细的眼科检查，包括但不限于视力测试、眼压测量等，以准确判断病情并制定合理的治疗计划。 2. 开展日常门诊工作，耐心解答患者的疑问，指导其正确用药及日常护理方法，提高患者的生活质量。 3. 负责…</x:v>
      </x:c>
    </x:row>
    <x:row r="182" ht="72" customHeight="1">
      <x:c r="A182" s="25" t="n">
        <x:v>11074</x:v>
      </x:c>
      <x:c r="B182" s="25" t="str">
        <x:v>IC-L3-331</x:v>
      </x:c>
      <x:c r="C182" s="25" t="str">
        <x:v>综合门诊/全科医生</x:v>
      </x:c>
      <x:c r="D182" s="25" t="str">
        <x:v>2-05-01-19</x:v>
      </x:c>
      <x:c r="E182" s="25" t="str">
        <x:v>全科医师</x:v>
      </x:c>
      <x:c r="F182" s="28" t="n">
        <x:f>COUNTIF('岗位-产业节点关系'!$C$4:$C$709,B182)</x:f>
        <x:v>1</x:v>
      </x:c>
      <x:c r="G182" s="26" t="str">
        <x:f>IF(F182=0,"未匹配（现有产业链范围未覆盖或证据不足）",IF(COUNTIFS('岗位-产业节点关系'!$C$4:$C$709,B182,'岗位-产业节点关系'!$M$4:$M$709,"低")&gt;0,"已匹配，建议复核","已匹配"))</x:f>
        <x:v>已匹配</x:v>
      </x:c>
      <x:c r="H182" s="26" t="str">
        <x:v>高</x:v>
      </x:c>
      <x:c r="I182" s="26" t="str">
        <x:v>ICN012</x:v>
      </x:c>
      <x:c r="J182" s="26" t="str">
        <x:v>医药生物与医疗健康产业链/下游/医疗服务、临床应用与健康管理</x:v>
      </x:c>
      <x:c r="K182" s="26" t="str">
        <x:v>全科医生是医药/医疗行业中不可或缺的专业人才，他们通过提供全面而细致的医疗服务，确保患者获得及时有效的治疗。作为医疗团队中的核心成员，全科医生不仅承担着诊断和治疗常见疾病的责任，还负责患者的健康管理和预防保健工作，其角色…</x:v>
      </x:c>
      <x:c r="L182" s="26" t="str">
        <x:v>1. 对患者进行全面体检，收集病史资料，运用专业知识和技术手段做出初步诊断。 2. 根据诊断结果开具合适的药物处方，指导患者正确用药，并定期复查以评估疗效。 3. 向患者普及健康知识，提供科学的生活方式建议，帮助其建立良…</x:v>
      </x:c>
    </x:row>
    <x:row r="183" ht="72" customHeight="1">
      <x:c r="A183" s="25" t="n">
        <x:v>11075</x:v>
      </x:c>
      <x:c r="B183" s="25" t="str">
        <x:v>IC-L3-332</x:v>
      </x:c>
      <x:c r="C183" s="25" t="str">
        <x:v>药库主任/药剂师</x:v>
      </x:c>
      <x:c r="D183" s="25" t="str">
        <x:v>2-05-01-19</x:v>
      </x:c>
      <x:c r="E183" s="25" t="str">
        <x:v>全科医师</x:v>
      </x:c>
      <x:c r="F183" s="28" t="n">
        <x:f>COUNTIF('岗位-产业节点关系'!$C$4:$C$709,B183)</x:f>
        <x:v>1</x:v>
      </x:c>
      <x:c r="G183" s="26" t="str">
        <x:f>IF(F183=0,"未匹配（现有产业链范围未覆盖或证据不足）",IF(COUNTIFS('岗位-产业节点关系'!$C$4:$C$709,B183,'岗位-产业节点关系'!$M$4:$M$709,"低")&gt;0,"已匹配，建议复核","已匹配"))</x:f>
        <x:v>已匹配，建议复核</x:v>
      </x:c>
      <x:c r="H183" s="26" t="str">
        <x:v>低</x:v>
      </x:c>
      <x:c r="I183" s="26" t="str">
        <x:v>ICN012</x:v>
      </x:c>
      <x:c r="J183" s="26" t="str">
        <x:v>医药生物与医疗健康产业链/下游/医疗服务、临床应用与健康管理</x:v>
      </x:c>
      <x:c r="K183" s="26" t="str">
        <x:v>药库主任/药剂师是医药行业中至关重要的角色之一，负责确保药品的质量与安全，以及药品供应链的有效管理。该职位不仅要求具备扎实的专业知识，还需要拥有良好的沟通协调能力和团队领导力，以确保医院或医疗机构的日常运营顺畅无阻。 该…</x:v>
      </x:c>
      <x:c r="L183" s="26" t="str">
        <x:v>1. 负责药库的全面管理工作，包括药品采购、验收、存储、分发等环节，确保所有操作符合国家相关法律法规及公司内部规定。 2. 制定并实施药品库存管理制度，合理控制库存水平，避免过期或短缺现象发生，保证临床需求得到及时满足。…</x:v>
      </x:c>
    </x:row>
    <x:row r="184" ht="72" customHeight="1">
      <x:c r="A184" s="25" t="n">
        <x:v>11076</x:v>
      </x:c>
      <x:c r="B184" s="25" t="str">
        <x:v>IC-L3-333</x:v>
      </x:c>
      <x:c r="C184" s="25" t="str">
        <x:v>营养师</x:v>
      </x:c>
      <x:c r="D184" s="25" t="str">
        <x:v>2-05-01-19</x:v>
      </x:c>
      <x:c r="E184" s="25" t="str">
        <x:v>全科医师</x:v>
      </x:c>
      <x:c r="F184" s="28" t="n">
        <x:f>COUNTIF('岗位-产业节点关系'!$C$4:$C$709,B184)</x:f>
        <x:v>2</x:v>
      </x:c>
      <x:c r="G184" s="26" t="str">
        <x:f>IF(F184=0,"未匹配（现有产业链范围未覆盖或证据不足）",IF(COUNTIFS('岗位-产业节点关系'!$C$4:$C$709,B184,'岗位-产业节点关系'!$M$4:$M$709,"低")&gt;0,"已匹配，建议复核","已匹配"))</x:f>
        <x:v>已匹配</x:v>
      </x:c>
      <x:c r="H184" s="26" t="str">
        <x:v>高</x:v>
      </x:c>
      <x:c r="I184" s="26" t="str">
        <x:v>ICN012、ICN027</x:v>
      </x:c>
      <x:c r="J184" s="26" t="str">
        <x:v>医药生物与医疗健康产业链/下游/医疗服务、临床应用与健康管理；食品饮料产业链/下游/品牌渠道、餐饮零售与消费服务</x:v>
      </x:c>
      <x:c r="K184" s="26" t="str">
        <x:v>营养师是医药/医疗行业中不可或缺的专业人才，在维护和促进公众健康方面发挥着重要作用。作为连接患者与治疗方案之间的桥梁，营养师通过科学的方法评估个体或群体的营养状况，制定合理的饮食计划，以达到预防疾病、改善健康的目的，从而…</x:v>
      </x:c>
      <x:c r="L184" s="26" t="str">
        <x:v>1. 为患者进行营养评估，收集病史资料，分析患者的营养需求，制定个性化营养治疗方案。 2. 定期监测患者的身体状况变化，调整营养方案，确保其符合患者的康复进程。 3. 开展营养咨询活动，普及健康饮食知识，提高患者自我保健…</x:v>
      </x:c>
    </x:row>
    <x:row r="185" ht="72" customHeight="1">
      <x:c r="A185" s="25" t="n">
        <x:v>11077</x:v>
      </x:c>
      <x:c r="B185" s="25" t="str">
        <x:v>IC-L3-334</x:v>
      </x:c>
      <x:c r="C185" s="25" t="str">
        <x:v>超声影像/放射科医师</x:v>
      </x:c>
      <x:c r="D185" s="25" t="str">
        <x:v>2-05-01-19</x:v>
      </x:c>
      <x:c r="E185" s="25" t="str">
        <x:v>全科医师</x:v>
      </x:c>
      <x:c r="F185" s="28" t="n">
        <x:f>COUNTIF('岗位-产业节点关系'!$C$4:$C$709,B185)</x:f>
        <x:v>1</x:v>
      </x:c>
      <x:c r="G185" s="26" t="str">
        <x:f>IF(F185=0,"未匹配（现有产业链范围未覆盖或证据不足）",IF(COUNTIFS('岗位-产业节点关系'!$C$4:$C$709,B185,'岗位-产业节点关系'!$M$4:$M$709,"低")&gt;0,"已匹配，建议复核","已匹配"))</x:f>
        <x:v>已匹配</x:v>
      </x:c>
      <x:c r="H185" s="26" t="str">
        <x:v>高</x:v>
      </x:c>
      <x:c r="I185" s="26" t="str">
        <x:v>ICN012</x:v>
      </x:c>
      <x:c r="J185" s="26" t="str">
        <x:v>医药生物与医疗健康产业链/下游/医疗服务、临床应用与健康管理</x:v>
      </x:c>
      <x:c r="K185" s="26" t="str">
        <x:v>超声影像/放射科医师是医疗领域中不可或缺的专业人才，他们通过使用先进的医学影像设备进行诊断，为临床治疗提供科学依据，是确保患者得到及时准确治疗的关键角色。作为超声影像/放射科医师，其核心目标在于利用专业知识和技术手段，准…</x:v>
      </x:c>
      <x:c r="L185" s="26" t="str">
        <x:v>1. 负责操作并维护超声、CT、MRI等影像学检查设备，确保图像质量符合临床需求。 2. 对患者进行详细的病史询问及体格检查，结合影像资料做出初步诊断意见。 3. 与其他科室医生沟通交流，共同探讨疑难杂症的解决方案，提供…</x:v>
      </x:c>
    </x:row>
    <x:row r="186" ht="72" customHeight="1">
      <x:c r="A186" s="25" t="n">
        <x:v>11078</x:v>
      </x:c>
      <x:c r="B186" s="25" t="str">
        <x:v>IC-L3-335</x:v>
      </x:c>
      <x:c r="C186" s="25" t="str">
        <x:v>针灸/推拿</x:v>
      </x:c>
      <x:c r="D186" s="25" t="str">
        <x:v>2-05-01-19</x:v>
      </x:c>
      <x:c r="E186" s="25" t="str">
        <x:v>全科医师</x:v>
      </x:c>
      <x:c r="F186" s="28" t="n">
        <x:f>COUNTIF('岗位-产业节点关系'!$C$4:$C$709,B186)</x:f>
        <x:v>1</x:v>
      </x:c>
      <x:c r="G186" s="26" t="str">
        <x:f>IF(F186=0,"未匹配（现有产业链范围未覆盖或证据不足）",IF(COUNTIFS('岗位-产业节点关系'!$C$4:$C$709,B186,'岗位-产业节点关系'!$M$4:$M$709,"低")&gt;0,"已匹配，建议复核","已匹配"))</x:f>
        <x:v>已匹配，建议复核</x:v>
      </x:c>
      <x:c r="H186" s="26" t="str">
        <x:v>低</x:v>
      </x:c>
      <x:c r="I186" s="26" t="str">
        <x:v>ICN012</x:v>
      </x:c>
      <x:c r="J186" s="26" t="str">
        <x:v>医药生物与医疗健康产业链/下游/医疗服务、临床应用与健康管理</x:v>
      </x:c>
      <x:c r="K186" s="26" t="str">
        <x:v>针灸/推拿师是医药/医疗行业中不可或缺的专业人才，他们通过运用传统中医理论和技术，如针灸、推拿等方法，帮助患者缓解疼痛、治疗疾病、恢复健康。作为医疗领域的重要组成部分，针灸/推拿师不仅能够提供有效的治疗方案，还能促进患者…</x:v>
      </x:c>
      <x:c r="L186" s="26" t="str">
        <x:v>1. 负责对患者进行详细的问诊，了解病情及既往病史，准确判断适应症，制定个性化针灸/推拿治疗方案。 2. 运用针灸、推拿等技术为患者实施治疗，操作规范，确保疗效，同时注意观察患者反应，及时调整治疗方案。 3. 与临床医师…</x:v>
      </x:c>
    </x:row>
    <x:row r="187" ht="72" customHeight="1">
      <x:c r="A187" s="25" t="n">
        <x:v>11079</x:v>
      </x:c>
      <x:c r="B187" s="25" t="str">
        <x:v>IC-L3-336</x:v>
      </x:c>
      <x:c r="C187" s="25" t="str">
        <x:v>防疫员</x:v>
      </x:c>
      <x:c r="D187" s="25" t="str">
        <x:v>2-05-01-19</x:v>
      </x:c>
      <x:c r="E187" s="25" t="str">
        <x:v>全科医师</x:v>
      </x:c>
      <x:c r="F187" s="28" t="n">
        <x:f>COUNTIF('岗位-产业节点关系'!$C$4:$C$709,B187)</x:f>
        <x:v>1</x:v>
      </x:c>
      <x:c r="G187" s="26" t="str">
        <x:f>IF(F187=0,"未匹配（现有产业链范围未覆盖或证据不足）",IF(COUNTIFS('岗位-产业节点关系'!$C$4:$C$709,B187,'岗位-产业节点关系'!$M$4:$M$709,"低")&gt;0,"已匹配，建议复核","已匹配"))</x:f>
        <x:v>已匹配，建议复核</x:v>
      </x:c>
      <x:c r="H187" s="26" t="str">
        <x:v>低</x:v>
      </x:c>
      <x:c r="I187" s="26" t="str">
        <x:v>ICN012</x:v>
      </x:c>
      <x:c r="J187" s="26" t="str">
        <x:v>医药生物与医疗健康产业链/下游/医疗服务、临床应用与健康管理</x:v>
      </x:c>
      <x:c r="K187" s="26" t="str">
        <x:v>防疫员是医药/医疗行业中不可或缺的专业人才，主要负责疾病的预防与控制工作，确保公共卫生安全，提高社区健康水平。在疾病爆发时，他们能够迅速响应，采取有效措施防止疫情扩散，对维护社会稳定和人民生命健康起着至关重要的作用。 该…</x:v>
      </x:c>
      <x:c r="L187" s="26" t="str">
        <x:v>1. 负责制定并执行辖区内各类传染病监测计划，定期收集、分析疫情数据，及时向有关部门报告异常情况。 2. 组织开展健康教育活动，普及疾病预防知识，指导居民正确使用疫苗和其他预防手段，提高全民自我保护能力。 3. 参与重大…</x:v>
      </x:c>
    </x:row>
    <x:row r="188" ht="72" customHeight="1">
      <x:c r="A188" s="25" t="n">
        <x:v>11080</x:v>
      </x:c>
      <x:c r="B188" s="25" t="str">
        <x:v>IC-L3-337</x:v>
      </x:c>
      <x:c r="C188" s="25" t="str">
        <x:v>验光师</x:v>
      </x:c>
      <x:c r="D188" s="25" t="str">
        <x:v>2-05-01-19</x:v>
      </x:c>
      <x:c r="E188" s="25" t="str">
        <x:v>全科医师</x:v>
      </x:c>
      <x:c r="F188" s="28" t="n">
        <x:f>COUNTIF('岗位-产业节点关系'!$C$4:$C$709,B188)</x:f>
        <x:v>1</x:v>
      </x:c>
      <x:c r="G188" s="26" t="str">
        <x:f>IF(F188=0,"未匹配（现有产业链范围未覆盖或证据不足）",IF(COUNTIFS('岗位-产业节点关系'!$C$4:$C$709,B188,'岗位-产业节点关系'!$M$4:$M$709,"低")&gt;0,"已匹配，建议复核","已匹配"))</x:f>
        <x:v>已匹配，建议复核</x:v>
      </x:c>
      <x:c r="H188" s="26" t="str">
        <x:v>低</x:v>
      </x:c>
      <x:c r="I188" s="26" t="str">
        <x:v>ICN012</x:v>
      </x:c>
      <x:c r="J188" s="26" t="str">
        <x:v>医药生物与医疗健康产业链/下游/医疗服务、临床应用与健康管理</x:v>
      </x:c>
      <x:c r="K188" s="26" t="str">
        <x:v>验光师是医疗行业中不可或缺的专业人员，负责评估患者的眼睛健康状况并提供视力矫正建议。通过精确测量眼睛的屈光状态，验光师能够开具合适的处方以改善患者的视觉质量，同时识别潜在的眼部疾病，为患者提供全面的眼保健服务。作为医疗机…</x:v>
      </x:c>
      <x:c r="L188" s="26" t="str">
        <x:v>1. 为患者进行系统全面的眼部检查，准确判断其视力问题及眼部健康状况，确保每位患者都能获得个性化的视力解决方案。 2. 根据检查结果，科学合理地开具眼镜或隐形眼镜处方，指导患者正确选择适合自己的镜片类型及参数，提高佩戴舒…</x:v>
      </x:c>
    </x:row>
    <x:row r="189" ht="72" customHeight="1">
      <x:c r="A189" s="25" t="n">
        <x:v>11081</x:v>
      </x:c>
      <x:c r="B189" s="25" t="str">
        <x:v>IC-L3-338</x:v>
      </x:c>
      <x:c r="C189" s="25" t="str">
        <x:v>麻醉医生</x:v>
      </x:c>
      <x:c r="D189" s="25" t="str">
        <x:v>2-05-01-19</x:v>
      </x:c>
      <x:c r="E189" s="25" t="str">
        <x:v>全科医师</x:v>
      </x:c>
      <x:c r="F189" s="28" t="n">
        <x:f>COUNTIF('岗位-产业节点关系'!$C$4:$C$709,B189)</x:f>
        <x:v>1</x:v>
      </x:c>
      <x:c r="G189" s="26" t="str">
        <x:f>IF(F189=0,"未匹配（现有产业链范围未覆盖或证据不足）",IF(COUNTIFS('岗位-产业节点关系'!$C$4:$C$709,B189,'岗位-产业节点关系'!$M$4:$M$709,"低")&gt;0,"已匹配，建议复核","已匹配"))</x:f>
        <x:v>已匹配</x:v>
      </x:c>
      <x:c r="H189" s="26" t="str">
        <x:v>高</x:v>
      </x:c>
      <x:c r="I189" s="26" t="str">
        <x:v>ICN012</x:v>
      </x:c>
      <x:c r="J189" s="26" t="str">
        <x:v>医药生物与医疗健康产业链/下游/医疗服务、临床应用与健康管理</x:v>
      </x:c>
      <x:c r="K189" s="26" t="str">
        <x:v>麻醉医生是医药/医疗行业中不可或缺的专业人才，他们通过精准的麻醉技术确保手术过程的安全与顺利，同时保障患者的生命安全，是手术成功的重要守护者。麻醉医生的核心目标是在手术过程中提供最适宜的麻醉深度，有效管理患者的生命体征，…</x:v>
      </x:c>
      <x:c r="L189" s="26" t="str">
        <x:v>1. 负责手术患者术前访视，详细了解病史及身体状况，制定个性化麻醉计划，确保麻醉方案符合患者需求。 2. 实施全身麻醉或局部麻醉操作，监测并调控患者生命体征，确保手术期间患者处于安全状态。 3. 与外科医生、护士等医护人…</x:v>
      </x:c>
    </x:row>
    <x:row r="190" ht="72" customHeight="1">
      <x:c r="A190" s="25" t="n">
        <x:v>11082</x:v>
      </x:c>
      <x:c r="B190" s="25" t="str">
        <x:v>IC-L3-339</x:v>
      </x:c>
      <x:c r="C190" s="25" t="str">
        <x:v>健康咨询师</x:v>
      </x:c>
      <x:c r="D190" s="25" t="str">
        <x:v>2-05-01-19</x:v>
      </x:c>
      <x:c r="E190" s="25" t="str">
        <x:v>全科医师</x:v>
      </x:c>
      <x:c r="F190" s="28" t="n">
        <x:f>COUNTIF('岗位-产业节点关系'!$C$4:$C$709,B190)</x:f>
        <x:v>0</x:v>
      </x:c>
      <x:c r="G190" s="26" t="str">
        <x:f>IF(F190=0,"未匹配（现有产业链范围未覆盖或证据不足）",IF(COUNTIFS('岗位-产业节点关系'!$C$4:$C$709,B190,'岗位-产业节点关系'!$M$4:$M$709,"低")&gt;0,"已匹配，建议复核","已匹配"))</x:f>
        <x:v>未匹配（现有产业链范围未覆盖或证据不足）</x:v>
      </x:c>
      <x:c r="H190" s="26" t="str">
        <x:v>-</x:v>
      </x:c>
      <x:c r="I190" s="26" t="str"/>
      <x:c r="J190" s="26" t="str"/>
      <x:c r="K190" s="26" t="str">
        <x:v>健康咨询师是为个人或群体提供健康指导和咨询服务的专业人员。 该职位的核心目标是通过专业的健康评估和指导，帮助咨询对象建立健康的生活方式，预防疾病。 在日常工作中，健康咨询师需要进行健康评估、制定健康计划、提供饮食运动指导…</x:v>
      </x:c>
      <x:c r="L190" s="26" t="str">
        <x:v>1. 进行健康状况评估和风险筛查 2. 制定个性化健康管理计划 3. 提供饮食营养和运动指导 4. 开展健康教育和咨询服务 5. 进行心理健康疏导 6. 跟踪评估健康改善效果</x:v>
      </x:c>
    </x:row>
    <x:row r="191" ht="72" customHeight="1">
      <x:c r="A191" s="25" t="n">
        <x:v>11083</x:v>
      </x:c>
      <x:c r="B191" s="25" t="str">
        <x:v>IC-L3-340</x:v>
      </x:c>
      <x:c r="C191" s="25" t="str">
        <x:v>核医学科医师</x:v>
      </x:c>
      <x:c r="D191" s="25" t="str">
        <x:v>2-05-01-19</x:v>
      </x:c>
      <x:c r="E191" s="25" t="str">
        <x:v>全科医师</x:v>
      </x:c>
      <x:c r="F191" s="28" t="n">
        <x:f>COUNTIF('岗位-产业节点关系'!$C$4:$C$709,B191)</x:f>
        <x:v>1</x:v>
      </x:c>
      <x:c r="G191" s="26" t="str">
        <x:f>IF(F191=0,"未匹配（现有产业链范围未覆盖或证据不足）",IF(COUNTIFS('岗位-产业节点关系'!$C$4:$C$709,B191,'岗位-产业节点关系'!$M$4:$M$709,"低")&gt;0,"已匹配，建议复核","已匹配"))</x:f>
        <x:v>已匹配</x:v>
      </x:c>
      <x:c r="H191" s="26" t="str">
        <x:v>中</x:v>
      </x:c>
      <x:c r="I191" s="26" t="str">
        <x:v>ICN012</x:v>
      </x:c>
      <x:c r="J191" s="26" t="str">
        <x:v>医药生物与医疗健康产业链/下游/医疗服务、临床应用与健康管理</x:v>
      </x:c>
      <x:c r="K191" s="26" t="str">
        <x:v>核医学科医师是专门从事放射性核素诊断与治疗的专业人员。该职位的核心目标是通过核医学技术，实现疾病的精准诊断和有效治疗。在日常工作中，需要进行放射性药物操作、影像判读、治疗计划制定及放射防护管理等工作。</x:v>
      </x:c>
      <x:c r="L191" s="26" t="str">
        <x:v>1. 诊断放射性核素检查 2. 实施核医学治疗操作 3. 分析影像诊断结果 4. 制定个体化治疗方案 5. 监测放射性药物使用 6. 确保辐射防护安全</x:v>
      </x:c>
    </x:row>
    <x:row r="192" ht="72" customHeight="1">
      <x:c r="A192" s="25" t="n">
        <x:v>11084</x:v>
      </x:c>
      <x:c r="B192" s="25" t="str">
        <x:v>IC-L3-341</x:v>
      </x:c>
      <x:c r="C192" s="25" t="str">
        <x:v>临床协调员</x:v>
      </x:c>
      <x:c r="D192" s="25" t="str">
        <x:v>2-05-01-19</x:v>
      </x:c>
      <x:c r="E192" s="25" t="str">
        <x:v>全科医师</x:v>
      </x:c>
      <x:c r="F192" s="28" t="n">
        <x:f>COUNTIF('岗位-产业节点关系'!$C$4:$C$709,B192)</x:f>
        <x:v>1</x:v>
      </x:c>
      <x:c r="G192" s="26" t="str">
        <x:f>IF(F192=0,"未匹配（现有产业链范围未覆盖或证据不足）",IF(COUNTIFS('岗位-产业节点关系'!$C$4:$C$709,B192,'岗位-产业节点关系'!$M$4:$M$709,"低")&gt;0,"已匹配，建议复核","已匹配"))</x:f>
        <x:v>已匹配</x:v>
      </x:c>
      <x:c r="H192" s="26" t="str">
        <x:v>中</x:v>
      </x:c>
      <x:c r="I192" s="26" t="str">
        <x:v>ICN012</x:v>
      </x:c>
      <x:c r="J192" s="26" t="str">
        <x:v>医药生物与医疗健康产业链/下游/医疗服务、临床应用与健康管理</x:v>
      </x:c>
      <x:c r="K192" s="26" t="str">
        <x:v>临床协调员是专门从事临床研究协调与管理的专业人员。该职位的核心目标是通过协调临床试验各方资源，确保研究项目高效合规推进。在日常工作中，需要进行研究方案执行监督、受试者招募与管理、数据收集与质量控制、以及相关文档整理等工作…</x:v>
      </x:c>
      <x:c r="L192" s="26" t="str">
        <x:v>1. 协调临床试验流程 2. 管理受试者档案 3. 跟踪研究数据收集 4. 协助医生执行方案 5. 确保合规性监督 6. 组织协调相关会议</x:v>
      </x:c>
    </x:row>
    <x:row r="193" ht="72" customHeight="1">
      <x:c r="A193" s="25" t="n">
        <x:v>11085</x:v>
      </x:c>
      <x:c r="B193" s="25" t="str">
        <x:v>IC-L3-342</x:v>
      </x:c>
      <x:c r="C193" s="25" t="str">
        <x:v>药理研究员</x:v>
      </x:c>
      <x:c r="D193" s="25" t="str">
        <x:v>2-01-06-03</x:v>
      </x:c>
      <x:c r="E193" s="25" t="str">
        <x:v>化学研究人员</x:v>
      </x:c>
      <x:c r="F193" s="28" t="n">
        <x:f>COUNTIF('岗位-产业节点关系'!$C$4:$C$709,B193)</x:f>
        <x:v>0</x:v>
      </x:c>
      <x:c r="G193" s="26" t="str">
        <x:f>IF(F193=0,"未匹配（现有产业链范围未覆盖或证据不足）",IF(COUNTIFS('岗位-产业节点关系'!$C$4:$C$709,B193,'岗位-产业节点关系'!$M$4:$M$709,"低")&gt;0,"已匹配，建议复核","已匹配"))</x:f>
        <x:v>未匹配（现有产业链范围未覆盖或证据不足）</x:v>
      </x:c>
      <x:c r="H193" s="26" t="str">
        <x:v>-</x:v>
      </x:c>
      <x:c r="I193" s="26" t="str"/>
      <x:c r="J193" s="26" t="str"/>
      <x:c r="K193" s="26" t="str">
        <x:v>药理研究员是专门从事药物作用机制与药效评价的专业人员。该职位的核心目标是通过开展系统性药理研究，支持新药研发与临床用药方案优化。在日常工作中，需要进行体外/体内药效实验设计、数据收集分析、研究报告撰写等工作。</x:v>
      </x:c>
      <x:c r="L193" s="26" t="str">
        <x:v>1. 设计药理实验方案 2. 开展药物体内外试验 3. 分析药物作用机制 4. 评估药物安全有效性 5. 撰写实验研究报告 6. 跟进新药研发进程</x:v>
      </x:c>
    </x:row>
    <x:row r="194" ht="72" customHeight="1">
      <x:c r="A194" s="25" t="n">
        <x:v>11086</x:v>
      </x:c>
      <x:c r="B194" s="25" t="str">
        <x:v>IC-L3-343</x:v>
      </x:c>
      <x:c r="C194" s="25" t="str">
        <x:v>病理研究员</x:v>
      </x:c>
      <x:c r="D194" s="25" t="str">
        <x:v>2-01-06-03</x:v>
      </x:c>
      <x:c r="E194" s="25" t="str">
        <x:v>化学研究人员</x:v>
      </x:c>
      <x:c r="F194" s="28" t="n">
        <x:f>COUNTIF('岗位-产业节点关系'!$C$4:$C$709,B194)</x:f>
        <x:v>0</x:v>
      </x:c>
      <x:c r="G194" s="26" t="str">
        <x:f>IF(F194=0,"未匹配（现有产业链范围未覆盖或证据不足）",IF(COUNTIFS('岗位-产业节点关系'!$C$4:$C$709,B194,'岗位-产业节点关系'!$M$4:$M$709,"低")&gt;0,"已匹配，建议复核","已匹配"))</x:f>
        <x:v>未匹配（现有产业链范围未覆盖或证据不足）</x:v>
      </x:c>
      <x:c r="H194" s="26" t="str">
        <x:v>-</x:v>
      </x:c>
      <x:c r="I194" s="26" t="str"/>
      <x:c r="J194" s="26" t="str"/>
      <x:c r="K194" s="26" t="str">
        <x:v>病理研究员是专门从事疾病机理与诊断研究的专业人员。该职位的核心目标是通过病理学实验与分析，为疾病诊断和治疗提供科学依据。在日常工作中，需要进行病理标本处理、切片分析、实验数据记录以及研究报告撰写等工作。</x:v>
      </x:c>
      <x:c r="L194" s="26" t="str">
        <x:v>1. 开展病理实验研究 2. 分析病理样本数据 3. 撰写病理研究报告 4. 维护实验仪器设备 5. 参与学术交流活动 6. 遵守医疗安全规范</x:v>
      </x:c>
    </x:row>
    <x:row r="195" ht="72" customHeight="1">
      <x:c r="A195" s="25" t="n">
        <x:v>11087</x:v>
      </x:c>
      <x:c r="B195" s="25" t="str">
        <x:v>IC-L3-344</x:v>
      </x:c>
      <x:c r="C195" s="25" t="str">
        <x:v>医疗器械市场推广</x:v>
      </x:c>
      <x:c r="D195" s="25" t="str">
        <x:v>2-05-07-01</x:v>
      </x:c>
      <x:c r="E195" s="25" t="str">
        <x:v>影像技师</x:v>
      </x:c>
      <x:c r="F195" s="28" t="n">
        <x:f>COUNTIF('岗位-产业节点关系'!$C$4:$C$709,B195)</x:f>
        <x:v>1</x:v>
      </x:c>
      <x:c r="G195" s="26" t="str">
        <x:f>IF(F195=0,"未匹配（现有产业链范围未覆盖或证据不足）",IF(COUNTIFS('岗位-产业节点关系'!$C$4:$C$709,B195,'岗位-产业节点关系'!$M$4:$M$709,"低")&gt;0,"已匹配，建议复核","已匹配"))</x:f>
        <x:v>已匹配</x:v>
      </x:c>
      <x:c r="H195" s="26" t="str">
        <x:v>高</x:v>
      </x:c>
      <x:c r="I195" s="26" t="str">
        <x:v>ICN011</x:v>
      </x:c>
      <x:c r="J195" s="26" t="str">
        <x:v>医药生物与医疗健康产业链/中游/药械生产、医疗装备与数字平台</x:v>
      </x:c>
      <x:c r="K195" s="26" t="str">
        <x:v>医疗器械市场推广是医药/医疗行业中不可或缺的一环，它不仅连接了产品与消费者，更是推动企业增长的关键力量。作为这一领域的专业人士，其主要职责在于通过有效的市场策略，提升品牌知名度，增强产品竞争力，确保公司产品在激烈的市场竞…</x:v>
      </x:c>
      <x:c r="L195" s="26" t="str">
        <x:v>1. 负责收集并分析市场信息，了解行业趋势，为产品开发提供数据支持，确保市场推广活动的有效性。 2. 制定详细的年度市场推广计划，包括预算编制、活动策划等，确保各项活动顺利开展，达成既定目标。 3. 与销售团队密切配合，…</x:v>
      </x:c>
    </x:row>
    <x:row r="196" ht="72" customHeight="1">
      <x:c r="A196" s="25" t="n">
        <x:v>11088</x:v>
      </x:c>
      <x:c r="B196" s="25" t="str">
        <x:v>IC-L3-345</x:v>
      </x:c>
      <x:c r="C196" s="25" t="str">
        <x:v>医疗器械注册</x:v>
      </x:c>
      <x:c r="D196" s="25" t="str">
        <x:v>2-05-07-01</x:v>
      </x:c>
      <x:c r="E196" s="25" t="str">
        <x:v>影像技师</x:v>
      </x:c>
      <x:c r="F196" s="28" t="n">
        <x:f>COUNTIF('岗位-产业节点关系'!$C$4:$C$709,B196)</x:f>
        <x:v>1</x:v>
      </x:c>
      <x:c r="G196" s="26" t="str">
        <x:f>IF(F196=0,"未匹配（现有产业链范围未覆盖或证据不足）",IF(COUNTIFS('岗位-产业节点关系'!$C$4:$C$709,B196,'岗位-产业节点关系'!$M$4:$M$709,"低")&gt;0,"已匹配，建议复核","已匹配"))</x:f>
        <x:v>已匹配</x:v>
      </x:c>
      <x:c r="H196" s="26" t="str">
        <x:v>高</x:v>
      </x:c>
      <x:c r="I196" s="26" t="str">
        <x:v>ICN011</x:v>
      </x:c>
      <x:c r="J196" s="26" t="str">
        <x:v>医药生物与医疗健康产业链/中游/药械生产、医疗装备与数字平台</x:v>
      </x:c>
      <x:c r="K196" s="26" t="str">
        <x:v>医疗器械注册专员是医药/医疗行业中不可或缺的专业人才，负责确保公司开发的医疗器械产品能够顺利通过国家及国际相关法规的审核与认证。该职位在产品从研发到上市的过程中扮演着至关重要的桥梁作用，不仅需要具备扎实的医学背景知识，还…</x:v>
      </x:c>
      <x:c r="L196" s="26" t="str">
        <x:v>1. 负责收集整理国内外医疗器械注册相关的法律、法规信息，分析评估对公司现有及未来产品的影响。 2. 制定详细的医疗器械注册策略与方案，指导并监督注册文件的准备过程，确保所有材料符合要求。 3. 与监管机构建立良好的沟通…</x:v>
      </x:c>
    </x:row>
    <x:row r="197" ht="72" customHeight="1">
      <x:c r="A197" s="25" t="n">
        <x:v>11089</x:v>
      </x:c>
      <x:c r="B197" s="25" t="str">
        <x:v>IC-L3-346</x:v>
      </x:c>
      <x:c r="C197" s="25" t="str">
        <x:v>医疗器械生产/质量管理</x:v>
      </x:c>
      <x:c r="D197" s="25" t="str">
        <x:v>2-02-29-03</x:v>
      </x:c>
      <x:c r="E197" s="25" t="str">
        <x:v>质量管理工程技术人员</x:v>
      </x:c>
      <x:c r="F197" s="28" t="n">
        <x:f>COUNTIF('岗位-产业节点关系'!$C$4:$C$709,B197)</x:f>
        <x:v>1</x:v>
      </x:c>
      <x:c r="G197" s="26" t="str">
        <x:f>IF(F197=0,"未匹配（现有产业链范围未覆盖或证据不足）",IF(COUNTIFS('岗位-产业节点关系'!$C$4:$C$709,B197,'岗位-产业节点关系'!$M$4:$M$709,"低")&gt;0,"已匹配，建议复核","已匹配"))</x:f>
        <x:v>已匹配</x:v>
      </x:c>
      <x:c r="H197" s="26" t="str">
        <x:v>高</x:v>
      </x:c>
      <x:c r="I197" s="26" t="str">
        <x:v>ICN011</x:v>
      </x:c>
      <x:c r="J197" s="26" t="str">
        <x:v>医药生物与医疗健康产业链/中游/药械生产、医疗装备与数字平台</x:v>
      </x:c>
      <x:c r="K197" s="26" t="str">
        <x:v>医疗器械生产/质量管理是医药行业中不可或缺的关键环节，该职位负责确保医疗器械从设计到生产的全过程符合国际标准和法规要求，保障产品质量与患者安全。作为公司质量体系的核心组成部分，该职位通过制定和执行严格的质量控制流程，预防…</x:v>
      </x:c>
      <x:c r="L197" s="26" t="str">
        <x:v>1. 负责建立和完善医疗器械生产过程中的质量管理体系，确保所有操作均符合GMP（良好生产规范）及ISO 13485等国际标准。 2. 定期进行内部审核，监控生产线上的关键工艺参数，及时发现潜在的质量隐患，采取有效措施进行…</x:v>
      </x:c>
    </x:row>
    <x:row r="198" ht="72" customHeight="1">
      <x:c r="A198" s="25" t="n">
        <x:v>11090</x:v>
      </x:c>
      <x:c r="B198" s="25" t="str">
        <x:v>IC-L3-347</x:v>
      </x:c>
      <x:c r="C198" s="25" t="str">
        <x:v>医疗器械研发</x:v>
      </x:c>
      <x:c r="D198" s="25" t="str">
        <x:v>2-05-07-01</x:v>
      </x:c>
      <x:c r="E198" s="25" t="str">
        <x:v>影像技师</x:v>
      </x:c>
      <x:c r="F198" s="28" t="n">
        <x:f>COUNTIF('岗位-产业节点关系'!$C$4:$C$709,B198)</x:f>
        <x:v>1</x:v>
      </x:c>
      <x:c r="G198" s="26" t="str">
        <x:f>IF(F198=0,"未匹配（现有产业链范围未覆盖或证据不足）",IF(COUNTIFS('岗位-产业节点关系'!$C$4:$C$709,B198,'岗位-产业节点关系'!$M$4:$M$709,"低")&gt;0,"已匹配，建议复核","已匹配"))</x:f>
        <x:v>已匹配</x:v>
      </x:c>
      <x:c r="H198" s="26" t="str">
        <x:v>高</x:v>
      </x:c>
      <x:c r="I198" s="26" t="str">
        <x:v>ICN011</x:v>
      </x:c>
      <x:c r="J198" s="26" t="str">
        <x:v>医药生物与医疗健康产业链/中游/药械生产、医疗装备与数字平台</x:v>
      </x:c>
      <x:c r="K198" s="26" t="str">
        <x:v>医疗器械研发工程师是医药/医疗行业中不可或缺的专业人才，他们负责设计和开发用于诊断、治疗或监测疾病的各种医疗器械，确保这些设备的安全性、有效性和可靠性，对于推动医疗技术进步和提高患者生活质量起着至关重要的作用。该职位的核…</x:v>
      </x:c>
      <x:c r="L198" s="26" t="str">
        <x:v>1. 负责新型医疗器械的设计与开发工作，确保产品功能满足临床需求并具备良好的用户体验。 2. 参与制定研发计划，管理项目进度，协调内外部资源，解决研发过程中遇到的技术难题。 3. 对现有产品进行持续改进，提高性能指标，降…</x:v>
      </x:c>
    </x:row>
    <x:row r="199" ht="72" customHeight="1">
      <x:c r="A199" s="25" t="n">
        <x:v>11091</x:v>
      </x:c>
      <x:c r="B199" s="25" t="str">
        <x:v>IC-L3-348</x:v>
      </x:c>
      <x:c r="C199" s="25" t="str">
        <x:v>医疗器械维修人员</x:v>
      </x:c>
      <x:c r="D199" s="25" t="str">
        <x:v>2-05-07-01</x:v>
      </x:c>
      <x:c r="E199" s="25" t="str">
        <x:v>影像技师</x:v>
      </x:c>
      <x:c r="F199" s="28" t="n">
        <x:f>COUNTIF('岗位-产业节点关系'!$C$4:$C$709,B199)</x:f>
        <x:v>1</x:v>
      </x:c>
      <x:c r="G199" s="26" t="str">
        <x:f>IF(F199=0,"未匹配（现有产业链范围未覆盖或证据不足）",IF(COUNTIFS('岗位-产业节点关系'!$C$4:$C$709,B199,'岗位-产业节点关系'!$M$4:$M$709,"低")&gt;0,"已匹配，建议复核","已匹配"))</x:f>
        <x:v>已匹配</x:v>
      </x:c>
      <x:c r="H199" s="26" t="str">
        <x:v>高</x:v>
      </x:c>
      <x:c r="I199" s="26" t="str">
        <x:v>ICN011</x:v>
      </x:c>
      <x:c r="J199" s="26" t="str">
        <x:v>医药生物与医疗健康产业链/中游/药械生产、医疗装备与数字平台</x:v>
      </x:c>
      <x:c r="K199" s="26" t="str">
        <x:v>医疗器械维修人员是医药/医疗行业中不可或缺的专业技术人才，他们负责确保各种医疗器械的正常运行，对于保障患者安全、提高医疗服务质量和效率具有至关重要的作用。作为公司技术支持体系的关键组成部分，其核心目标在于通过高效准确地完…</x:v>
      </x:c>
      <x:c r="L199" s="26" t="str">
        <x:v>1. 负责医院内所有类型医疗器械的日常巡检、预防性维护及定期保养工作，确保设备处于最佳状态。 2. 接收并响应来自客户的维修请求，快速诊断故障原因并实施有效的修复措施，缩短设备停机时间。 3. 记录详细的维修日志，包括故…</x:v>
      </x:c>
    </x:row>
    <x:row r="200" ht="72" customHeight="1">
      <x:c r="A200" s="25" t="n">
        <x:v>11092</x:v>
      </x:c>
      <x:c r="B200" s="25" t="str">
        <x:v>IC-L3-349</x:v>
      </x:c>
      <x:c r="C200" s="25" t="str">
        <x:v>医疗器械销售代表</x:v>
      </x:c>
      <x:c r="D200" s="25" t="str">
        <x:v>4-01-02-01</x:v>
      </x:c>
      <x:c r="E200" s="25" t="str">
        <x:v>营销员</x:v>
      </x:c>
      <x:c r="F200" s="28" t="n">
        <x:f>COUNTIF('岗位-产业节点关系'!$C$4:$C$709,B200)</x:f>
        <x:v>1</x:v>
      </x:c>
      <x:c r="G200" s="26" t="str">
        <x:f>IF(F200=0,"未匹配（现有产业链范围未覆盖或证据不足）",IF(COUNTIFS('岗位-产业节点关系'!$C$4:$C$709,B200,'岗位-产业节点关系'!$M$4:$M$709,"低")&gt;0,"已匹配，建议复核","已匹配"))</x:f>
        <x:v>已匹配</x:v>
      </x:c>
      <x:c r="H200" s="26" t="str">
        <x:v>高</x:v>
      </x:c>
      <x:c r="I200" s="26" t="str">
        <x:v>ICN011</x:v>
      </x:c>
      <x:c r="J200" s="26" t="str">
        <x:v>医药生物与医疗健康产业链/中游/药械生产、医疗装备与数字平台</x:v>
      </x:c>
      <x:c r="K200" s="26" t="str">
        <x:v>医疗器械销售代表是医药/医疗行业中不可或缺的角色之一，他们不仅连接着公司与客户之间的桥梁，还负责将先进的医疗设备和技术推广至医疗机构及个人用户中，对于提升医疗服务质量有着至关重要的作用。作为公司产品线与市场需求对接的关键…</x:v>
      </x:c>
      <x:c r="L200" s="26" t="str">
        <x:v>1. 负责区域内目标医院或诊所的开发与维护工作，定期拜访潜在客户并了解其采购意向，积极促成订单成交。 2. 收集并分析市场信息，结合公司产品特点设计个性化营销方案，提高产品竞争力。 3. 协助组织各类学术交流活动，邀请专…</x:v>
      </x:c>
    </x:row>
    <x:row r="201" ht="72" customHeight="1">
      <x:c r="A201" s="25" t="n">
        <x:v>11093</x:v>
      </x:c>
      <x:c r="B201" s="25" t="str">
        <x:v>IC-L3-350</x:v>
      </x:c>
      <x:c r="C201" s="25" t="str">
        <x:v>医疗器械销售经理/主管</x:v>
      </x:c>
      <x:c r="D201" s="25" t="str">
        <x:v>4-01-02-01</x:v>
      </x:c>
      <x:c r="E201" s="25" t="str">
        <x:v>营销员</x:v>
      </x:c>
      <x:c r="F201" s="28" t="n">
        <x:f>COUNTIF('岗位-产业节点关系'!$C$4:$C$709,B201)</x:f>
        <x:v>1</x:v>
      </x:c>
      <x:c r="G201" s="26" t="str">
        <x:f>IF(F201=0,"未匹配（现有产业链范围未覆盖或证据不足）",IF(COUNTIFS('岗位-产业节点关系'!$C$4:$C$709,B201,'岗位-产业节点关系'!$M$4:$M$709,"低")&gt;0,"已匹配，建议复核","已匹配"))</x:f>
        <x:v>已匹配</x:v>
      </x:c>
      <x:c r="H201" s="26" t="str">
        <x:v>高</x:v>
      </x:c>
      <x:c r="I201" s="26" t="str">
        <x:v>ICN011</x:v>
      </x:c>
      <x:c r="J201" s="26" t="str">
        <x:v>医药生物与医疗健康产业链/中游/药械生产、医疗装备与数字平台</x:v>
      </x:c>
      <x:c r="K201" s="26" t="str">
        <x:v>医疗器械销售经理/主管是医药/医疗行业中不可或缺的角色，他们不仅负责推动公司产品的市场拓展，还承担着维护客户关系、提高市场份额的重要职责。作为连接企业与市场的桥梁，他们通过精准把握市场需求、制定有效的销售策略，为公司创造…</x:v>
      </x:c>
      <x:c r="L201" s="26" t="str">
        <x:v>1. 制定并执行年度销售计划，确保完成既定的销售额及利润目标。 2. 负责区域市场的开拓与维护，建立长期稳定的合作关系，提高客户满意度和忠诚度。 3. 分析市场趋势和竞争对手动态，及时调整销售策略，以适应不断变化的市场环…</x:v>
      </x:c>
    </x:row>
    <x:row r="202" ht="72" customHeight="1">
      <x:c r="A202" s="25" t="n">
        <x:v>11094</x:v>
      </x:c>
      <x:c r="B202" s="25" t="str">
        <x:v>IC-L3-351</x:v>
      </x:c>
      <x:c r="C202" s="25" t="str">
        <x:v>医学顾问</x:v>
      </x:c>
      <x:c r="D202" s="25" t="str">
        <x:v>2-05-07-01</x:v>
      </x:c>
      <x:c r="E202" s="25" t="str">
        <x:v>影像技师</x:v>
      </x:c>
      <x:c r="F202" s="28" t="n">
        <x:f>COUNTIF('岗位-产业节点关系'!$C$4:$C$709,B202)</x:f>
        <x:v>1</x:v>
      </x:c>
      <x:c r="G202" s="26" t="str">
        <x:f>IF(F202=0,"未匹配（现有产业链范围未覆盖或证据不足）",IF(COUNTIFS('岗位-产业节点关系'!$C$4:$C$709,B202,'岗位-产业节点关系'!$M$4:$M$709,"低")&gt;0,"已匹配，建议复核","已匹配"))</x:f>
        <x:v>已匹配，建议复核</x:v>
      </x:c>
      <x:c r="H202" s="26" t="str">
        <x:v>低</x:v>
      </x:c>
      <x:c r="I202" s="26" t="str">
        <x:v>ICN012</x:v>
      </x:c>
      <x:c r="J202" s="26" t="str">
        <x:v>医药生物与医疗健康产业链/下游/医疗服务、临床应用与健康管理</x:v>
      </x:c>
      <x:c r="K202" s="26" t="str">
        <x:v>医学顾问是具备临床医学专业背景的医疗器械领域专业人员。该职位的核心目标是通过提供专业医学支持，确保产品临床合规性并优化产品应用价值。在日常工作中，需要进行临床评估、医学文献审核、医生培训及产品临床应用指导等工作。</x:v>
      </x:c>
      <x:c r="L202" s="26" t="str">
        <x:v>1. 提供医学专业支持 2. 审核医疗器械资料 3. 参与临床方案设计 4. 解答医学技术问题 5. 跟进产品注册流程 6. 培训销售医学知识</x:v>
      </x:c>
    </x:row>
    <x:row r="203" ht="72" customHeight="1">
      <x:c r="A203" s="25" t="n">
        <x:v>11095</x:v>
      </x:c>
      <x:c r="B203" s="25" t="str">
        <x:v>IC-L3-352</x:v>
      </x:c>
      <x:c r="C203" s="25" t="str">
        <x:v>医疗器械市场推广</x:v>
      </x:c>
      <x:c r="D203" s="25" t="str">
        <x:v>4-01-02-01</x:v>
      </x:c>
      <x:c r="E203" s="25" t="str">
        <x:v>营销员</x:v>
      </x:c>
      <x:c r="F203" s="28" t="n">
        <x:f>COUNTIF('岗位-产业节点关系'!$C$4:$C$709,B203)</x:f>
        <x:v>1</x:v>
      </x:c>
      <x:c r="G203" s="26" t="str">
        <x:f>IF(F203=0,"未匹配（现有产业链范围未覆盖或证据不足）",IF(COUNTIFS('岗位-产业节点关系'!$C$4:$C$709,B203,'岗位-产业节点关系'!$M$4:$M$709,"低")&gt;0,"已匹配，建议复核","已匹配"))</x:f>
        <x:v>已匹配</x:v>
      </x:c>
      <x:c r="H203" s="26" t="str">
        <x:v>高</x:v>
      </x:c>
      <x:c r="I203" s="26" t="str">
        <x:v>ICN011</x:v>
      </x:c>
      <x:c r="J203" s="26" t="str">
        <x:v>医药生物与医疗健康产业链/中游/药械生产、医疗装备与数字平台</x:v>
      </x:c>
      <x:c r="K203" s="26" t="str">
        <x:v>医疗器械市场推广是医疗行业中至关重要的环节，它不仅连接着制造商与医疗机构，还直接关系到患者能否及时获得高质量的医疗设备和服务。通过精准的市场分析、策略制定及执行，该职位能够有效地提升公司产品的市场占有率，增强品牌影响力，…</x:v>
      </x:c>
      <x:c r="L203" s="26" t="str">
        <x:v>1. 负责制定并实施医疗器械产品的市场推广计划，确保完成既定的销售目标。 2. 分析市场趋势，收集竞争对手信息，定期向管理层提交市场动态报告，为产品定位和营销策略调整提供依据。 3. 组织参与国内外医疗器械展览会及学术会…</x:v>
      </x:c>
    </x:row>
    <x:row r="204" ht="72" customHeight="1">
      <x:c r="A204" s="25" t="n">
        <x:v>11096</x:v>
      </x:c>
      <x:c r="B204" s="25" t="str">
        <x:v>IC-L3-353</x:v>
      </x:c>
      <x:c r="C204" s="25" t="str">
        <x:v>医疗器械销售代表</x:v>
      </x:c>
      <x:c r="D204" s="25" t="str">
        <x:v>4-01-02-01</x:v>
      </x:c>
      <x:c r="E204" s="25" t="str">
        <x:v>营销员</x:v>
      </x:c>
      <x:c r="F204" s="28" t="n">
        <x:f>COUNTIF('岗位-产业节点关系'!$C$4:$C$709,B204)</x:f>
        <x:v>1</x:v>
      </x:c>
      <x:c r="G204" s="26" t="str">
        <x:f>IF(F204=0,"未匹配（现有产业链范围未覆盖或证据不足）",IF(COUNTIFS('岗位-产业节点关系'!$C$4:$C$709,B204,'岗位-产业节点关系'!$M$4:$M$709,"低")&gt;0,"已匹配，建议复核","已匹配"))</x:f>
        <x:v>已匹配</x:v>
      </x:c>
      <x:c r="H204" s="26" t="str">
        <x:v>高</x:v>
      </x:c>
      <x:c r="I204" s="26" t="str">
        <x:v>ICN011</x:v>
      </x:c>
      <x:c r="J204" s="26" t="str">
        <x:v>医药生物与医疗健康产业链/中游/药械生产、医疗装备与数字平台</x:v>
      </x:c>
      <x:c r="K204" s="26" t="str">
        <x:v>医疗器械销售代表是医药行业中不可或缺的角色之一，通过有效的市场推广和客户关系管理，确保公司产品能够顺利进入医疗机构，为患者提供高质量的医疗服务。该职位不仅需要具备良好的销售技巧，还需要对医疗器械有深刻的理解，能够准确把握…</x:v>
      </x:c>
      <x:c r="L204" s="26" t="str">
        <x:v>1. 负责指定区域内的医疗器械市场开发与维护工作，建立并保持与医院、诊所等潜在客户的良好关系，以提高产品覆盖率。 2. 定期拜访客户，了解其需求变化及反馈意见，及时调整销售策略，确保完成或超额完成年度销售任务。 3. 参…</x:v>
      </x:c>
    </x:row>
    <x:row r="205" ht="72" customHeight="1">
      <x:c r="A205" s="25" t="n">
        <x:v>11097</x:v>
      </x:c>
      <x:c r="B205" s="25" t="str">
        <x:v>IC-L3-354</x:v>
      </x:c>
      <x:c r="C205" s="25" t="str">
        <x:v>医疗器械销售经理/主管</x:v>
      </x:c>
      <x:c r="D205" s="25" t="str">
        <x:v>4-01-02-01</x:v>
      </x:c>
      <x:c r="E205" s="25" t="str">
        <x:v>营销员</x:v>
      </x:c>
      <x:c r="F205" s="28" t="n">
        <x:f>COUNTIF('岗位-产业节点关系'!$C$4:$C$709,B205)</x:f>
        <x:v>1</x:v>
      </x:c>
      <x:c r="G205" s="26" t="str">
        <x:f>IF(F205=0,"未匹配（现有产业链范围未覆盖或证据不足）",IF(COUNTIFS('岗位-产业节点关系'!$C$4:$C$709,B205,'岗位-产业节点关系'!$M$4:$M$709,"低")&gt;0,"已匹配，建议复核","已匹配"))</x:f>
        <x:v>已匹配</x:v>
      </x:c>
      <x:c r="H205" s="26" t="str">
        <x:v>高</x:v>
      </x:c>
      <x:c r="I205" s="26" t="str">
        <x:v>ICN011</x:v>
      </x:c>
      <x:c r="J205" s="26" t="str">
        <x:v>医药生物与医疗健康产业链/中游/药械生产、医疗装备与数字平台</x:v>
      </x:c>
      <x:c r="K205" s="26" t="str">
        <x:v>医疗器械销售经理/主管是医药/医疗行业中不可或缺的角色，主要负责推动公司医疗器械产品的市场拓展与销售业绩增长。通过精准把握市场需求变化，制定并实施有效的销售策略，确保公司在竞争激烈的市场环境中占据有利地位。 该职位的核心…</x:v>
      </x:c>
      <x:c r="L205" s="26" t="str">
        <x:v>1. 负责制定并执行医疗器械产品的年度销售计划，确保完成既定的销售指标。 2. 分析市场动态，识别潜在客户，开发新客户资源，维护现有客户关系，提高客户满意度和忠诚度。 3. 组织并参与各类市场推广活动，如展会、学术会议等…</x:v>
      </x:c>
    </x:row>
    <x:row r="206" ht="72" customHeight="1">
      <x:c r="A206" s="25" t="n">
        <x:v>11098</x:v>
      </x:c>
      <x:c r="B206" s="25" t="str">
        <x:v>IC-L3-355</x:v>
      </x:c>
      <x:c r="C206" s="25" t="str">
        <x:v>医药代表</x:v>
      </x:c>
      <x:c r="D206" s="25" t="str">
        <x:v>2-06-07-07</x:v>
      </x:c>
      <x:c r="E206" s="25" t="str">
        <x:v>医药代表</x:v>
      </x:c>
      <x:c r="F206" s="28" t="n">
        <x:f>COUNTIF('岗位-产业节点关系'!$C$4:$C$709,B206)</x:f>
        <x:v>1</x:v>
      </x:c>
      <x:c r="G206" s="26" t="str">
        <x:f>IF(F206=0,"未匹配（现有产业链范围未覆盖或证据不足）",IF(COUNTIFS('岗位-产业节点关系'!$C$4:$C$709,B206,'岗位-产业节点关系'!$M$4:$M$709,"低")&gt;0,"已匹配，建议复核","已匹配"))</x:f>
        <x:v>已匹配</x:v>
      </x:c>
      <x:c r="H206" s="26" t="str">
        <x:v>高</x:v>
      </x:c>
      <x:c r="I206" s="26" t="str">
        <x:v>ICN012</x:v>
      </x:c>
      <x:c r="J206" s="26" t="str">
        <x:v>医药生物与医疗健康产业链/下游/医疗服务、临床应用与健康管理</x:v>
      </x:c>
      <x:c r="K206" s="26" t="str">
        <x:v>医药代表是医药/医疗行业中不可或缺的角色，他们作为公司与医疗机构之间的桥梁，负责推广药品或医疗器械，确保医生、护士及其他医疗专业人士了解产品的特性和优势。通过有效的沟通和专业的服务，医药代表不仅能够促进产品销售，还能提升…</x:v>
      </x:c>
      <x:c r="L206" s="26" t="str">
        <x:v>医药代表的主要职责包括：负责区域内医院、诊所等医疗单位的客户关系维护与拓展；收集并反馈市场信息，包括医生需求、竞品动态等；推广公司医药产品，提供产品知识培训和技术支持；协助医生制定治疗方案，解答临床应用中的技术问题；定期…</x:v>
      </x:c>
    </x:row>
    <x:row r="207" ht="72" customHeight="1">
      <x:c r="A207" s="25" t="n">
        <x:v>11099</x:v>
      </x:c>
      <x:c r="B207" s="25" t="str">
        <x:v>IC-L3-356</x:v>
      </x:c>
      <x:c r="C207" s="25" t="str">
        <x:v>医药学术推广</x:v>
      </x:c>
      <x:c r="D207" s="25" t="str">
        <x:v>2-06-07-07</x:v>
      </x:c>
      <x:c r="E207" s="25" t="str">
        <x:v>医药代表</x:v>
      </x:c>
      <x:c r="F207" s="28" t="n">
        <x:f>COUNTIF('岗位-产业节点关系'!$C$4:$C$709,B207)</x:f>
        <x:v>1</x:v>
      </x:c>
      <x:c r="G207" s="26" t="str">
        <x:f>IF(F207=0,"未匹配（现有产业链范围未覆盖或证据不足）",IF(COUNTIFS('岗位-产业节点关系'!$C$4:$C$709,B207,'岗位-产业节点关系'!$M$4:$M$709,"低")&gt;0,"已匹配，建议复核","已匹配"))</x:f>
        <x:v>已匹配</x:v>
      </x:c>
      <x:c r="H207" s="26" t="str">
        <x:v>中</x:v>
      </x:c>
      <x:c r="I207" s="26" t="str">
        <x:v>ICN012</x:v>
      </x:c>
      <x:c r="J207" s="26" t="str">
        <x:v>医药生物与医疗健康产业链/下游/医疗服务、临床应用与健康管理</x:v>
      </x:c>
      <x:c r="K207" s="26" t="str">
        <x:v>医药学术推广是医药行业中至关重要的环节之一，它不仅连接着制药公司与医疗专业人士之间的沟通桥梁，还承担着将最新的医学研究成果和产品信息准确无误地传达给医生及医疗机构的责任。通过组织和参与各类学术会议、研讨会等活动，该职位旨…</x:v>
      </x:c>
      <x:c r="L207" s="26" t="str">
        <x:v>1. 定期拜访医院、诊所等终端用户，了解并收集医生对于现有产品的需求反馈，及时向公司报告市场动态及竞争状况，以指导后续的产品改进和营销策略调整。 2. 策划并执行针对特定疾病领域的学术交流活动，邀请知名专家进行专题讲座，…</x:v>
      </x:c>
    </x:row>
    <x:row r="208" ht="72" customHeight="1">
      <x:c r="A208" s="25" t="n">
        <x:v>11100</x:v>
      </x:c>
      <x:c r="B208" s="25" t="str">
        <x:v>IC-L3-357</x:v>
      </x:c>
      <x:c r="C208" s="25" t="str">
        <x:v>医药销售经理/主管</x:v>
      </x:c>
      <x:c r="D208" s="25" t="str">
        <x:v>2-06-07-07</x:v>
      </x:c>
      <x:c r="E208" s="25" t="str">
        <x:v>医药代表</x:v>
      </x:c>
      <x:c r="F208" s="28" t="n">
        <x:f>COUNTIF('岗位-产业节点关系'!$C$4:$C$709,B208)</x:f>
        <x:v>1</x:v>
      </x:c>
      <x:c r="G208" s="26" t="str">
        <x:f>IF(F208=0,"未匹配（现有产业链范围未覆盖或证据不足）",IF(COUNTIFS('岗位-产业节点关系'!$C$4:$C$709,B208,'岗位-产业节点关系'!$M$4:$M$709,"低")&gt;0,"已匹配，建议复核","已匹配"))</x:f>
        <x:v>已匹配</x:v>
      </x:c>
      <x:c r="H208" s="26" t="str">
        <x:v>中</x:v>
      </x:c>
      <x:c r="I208" s="26" t="str">
        <x:v>ICN012</x:v>
      </x:c>
      <x:c r="J208" s="26" t="str">
        <x:v>医药生物与医疗健康产业链/下游/医疗服务、临床应用与健康管理</x:v>
      </x:c>
      <x:c r="K208" s="26" t="str">
        <x:v>医药销售经理/主管是医药/医疗行业中至关重要的角色之一。作为连接公司与市场的桥梁，他们不仅负责推动产品销售，还承担着建立和维护客户关系的重要任务，确保公司产品能够有效满足市场需求，同时提升品牌影响力。该职位通过制定并执行…</x:v>
      </x:c>
      <x:c r="L208" s="26" t="str">
        <x:v>医药销售经理/主管的主要职责包括：制定并执行销售策略，达成销售目标；管理销售团队，提升团队业绩；维护和拓展客户关系，开发新客户资源；收集市场信息，分析竞争对手动态；组织销售培训，提升团队专业能力；协调内部资源，确保销售流…</x:v>
      </x:c>
    </x:row>
    <x:row r="209" ht="72" customHeight="1">
      <x:c r="A209" s="25" t="n">
        <x:v>11101</x:v>
      </x:c>
      <x:c r="B209" s="25" t="str">
        <x:v>IC-L3-358</x:v>
      </x:c>
      <x:c r="C209" s="25" t="str">
        <x:v>药品市场推广专员</x:v>
      </x:c>
      <x:c r="D209" s="25" t="str">
        <x:v>4-01-02-01</x:v>
      </x:c>
      <x:c r="E209" s="25" t="str">
        <x:v>营销员</x:v>
      </x:c>
      <x:c r="F209" s="28" t="n">
        <x:f>COUNTIF('岗位-产业节点关系'!$C$4:$C$709,B209)</x:f>
        <x:v>1</x:v>
      </x:c>
      <x:c r="G209" s="26" t="str">
        <x:f>IF(F209=0,"未匹配（现有产业链范围未覆盖或证据不足）",IF(COUNTIFS('岗位-产业节点关系'!$C$4:$C$709,B209,'岗位-产业节点关系'!$M$4:$M$709,"低")&gt;0,"已匹配，建议复核","已匹配"))</x:f>
        <x:v>已匹配</x:v>
      </x:c>
      <x:c r="H209" s="26" t="str">
        <x:v>中</x:v>
      </x:c>
      <x:c r="I209" s="26" t="str">
        <x:v>ICN012</x:v>
      </x:c>
      <x:c r="J209" s="26" t="str">
        <x:v>医药生物与医疗健康产业链/下游/医疗服务、临床应用与健康管理</x:v>
      </x:c>
      <x:c r="K209" s="26" t="str">
        <x:v>药品市场推广专员是医药行业中不可或缺的角色，负责将公司产品有效地推向市场，提高品牌知名度与市场份额。通过精准的市场分析和策略制定，该职位不仅能够帮助公司实现销售目标，还能为患者提供更优质、更安全的医疗解决方案。作为团队中…</x:v>
      </x:c>
      <x:c r="L209" s="26" t="str">
        <x:v>1. 制定并执行药品市场推广计划，确保各项活动符合公司战略目标及法律法规要求。 2. 分析竞品动态及市场需求变化，及时调整营销策略以应对市场挑战，扩大产品影响力。 3. 组织并参与各类学术会议、展会等活动，建立并维护与医…</x:v>
      </x:c>
    </x:row>
    <x:row r="210" ht="72" customHeight="1">
      <x:c r="A210" s="25" t="n">
        <x:v>11102</x:v>
      </x:c>
      <x:c r="B210" s="25" t="str">
        <x:v>IC-L3-359</x:v>
      </x:c>
      <x:c r="C210" s="25" t="str">
        <x:v>药品市场推广主管</x:v>
      </x:c>
      <x:c r="D210" s="25" t="str">
        <x:v>4-01-02-01</x:v>
      </x:c>
      <x:c r="E210" s="25" t="str">
        <x:v>营销员</x:v>
      </x:c>
      <x:c r="F210" s="28" t="n">
        <x:f>COUNTIF('岗位-产业节点关系'!$C$4:$C$709,B210)</x:f>
        <x:v>1</x:v>
      </x:c>
      <x:c r="G210" s="26" t="str">
        <x:f>IF(F210=0,"未匹配（现有产业链范围未覆盖或证据不足）",IF(COUNTIFS('岗位-产业节点关系'!$C$4:$C$709,B210,'岗位-产业节点关系'!$M$4:$M$709,"低")&gt;0,"已匹配，建议复核","已匹配"))</x:f>
        <x:v>已匹配</x:v>
      </x:c>
      <x:c r="H210" s="26" t="str">
        <x:v>中</x:v>
      </x:c>
      <x:c r="I210" s="26" t="str">
        <x:v>ICN012</x:v>
      </x:c>
      <x:c r="J210" s="26" t="str">
        <x:v>医药生物与医疗健康产业链/下游/医疗服务、临床应用与健康管理</x:v>
      </x:c>
      <x:c r="K210" s="26" t="str">
        <x:v>药品市场推广主管是医药行业中不可或缺的角色，负责推动公司药品的品牌知名度和市场份额增长，通过有效的市场策略确保产品在竞争激烈的市场中脱颖而出。该职位的核心目标在于制定并执行全面的市场推广计划，以提高目标客户群体对产品的认…</x:v>
      </x:c>
      <x:c r="L210" s="26" t="str">
        <x:v>1. 负责制定并实施药品市场推广策略，包括但不限于广告宣传、公关活动、线上营销等多渠道推广方式，以提升品牌影响力和市场占有率。 2. 定期分析市场趋势及竞争对手动态，结合公司产品特点，调整优化营销方案，确保策略的有效性和…</x:v>
      </x:c>
    </x:row>
    <x:row r="211" ht="72" customHeight="1">
      <x:c r="A211" s="25" t="n">
        <x:v>11103</x:v>
      </x:c>
      <x:c r="B211" s="25" t="str">
        <x:v>IC-L3-360</x:v>
      </x:c>
      <x:c r="C211" s="25" t="str">
        <x:v>药品市场推广经理</x:v>
      </x:c>
      <x:c r="D211" s="25" t="str">
        <x:v>4-01-02-01</x:v>
      </x:c>
      <x:c r="E211" s="25" t="str">
        <x:v>营销员</x:v>
      </x:c>
      <x:c r="F211" s="28" t="n">
        <x:f>COUNTIF('岗位-产业节点关系'!$C$4:$C$709,B211)</x:f>
        <x:v>1</x:v>
      </x:c>
      <x:c r="G211" s="26" t="str">
        <x:f>IF(F211=0,"未匹配（现有产业链范围未覆盖或证据不足）",IF(COUNTIFS('岗位-产业节点关系'!$C$4:$C$709,B211,'岗位-产业节点关系'!$M$4:$M$709,"低")&gt;0,"已匹配，建议复核","已匹配"))</x:f>
        <x:v>已匹配</x:v>
      </x:c>
      <x:c r="H211" s="26" t="str">
        <x:v>中</x:v>
      </x:c>
      <x:c r="I211" s="26" t="str">
        <x:v>ICN012</x:v>
      </x:c>
      <x:c r="J211" s="26" t="str">
        <x:v>医药生物与医疗健康产业链/下游/医疗服务、临床应用与健康管理</x:v>
      </x:c>
      <x:c r="K211" s="26" t="str">
        <x:v>药品市场推广经理是医药行业中至关重要的角色之一，负责推动公司产品的市场认知度与销售业绩。该职位不仅需要具备深厚的医疗专业知识，还需拥有敏锐的市场洞察力和出色的沟通技巧，以确保产品能够准确地传达其核心价值给目标客户群。作为…</x:v>
      </x:c>
      <x:c r="L211" s="26" t="str">
        <x:v>1. 负责制定并执行药品市场推广策略，确保目标市场的有效覆盖，提高品牌知名度和市场份额。 2. 分析市场趋势和竞争对手动态，结合公司产品特点，定期调整推广方案，以适应不断变化的市场需求。 3. 与内部跨部门团队（如销售、…</x:v>
      </x:c>
    </x:row>
    <x:row r="212" ht="72" customHeight="1">
      <x:c r="A212" s="25" t="n">
        <x:v>11104</x:v>
      </x:c>
      <x:c r="B212" s="25" t="str">
        <x:v>IC-L3-361</x:v>
      </x:c>
      <x:c r="C212" s="25" t="str">
        <x:v>护士/护理人员</x:v>
      </x:c>
      <x:c r="D212" s="25" t="str">
        <x:v>2-05-08-01</x:v>
      </x:c>
      <x:c r="E212" s="25" t="str">
        <x:v>内科护士</x:v>
      </x:c>
      <x:c r="F212" s="28" t="n">
        <x:f>COUNTIF('岗位-产业节点关系'!$C$4:$C$709,B212)</x:f>
        <x:v>1</x:v>
      </x:c>
      <x:c r="G212" s="26" t="str">
        <x:f>IF(F212=0,"未匹配（现有产业链范围未覆盖或证据不足）",IF(COUNTIFS('岗位-产业节点关系'!$C$4:$C$709,B212,'岗位-产业节点关系'!$M$4:$M$709,"低")&gt;0,"已匹配，建议复核","已匹配"))</x:f>
        <x:v>已匹配</x:v>
      </x:c>
      <x:c r="H212" s="26" t="str">
        <x:v>高</x:v>
      </x:c>
      <x:c r="I212" s="26" t="str">
        <x:v>ICN012</x:v>
      </x:c>
      <x:c r="J212" s="26" t="str">
        <x:v>医药生物与医疗健康产业链/下游/医疗服务、临床应用与健康管理</x:v>
      </x:c>
      <x:c r="K212" s="26" t="str">
        <x:v>护士或护理人员是医疗体系中不可或缺的专业人才，他们不仅是医生与患者之间的桥梁，还承担着维持患者健康、促进康复的重要任务。作为护理团队的核心成员，护士通过提供高质量的护理服务，确保患者的治疗效果最大化，同时减轻患者痛苦，提…</x:v>
      </x:c>
      <x:c r="L212" s="26" t="str">
        <x:v>1. 依据医嘱进行基础护理操作，如测量生命体征、给药、更换敷料等，确保患者得到及时有效的护理。 2. 观察记录患者病情变化及治疗反应，及时向医生汇报异常情况，协助医生完成各项诊疗活动。 3. 负责病房环境清洁消毒，严格执…</x:v>
      </x:c>
    </x:row>
    <x:row r="213" ht="72" customHeight="1">
      <x:c r="A213" s="25" t="n">
        <x:v>11105</x:v>
      </x:c>
      <x:c r="B213" s="25" t="str">
        <x:v>IC-L3-362</x:v>
      </x:c>
      <x:c r="C213" s="25" t="str">
        <x:v>护理主任/护士长</x:v>
      </x:c>
      <x:c r="D213" s="25" t="str">
        <x:v>2-05-08-01</x:v>
      </x:c>
      <x:c r="E213" s="25" t="str">
        <x:v>内科护士</x:v>
      </x:c>
      <x:c r="F213" s="28" t="n">
        <x:f>COUNTIF('岗位-产业节点关系'!$C$4:$C$709,B213)</x:f>
        <x:v>1</x:v>
      </x:c>
      <x:c r="G213" s="26" t="str">
        <x:f>IF(F213=0,"未匹配（现有产业链范围未覆盖或证据不足）",IF(COUNTIFS('岗位-产业节点关系'!$C$4:$C$709,B213,'岗位-产业节点关系'!$M$4:$M$709,"低")&gt;0,"已匹配，建议复核","已匹配"))</x:f>
        <x:v>已匹配</x:v>
      </x:c>
      <x:c r="H213" s="26" t="str">
        <x:v>高</x:v>
      </x:c>
      <x:c r="I213" s="26" t="str">
        <x:v>ICN012</x:v>
      </x:c>
      <x:c r="J213" s="26" t="str">
        <x:v>医药生物与医疗健康产业链/下游/医疗服务、临床应用与健康管理</x:v>
      </x:c>
      <x:c r="K213" s="26" t="str">
        <x:v>护理主任/护士长是医疗行业中不可或缺的角色，他们不仅负责指导和支持临床护理工作，还承担着确保患者安全与护理质量的重要责任。作为连接医护人员与管理层之间的桥梁，护理主任/护士长在促进医院内部沟通、提升团队凝聚力方面发挥着关…</x:v>
      </x:c>
      <x:c r="L213" s="26" t="str">
        <x:v>1. 负责监督日常护理工作，确保所有护理操作符合相关法律法规及医院规章制度的要求。 2. 组织并参与护理人员的专业技能培训，持续提高团队整体业务能力和技术水平。 3. 制定护理质量改进方案，定期检查护理服务过程，确保达到…</x:v>
      </x:c>
    </x:row>
    <x:row r="214" ht="72" customHeight="1">
      <x:c r="A214" s="25" t="n">
        <x:v>11106</x:v>
      </x:c>
      <x:c r="B214" s="25" t="str">
        <x:v>IC-L3-363</x:v>
      </x:c>
      <x:c r="C214" s="25" t="str">
        <x:v>儿科护士</x:v>
      </x:c>
      <x:c r="D214" s="25" t="str">
        <x:v>2-05-08-01</x:v>
      </x:c>
      <x:c r="E214" s="25" t="str">
        <x:v>内科护士</x:v>
      </x:c>
      <x:c r="F214" s="28" t="n">
        <x:f>COUNTIF('岗位-产业节点关系'!$C$4:$C$709,B214)</x:f>
        <x:v>1</x:v>
      </x:c>
      <x:c r="G214" s="26" t="str">
        <x:f>IF(F214=0,"未匹配（现有产业链范围未覆盖或证据不足）",IF(COUNTIFS('岗位-产业节点关系'!$C$4:$C$709,B214,'岗位-产业节点关系'!$M$4:$M$709,"低")&gt;0,"已匹配，建议复核","已匹配"))</x:f>
        <x:v>已匹配</x:v>
      </x:c>
      <x:c r="H214" s="26" t="str">
        <x:v>高</x:v>
      </x:c>
      <x:c r="I214" s="26" t="str">
        <x:v>ICN012</x:v>
      </x:c>
      <x:c r="J214" s="26" t="str">
        <x:v>医药生物与医疗健康产业链/下游/医疗服务、临床应用与健康管理</x:v>
      </x:c>
      <x:c r="K214" s="26" t="str">
        <x:v>儿科护士是专门从事儿童护理工作的专业护理人员。 该职位的核心目标是为儿童患者提供专业、安全、人性化的护理服务，促进康复。 在日常工作中，儿科护士需要具备儿科专科护理技能，同时要有爱心和耐心，善于与儿童和家长沟通。</x:v>
      </x:c>
      <x:c r="L214" s="26" t="str">
        <x:v>1. 儿科专科护理和治疗2. 儿童生长发育评估 3. 预防接种和健康管理 4. 儿童用药护理 5. 儿童心理护理 6. 家长健康教育指导</x:v>
      </x:c>
    </x:row>
    <x:row r="215" ht="72" customHeight="1">
      <x:c r="A215" s="25" t="n">
        <x:v>11107</x:v>
      </x:c>
      <x:c r="B215" s="25" t="str">
        <x:v>IC-L3-364</x:v>
      </x:c>
      <x:c r="C215" s="25" t="str">
        <x:v>护工</x:v>
      </x:c>
      <x:c r="D215" s="25" t="str">
        <x:v>2-05-08-01</x:v>
      </x:c>
      <x:c r="E215" s="25" t="str">
        <x:v>内科护士</x:v>
      </x:c>
      <x:c r="F215" s="28" t="n">
        <x:f>COUNTIF('岗位-产业节点关系'!$C$4:$C$709,B215)</x:f>
        <x:v>1</x:v>
      </x:c>
      <x:c r="G215" s="26" t="str">
        <x:f>IF(F215=0,"未匹配（现有产业链范围未覆盖或证据不足）",IF(COUNTIFS('岗位-产业节点关系'!$C$4:$C$709,B215,'岗位-产业节点关系'!$M$4:$M$709,"低")&gt;0,"已匹配，建议复核","已匹配"))</x:f>
        <x:v>已匹配，建议复核</x:v>
      </x:c>
      <x:c r="H215" s="26" t="str">
        <x:v>低</x:v>
      </x:c>
      <x:c r="I215" s="26" t="str">
        <x:v>ICN012</x:v>
      </x:c>
      <x:c r="J215" s="26" t="str">
        <x:v>医药生物与医疗健康产业链/下游/医疗服务、临床应用与健康管理</x:v>
      </x:c>
      <x:c r="K215" s="26" t="str">
        <x:v>护工是专门从事病患基础护理与生活照护的专业人员。该职位的核心目标是通过提供专业的日常照护服务，保障病患舒适安全并协助医疗工作开展。在日常工作中，需要进行生活护理、基础医疗协助、环境清洁及康复辅助等工作。</x:v>
      </x:c>
      <x:c r="L215" s="26" t="str">
        <x:v>1. 协助病人日常起居 2. 观察记录生命体征 3. 执行基础护理操作 4. 维护病房环境卫生 5. 协助医疗检查治疗 6. 报告异常病情变化</x:v>
      </x:c>
    </x:row>
    <x:row r="216" ht="72" customHeight="1">
      <x:c r="A216" s="25" t="n">
        <x:v>11108</x:v>
      </x:c>
      <x:c r="B216" s="25" t="str">
        <x:v>IC-L3-365</x:v>
      </x:c>
      <x:c r="C216" s="25" t="str">
        <x:v>针灸/推拿</x:v>
      </x:c>
      <x:c r="D216" s="25" t="str">
        <x:v>2-05-08-01</x:v>
      </x:c>
      <x:c r="E216" s="25" t="str">
        <x:v>内科护士</x:v>
      </x:c>
      <x:c r="F216" s="28" t="n">
        <x:f>COUNTIF('岗位-产业节点关系'!$C$4:$C$709,B216)</x:f>
        <x:v>1</x:v>
      </x:c>
      <x:c r="G216" s="26" t="str">
        <x:f>IF(F216=0,"未匹配（现有产业链范围未覆盖或证据不足）",IF(COUNTIFS('岗位-产业节点关系'!$C$4:$C$709,B216,'岗位-产业节点关系'!$M$4:$M$709,"低")&gt;0,"已匹配，建议复核","已匹配"))</x:f>
        <x:v>已匹配，建议复核</x:v>
      </x:c>
      <x:c r="H216" s="26" t="str">
        <x:v>低</x:v>
      </x:c>
      <x:c r="I216" s="26" t="str">
        <x:v>ICN012</x:v>
      </x:c>
      <x:c r="J216" s="26" t="str">
        <x:v>医药生物与医疗健康产业链/下游/医疗服务、临床应用与健康管理</x:v>
      </x:c>
      <x:c r="K216" s="26" t="str">
        <x:v>针灸/推拿是专门从事中医传统疗法治疗与康复护理的专业人员。该职位的核心目标是通过针灸、推拿等中医疗法，实现患者疼痛缓解与机能恢复。在日常工作中，需要进行穴位定位与针刺治疗、推拿手法操作、疗效评估及康复指导等工作。</x:v>
      </x:c>
      <x:c r="L216" s="26" t="str">
        <x:v>1. 实施针灸治疗操作 2. 开展推拿理疗服务 3. 评估患者康复效果 4. 记录治疗过程数据 5. 维护医疗设备完好 6. 指导患者康复训练</x:v>
      </x:c>
    </x:row>
    <x:row r="217" ht="72" customHeight="1">
      <x:c r="A217" s="25" t="n">
        <x:v>11109</x:v>
      </x:c>
      <x:c r="B217" s="25" t="str">
        <x:v>IC-L3-366</x:v>
      </x:c>
      <x:c r="C217" s="25" t="str">
        <x:v>儿科医生</x:v>
      </x:c>
      <x:c r="D217" s="25" t="str">
        <x:v>2-05-01-19</x:v>
      </x:c>
      <x:c r="E217" s="25" t="str">
        <x:v>全科医师</x:v>
      </x:c>
      <x:c r="F217" s="28" t="n">
        <x:f>COUNTIF('岗位-产业节点关系'!$C$4:$C$709,B217)</x:f>
        <x:v>1</x:v>
      </x:c>
      <x:c r="G217" s="26" t="str">
        <x:f>IF(F217=0,"未匹配（现有产业链范围未覆盖或证据不足）",IF(COUNTIFS('岗位-产业节点关系'!$C$4:$C$709,B217,'岗位-产业节点关系'!$M$4:$M$709,"低")&gt;0,"已匹配，建议复核","已匹配"))</x:f>
        <x:v>已匹配</x:v>
      </x:c>
      <x:c r="H217" s="26" t="str">
        <x:v>高</x:v>
      </x:c>
      <x:c r="I217" s="26" t="str">
        <x:v>ICN012</x:v>
      </x:c>
      <x:c r="J217" s="26" t="str">
        <x:v>医药生物与医疗健康产业链/下游/医疗服务、临床应用与健康管理</x:v>
      </x:c>
      <x:c r="K217" s="26" t="str">
        <x:v>儿科医生是专门从事儿童疾病预防、诊断和治疗的专业医疗人员。该职位的核心目标是通过提供全面、专业的儿科医疗服务，保障儿童身心健康发育。在日常工作中，需要进行患儿接诊、疾病诊断、治疗方案制定、疫苗接种指导及健康咨询等工作。</x:v>
      </x:c>
      <x:c r="L217" s="26" t="str">
        <x:v>1. 诊断儿童疾病 2. 开具治疗方案 3. 进行常规体检 4. 指导疫苗接种 5. 提供健康咨询 6. 处理急诊情况</x:v>
      </x:c>
    </x:row>
    <x:row r="218" ht="72" customHeight="1">
      <x:c r="A218" s="25" t="n">
        <x:v>11110</x:v>
      </x:c>
      <x:c r="B218" s="25" t="str">
        <x:v>IC-L3-367</x:v>
      </x:c>
      <x:c r="C218" s="25" t="str">
        <x:v>妇产科医生</x:v>
      </x:c>
      <x:c r="D218" s="25" t="str">
        <x:v>2-05-01-19</x:v>
      </x:c>
      <x:c r="E218" s="25" t="str">
        <x:v>全科医师</x:v>
      </x:c>
      <x:c r="F218" s="28" t="n">
        <x:f>COUNTIF('岗位-产业节点关系'!$C$4:$C$709,B218)</x:f>
        <x:v>1</x:v>
      </x:c>
      <x:c r="G218" s="26" t="str">
        <x:f>IF(F218=0,"未匹配（现有产业链范围未覆盖或证据不足）",IF(COUNTIFS('岗位-产业节点关系'!$C$4:$C$709,B218,'岗位-产业节点关系'!$M$4:$M$709,"低")&gt;0,"已匹配，建议复核","已匹配"))</x:f>
        <x:v>已匹配</x:v>
      </x:c>
      <x:c r="H218" s="26" t="str">
        <x:v>高</x:v>
      </x:c>
      <x:c r="I218" s="26" t="str">
        <x:v>ICN012</x:v>
      </x:c>
      <x:c r="J218" s="26" t="str">
        <x:v>医药生物与医疗健康产业链/下游/医疗服务、临床应用与健康管理</x:v>
      </x:c>
      <x:c r="K218" s="26" t="str">
        <x:v>妇产科医生是专门从事女性生殖系统疾病诊治及孕产期保健的专业人员。该职位的核心目标是通过提供高质量的医疗护理服务，保障孕产妇及新生儿的健康安全。在日常工作中，需要进行产前检查、分娩处理、妇科疾病诊疗及手术操作等工作。</x:v>
      </x:c>
      <x:c r="L218" s="26" t="str">
        <x:v>1. 诊断妇科疾病 2. 接诊孕妇产检 3. 实施分娩手术 4. 指导产后护理 5. 开具医疗处方 6. 参与会诊讨论</x:v>
      </x:c>
    </x:row>
    <x:row r="219" ht="72" customHeight="1">
      <x:c r="A219" s="25" t="n">
        <x:v>11111</x:v>
      </x:c>
      <x:c r="B219" s="25" t="str">
        <x:v>IC-L3-368</x:v>
      </x:c>
      <x:c r="C219" s="25" t="str">
        <x:v>外科医生</x:v>
      </x:c>
      <x:c r="D219" s="25" t="str">
        <x:v>2-05-01-19</x:v>
      </x:c>
      <x:c r="E219" s="25" t="str">
        <x:v>全科医师</x:v>
      </x:c>
      <x:c r="F219" s="28" t="n">
        <x:f>COUNTIF('岗位-产业节点关系'!$C$4:$C$709,B219)</x:f>
        <x:v>1</x:v>
      </x:c>
      <x:c r="G219" s="26" t="str">
        <x:f>IF(F219=0,"未匹配（现有产业链范围未覆盖或证据不足）",IF(COUNTIFS('岗位-产业节点关系'!$C$4:$C$709,B219,'岗位-产业节点关系'!$M$4:$M$709,"低")&gt;0,"已匹配，建议复核","已匹配"))</x:f>
        <x:v>已匹配</x:v>
      </x:c>
      <x:c r="H219" s="26" t="str">
        <x:v>高</x:v>
      </x:c>
      <x:c r="I219" s="26" t="str">
        <x:v>ICN012</x:v>
      </x:c>
      <x:c r="J219" s="26" t="str">
        <x:v>医药生物与医疗健康产业链/下游/医疗服务、临床应用与健康管理</x:v>
      </x:c>
      <x:c r="K219" s="26" t="str">
        <x:v>外科医生是专门从事外科疾病诊断和治疗的专业人员。该职位的核心目标是通过精准的医疗技术和手术操作，实现患者疾病的有效治愈和康复。在日常工作中，需要进行术前评估、手术实施、术后管理以及与其他医护团队协作等工作。</x:v>
      </x:c>
      <x:c r="L219" s="26" t="str">
        <x:v>1. 诊断患者病情 2. 制定手术方案 3. 主刀外科手术 4. 指导术后护理 5. 评估治疗效果 6. 参与会诊讨论</x:v>
      </x:c>
    </x:row>
    <x:row r="220" ht="72" customHeight="1">
      <x:c r="A220" s="25" t="n">
        <x:v>11112</x:v>
      </x:c>
      <x:c r="B220" s="25" t="str">
        <x:v>IC-L3-369</x:v>
      </x:c>
      <x:c r="C220" s="25" t="str">
        <x:v>内科医生</x:v>
      </x:c>
      <x:c r="D220" s="25" t="str">
        <x:v>2-05-01-19</x:v>
      </x:c>
      <x:c r="E220" s="25" t="str">
        <x:v>全科医师</x:v>
      </x:c>
      <x:c r="F220" s="28" t="n">
        <x:f>COUNTIF('岗位-产业节点关系'!$C$4:$C$709,B220)</x:f>
        <x:v>1</x:v>
      </x:c>
      <x:c r="G220" s="26" t="str">
        <x:f>IF(F220=0,"未匹配（现有产业链范围未覆盖或证据不足）",IF(COUNTIFS('岗位-产业节点关系'!$C$4:$C$709,B220,'岗位-产业节点关系'!$M$4:$M$709,"低")&gt;0,"已匹配，建议复核","已匹配"))</x:f>
        <x:v>已匹配</x:v>
      </x:c>
      <x:c r="H220" s="26" t="str">
        <x:v>高</x:v>
      </x:c>
      <x:c r="I220" s="26" t="str">
        <x:v>ICN012</x:v>
      </x:c>
      <x:c r="J220" s="26" t="str">
        <x:v>医药生物与医疗健康产业链/下游/医疗服务、临床应用与健康管理</x:v>
      </x:c>
      <x:c r="K220" s="26" t="str">
        <x:v>内科医生是专门从事成人疾病诊断与治疗的专业人员。该职位的核心目标是通过临床诊疗和健康管理，实现患者疾病的预防、治疗和康复。在日常工作中，需要进行病史采集、体格检查、诊断治疗、医嘱制定及与护理团队协作等工作。</x:v>
      </x:c>
      <x:c r="L220" s="26" t="str">
        <x:v>1. 诊断内科常见疾病 2. 制定患者治疗方案 3. 开具处方审核用药 4. 指导护士护理工作 5. 参与急危重症抢救 6. 开展健康教育工作</x:v>
      </x:c>
    </x:row>
    <x:row r="221" ht="72" customHeight="1">
      <x:c r="A221" s="25" t="n">
        <x:v>11113</x:v>
      </x:c>
      <x:c r="B221" s="25" t="str">
        <x:v>IC-L3-370</x:v>
      </x:c>
      <x:c r="C221" s="25" t="str">
        <x:v>医院管理人员</x:v>
      </x:c>
      <x:c r="D221" s="25" t="str">
        <x:v>2-05-08-01</x:v>
      </x:c>
      <x:c r="E221" s="25" t="str">
        <x:v>内科护士</x:v>
      </x:c>
      <x:c r="F221" s="28" t="n">
        <x:f>COUNTIF('岗位-产业节点关系'!$C$4:$C$709,B221)</x:f>
        <x:v>1</x:v>
      </x:c>
      <x:c r="G221" s="26" t="str">
        <x:f>IF(F221=0,"未匹配（现有产业链范围未覆盖或证据不足）",IF(COUNTIFS('岗位-产业节点关系'!$C$4:$C$709,B221,'岗位-产业节点关系'!$M$4:$M$709,"低")&gt;0,"已匹配，建议复核","已匹配"))</x:f>
        <x:v>已匹配，建议复核</x:v>
      </x:c>
      <x:c r="H221" s="26" t="str">
        <x:v>低</x:v>
      </x:c>
      <x:c r="I221" s="26" t="str">
        <x:v>ICN012</x:v>
      </x:c>
      <x:c r="J221" s="26" t="str">
        <x:v>医药生物与医疗健康产业链/下游/医疗服务、临床应用与健康管理</x:v>
      </x:c>
      <x:c r="K221" s="26" t="str">
        <x:v>医院管理人员是专门从事医疗机构运营管理的专业人员。该职位的核心目标是通过优化资源配置和流程管理，提升医疗服务质量和运营效率。在日常工作中，需要进行科室协调、护理团队管理、预算控制及医疗质量监督等工作。</x:v>
      </x:c>
      <x:c r="L221" s="26" t="str">
        <x:v>1. 制定护理工作计划 2. 管理护理人员团队 3. 监督护理服务质量 4. 优化护理工作流程 5. 协调医疗资源分配 6. 处理患者投诉建议</x:v>
      </x:c>
    </x:row>
    <x:row r="222" ht="72" customHeight="1">
      <x:c r="A222" s="25" t="n">
        <x:v>11114</x:v>
      </x:c>
      <x:c r="B222" s="25" t="str">
        <x:v>IC-L3-371</x:v>
      </x:c>
      <x:c r="C222" s="25" t="str">
        <x:v>麻醉医生</x:v>
      </x:c>
      <x:c r="D222" s="25" t="str">
        <x:v>2-05-01-19</x:v>
      </x:c>
      <x:c r="E222" s="25" t="str">
        <x:v>全科医师</x:v>
      </x:c>
      <x:c r="F222" s="28" t="n">
        <x:f>COUNTIF('岗位-产业节点关系'!$C$4:$C$709,B222)</x:f>
        <x:v>1</x:v>
      </x:c>
      <x:c r="G222" s="26" t="str">
        <x:f>IF(F222=0,"未匹配（现有产业链范围未覆盖或证据不足）",IF(COUNTIFS('岗位-产业节点关系'!$C$4:$C$709,B222,'岗位-产业节点关系'!$M$4:$M$709,"低")&gt;0,"已匹配，建议复核","已匹配"))</x:f>
        <x:v>已匹配</x:v>
      </x:c>
      <x:c r="H222" s="26" t="str">
        <x:v>中</x:v>
      </x:c>
      <x:c r="I222" s="26" t="str">
        <x:v>ICN012</x:v>
      </x:c>
      <x:c r="J222" s="26" t="str">
        <x:v>医药生物与医疗健康产业链/下游/医疗服务、临床应用与健康管理</x:v>
      </x:c>
      <x:c r="K222" s="26" t="str">
        <x:v>麻醉医生是专门从事围手术期患者麻醉与生命体征管理的专业人员。该职位的核心目标是通过精准实施麻醉方案，确保手术患者安全无痛并维持生命体征平稳。在日常工作中，需要进行术前评估、麻醉方案制定、术中麻醉实施与监护、术后镇痛管理等…</x:v>
      </x:c>
      <x:c r="L222" s="26" t="str">
        <x:v>1. 评估患者麻醉风险 2. 制定麻醉方案计划 3. 实施麻醉操作管理 4. 监测生命体征变化 5. 处理麻醉突发状况 6. 指导术后镇痛护理</x:v>
      </x:c>
    </x:row>
    <x:row r="223" ht="72" customHeight="1">
      <x:c r="A223" s="25" t="n">
        <x:v>11115</x:v>
      </x:c>
      <x:c r="B223" s="25" t="str">
        <x:v>IC-L3-372</x:v>
      </x:c>
      <x:c r="C223" s="25" t="str">
        <x:v>心理医生</x:v>
      </x:c>
      <x:c r="D223" s="25" t="str">
        <x:v>2-05-01-19</x:v>
      </x:c>
      <x:c r="E223" s="25" t="str">
        <x:v>全科医师</x:v>
      </x:c>
      <x:c r="F223" s="28" t="n">
        <x:f>COUNTIF('岗位-产业节点关系'!$C$4:$C$709,B223)</x:f>
        <x:v>1</x:v>
      </x:c>
      <x:c r="G223" s="26" t="str">
        <x:f>IF(F223=0,"未匹配（现有产业链范围未覆盖或证据不足）",IF(COUNTIFS('岗位-产业节点关系'!$C$4:$C$709,B223,'岗位-产业节点关系'!$M$4:$M$709,"低")&gt;0,"已匹配，建议复核","已匹配"))</x:f>
        <x:v>已匹配</x:v>
      </x:c>
      <x:c r="H223" s="26" t="str">
        <x:v>高</x:v>
      </x:c>
      <x:c r="I223" s="26" t="str">
        <x:v>ICN012</x:v>
      </x:c>
      <x:c r="J223" s="26" t="str">
        <x:v>医药生物与医疗健康产业链/下游/医疗服务、临床应用与健康管理</x:v>
      </x:c>
      <x:c r="K223" s="26" t="str">
        <x:v>心理医生是专门从事心理健康评估与治疗的专业人员。该职位的核心目标是通过专业心理干预，帮助患者改善心理状态并促进康复。在日常工作中，需要进行心理评估、制定治疗计划、开展心理咨询及危机干预等工作。</x:v>
      </x:c>
      <x:c r="L223" s="26" t="str">
        <x:v>1. 评估患者心理状态 2. 制定心理治疗方案 3. 实施心理干预措施 4. 提供心理健康教育 5. 记录治疗过程数据 6. 参与多学科会诊</x:v>
      </x:c>
    </x:row>
    <x:row r="224" ht="72" customHeight="1">
      <x:c r="A224" s="25" t="n">
        <x:v>11116</x:v>
      </x:c>
      <x:c r="B224" s="25" t="str">
        <x:v>IC-L3-373</x:v>
      </x:c>
      <x:c r="C224" s="25" t="str">
        <x:v>营养师</x:v>
      </x:c>
      <x:c r="D224" s="25" t="str">
        <x:v>2-05-08-01</x:v>
      </x:c>
      <x:c r="E224" s="25" t="str">
        <x:v>内科护士</x:v>
      </x:c>
      <x:c r="F224" s="28" t="n">
        <x:f>COUNTIF('岗位-产业节点关系'!$C$4:$C$709,B224)</x:f>
        <x:v>2</x:v>
      </x:c>
      <x:c r="G224" s="26" t="str">
        <x:f>IF(F224=0,"未匹配（现有产业链范围未覆盖或证据不足）",IF(COUNTIFS('岗位-产业节点关系'!$C$4:$C$709,B224,'岗位-产业节点关系'!$M$4:$M$709,"低")&gt;0,"已匹配，建议复核","已匹配"))</x:f>
        <x:v>已匹配</x:v>
      </x:c>
      <x:c r="H224" s="26" t="str">
        <x:v>高</x:v>
      </x:c>
      <x:c r="I224" s="26" t="str">
        <x:v>ICN012、ICN027</x:v>
      </x:c>
      <x:c r="J224" s="26" t="str">
        <x:v>医药生物与医疗健康产业链/下游/医疗服务、临床应用与健康管理；食品饮料产业链/下游/品牌渠道、餐饮零售与消费服务</x:v>
      </x:c>
      <x:c r="K224" s="26" t="str">
        <x:v>营养师是专门从事临床营养支持与饮食指导的专业人员。该职位的核心目标是通过制定个性化营养方案，促进患者康复并预防营养相关疾病。在日常工作中，需要进行营养评估、膳食设计、营养教育及饮食干预效果监测等工作。</x:v>
      </x:c>
      <x:c r="L224" s="26" t="str">
        <x:v>1. 评估患者营养状况 2. 制定个性化饮食方案 3. 指导患者营养摄入 4. 监测营养干预效果 5. 提供营养知识培训 6. 更新营养护理记录</x:v>
      </x:c>
    </x:row>
    <x:row r="225" ht="72" customHeight="1">
      <x:c r="A225" s="25" t="n">
        <x:v>11117</x:v>
      </x:c>
      <x:c r="B225" s="25" t="str">
        <x:v>IC-L3-374</x:v>
      </x:c>
      <x:c r="C225" s="25" t="str">
        <x:v>药库主任/药剂师</x:v>
      </x:c>
      <x:c r="D225" s="25" t="str">
        <x:v>2-05-08-01</x:v>
      </x:c>
      <x:c r="E225" s="25" t="str">
        <x:v>内科护士</x:v>
      </x:c>
      <x:c r="F225" s="28" t="n">
        <x:f>COUNTIF('岗位-产业节点关系'!$C$4:$C$709,B225)</x:f>
        <x:v>1</x:v>
      </x:c>
      <x:c r="G225" s="26" t="str">
        <x:f>IF(F225=0,"未匹配（现有产业链范围未覆盖或证据不足）",IF(COUNTIFS('岗位-产业节点关系'!$C$4:$C$709,B225,'岗位-产业节点关系'!$M$4:$M$709,"低")&gt;0,"已匹配，建议复核","已匹配"))</x:f>
        <x:v>已匹配，建议复核</x:v>
      </x:c>
      <x:c r="H225" s="26" t="str">
        <x:v>低</x:v>
      </x:c>
      <x:c r="I225" s="26" t="str">
        <x:v>ICN012</x:v>
      </x:c>
      <x:c r="J225" s="26" t="str">
        <x:v>医药生物与医疗健康产业链/下游/医疗服务、临床应用与健康管理</x:v>
      </x:c>
      <x:c r="K225" s="26" t="str">
        <x:v>药库主任/药剂师是专门从事药品管理和药学服务的专业人员。该职位的核心目标是通过科学规范的药品管理，确保临床用药安全有效。在日常工作中，需要进行药品采购与库存管理、药品质量监控、处方审核与调配、用药指导与咨询等工作。</x:v>
      </x:c>
      <x:c r="L225" s="26" t="str">
        <x:v>1. 管理药品库存 2. 审核药品采购 3. 监督药品发放 4. 确保用药安全 5. 培训护理人员 6. 执行药品盘点</x:v>
      </x:c>
    </x:row>
    <x:row r="226" ht="72" customHeight="1">
      <x:c r="A226" s="25" t="n">
        <x:v>11118</x:v>
      </x:c>
      <x:c r="B226" s="25" t="str">
        <x:v>IC-L3-375</x:v>
      </x:c>
      <x:c r="C226" s="25" t="str">
        <x:v>公共卫生/疾病控制</x:v>
      </x:c>
      <x:c r="D226" s="25" t="str">
        <x:v>2-05-08-01</x:v>
      </x:c>
      <x:c r="E226" s="25" t="str">
        <x:v>内科护士</x:v>
      </x:c>
      <x:c r="F226" s="28" t="n">
        <x:f>COUNTIF('岗位-产业节点关系'!$C$4:$C$709,B226)</x:f>
        <x:v>0</x:v>
      </x:c>
      <x:c r="G226" s="26" t="str">
        <x:f>IF(F226=0,"未匹配（现有产业链范围未覆盖或证据不足）",IF(COUNTIFS('岗位-产业节点关系'!$C$4:$C$709,B226,'岗位-产业节点关系'!$M$4:$M$709,"低")&gt;0,"已匹配，建议复核","已匹配"))</x:f>
        <x:v>未匹配（现有产业链范围未覆盖或证据不足）</x:v>
      </x:c>
      <x:c r="H226" s="26" t="str">
        <x:v>-</x:v>
      </x:c>
      <x:c r="I226" s="26" t="str"/>
      <x:c r="J226" s="26" t="str"/>
      <x:c r="K226" s="26" t="str">
        <x:v>公共卫生/疾病控制是专门从事疾病预防与健康促进的专业人员。该职位的核心目标是通过监测、分析和干预公共卫生事件，保障社区人群健康。在日常工作中，需要进行流行病学调查、健康宣教、疫苗接种管理及传染病防控等工作。</x:v>
      </x:c>
      <x:c r="L226" s="26" t="str">
        <x:v>1. 监测传染病疫情 2. 开展健康宣教活动 3. 执行疫苗接种计划 4. 采集上报健康数据 5. 参与突发公卫事件处置 6. 指导社区预防措施</x:v>
      </x:c>
    </x:row>
    <x:row r="227" ht="72" customHeight="1">
      <x:c r="A227" s="25" t="n">
        <x:v>11119</x:v>
      </x:c>
      <x:c r="B227" s="25" t="str">
        <x:v>IC-L3-376</x:v>
      </x:c>
      <x:c r="C227" s="25" t="str">
        <x:v>验光师</x:v>
      </x:c>
      <x:c r="D227" s="25" t="str">
        <x:v>2-05-08-01</x:v>
      </x:c>
      <x:c r="E227" s="25" t="str">
        <x:v>内科护士</x:v>
      </x:c>
      <x:c r="F227" s="28" t="n">
        <x:f>COUNTIF('岗位-产业节点关系'!$C$4:$C$709,B227)</x:f>
        <x:v>1</x:v>
      </x:c>
      <x:c r="G227" s="26" t="str">
        <x:f>IF(F227=0,"未匹配（现有产业链范围未覆盖或证据不足）",IF(COUNTIFS('岗位-产业节点关系'!$C$4:$C$709,B227,'岗位-产业节点关系'!$M$4:$M$709,"低")&gt;0,"已匹配，建议复核","已匹配"))</x:f>
        <x:v>已匹配，建议复核</x:v>
      </x:c>
      <x:c r="H227" s="26" t="str">
        <x:v>低</x:v>
      </x:c>
      <x:c r="I227" s="26" t="str">
        <x:v>ICN012</x:v>
      </x:c>
      <x:c r="J227" s="26" t="str">
        <x:v>医药生物与医疗健康产业链/下游/医疗服务、临床应用与健康管理</x:v>
      </x:c>
      <x:c r="K227" s="26" t="str">
        <x:v>验光师是专门从事眼部健康检查和视力矫正的专业人员。该职位的核心目标是通过专业验光技术和设备，为患者提供精准的视力评估和矫正方案。在日常工作中，需要进行视力检查、验光配镜、眼部健康评估以及相关护理指导等工作。</x:v>
      </x:c>
      <x:c r="L227" s="26" t="str">
        <x:v>1. 进行视力检查评估 2. 操作专业验光设备 3. 诊断眼部健康问题 4. 开具视力矫正方案 5. 指导患者正确护眼 6. 记录验光检查数据</x:v>
      </x:c>
    </x:row>
    <x:row r="228" ht="72" customHeight="1">
      <x:c r="A228" s="25" t="n">
        <x:v>11120</x:v>
      </x:c>
      <x:c r="B228" s="25" t="str">
        <x:v>IC-L3-377</x:v>
      </x:c>
      <x:c r="C228" s="25" t="str">
        <x:v>理疗师</x:v>
      </x:c>
      <x:c r="D228" s="25" t="str">
        <x:v>2-05-08-01</x:v>
      </x:c>
      <x:c r="E228" s="25" t="str">
        <x:v>内科护士</x:v>
      </x:c>
      <x:c r="F228" s="28" t="n">
        <x:f>COUNTIF('岗位-产业节点关系'!$C$4:$C$709,B228)</x:f>
        <x:v>0</x:v>
      </x:c>
      <x:c r="G228" s="26" t="str">
        <x:f>IF(F228=0,"未匹配（现有产业链范围未覆盖或证据不足）",IF(COUNTIFS('岗位-产业节点关系'!$C$4:$C$709,B228,'岗位-产业节点关系'!$M$4:$M$709,"低")&gt;0,"已匹配，建议复核","已匹配"))</x:f>
        <x:v>未匹配（现有产业链范围未覆盖或证据不足）</x:v>
      </x:c>
      <x:c r="H228" s="26" t="str">
        <x:v>-</x:v>
      </x:c>
      <x:c r="I228" s="26" t="str"/>
      <x:c r="J228" s="26" t="str"/>
      <x:c r="K228" s="26" t="str">
        <x:v>理疗师是专门从事康复治疗和物理治疗的专业人员。该职位的核心目标是通过专业理疗技术，帮助患者恢复身体机能和减轻疼痛。在日常工作中，需要进行评估患者状况、制定个性化治疗方案、实施理疗操作和跟踪康复进展等工作。</x:v>
      </x:c>
      <x:c r="L228" s="26" t="str">
        <x:v>1. 评估患者康复需求 2. 制定理疗方案 3. 实施物理治疗 4. 指导康复训练 5. 监测治疗效果 6. 记录治疗过程</x:v>
      </x:c>
    </x:row>
    <x:row r="229" ht="72" customHeight="1">
      <x:c r="A229" s="25" t="n">
        <x:v>11121</x:v>
      </x:c>
      <x:c r="B229" s="25" t="str">
        <x:v>IC-L3-378</x:v>
      </x:c>
      <x:c r="C229" s="25" t="str">
        <x:v>养老护理员</x:v>
      </x:c>
      <x:c r="D229" s="25" t="str">
        <x:v>2-05-08-01</x:v>
      </x:c>
      <x:c r="E229" s="25" t="str">
        <x:v>内科护士</x:v>
      </x:c>
      <x:c r="F229" s="28" t="n">
        <x:f>COUNTIF('岗位-产业节点关系'!$C$4:$C$709,B229)</x:f>
        <x:v>1</x:v>
      </x:c>
      <x:c r="G229" s="26" t="str">
        <x:f>IF(F229=0,"未匹配（现有产业链范围未覆盖或证据不足）",IF(COUNTIFS('岗位-产业节点关系'!$C$4:$C$709,B229,'岗位-产业节点关系'!$M$4:$M$709,"低")&gt;0,"已匹配，建议复核","已匹配"))</x:f>
        <x:v>已匹配</x:v>
      </x:c>
      <x:c r="H229" s="26" t="str">
        <x:v>高</x:v>
      </x:c>
      <x:c r="I229" s="26" t="str">
        <x:v>ICN012</x:v>
      </x:c>
      <x:c r="J229" s="26" t="str">
        <x:v>医药生物与医疗健康产业链/下游/医疗服务、临床应用与健康管理</x:v>
      </x:c>
      <x:c r="K229" s="26" t="str">
        <x:v>养老护理员是专门从事老年人照护服务的专业护理人员。该职位的核心目标是通过专业护理和生活照料，保障老年人生理和心理健康。在日常工作中，需要进行健康监测、生活照料、康复协助、心理疏导及医疗配合等工作。</x:v>
      </x:c>
      <x:c r="L229" s="26" t="str">
        <x:v>1. 提供日常起居照料 2. 协助老人个人卫生 3. 监测生命体征变化 4. 执行医嘱服药管理 5. 组织康复训练活动 6. 记录护理服务情况</x:v>
      </x:c>
    </x:row>
    <x:row r="230" ht="72" customHeight="1">
      <x:c r="A230" s="25" t="n">
        <x:v>11122</x:v>
      </x:c>
      <x:c r="B230" s="25" t="str">
        <x:v>IC-L3-379</x:v>
      </x:c>
      <x:c r="C230" s="25" t="str">
        <x:v>制剂研究员</x:v>
      </x:c>
      <x:c r="D230" s="25" t="str">
        <x:v>2-01-06-03</x:v>
      </x:c>
      <x:c r="E230" s="25" t="str">
        <x:v>化学研究人员</x:v>
      </x:c>
      <x:c r="F230" s="28" t="n">
        <x:f>COUNTIF('岗位-产业节点关系'!$C$4:$C$709,B230)</x:f>
        <x:v>1</x:v>
      </x:c>
      <x:c r="G230" s="26" t="str">
        <x:f>IF(F230=0,"未匹配（现有产业链范围未覆盖或证据不足）",IF(COUNTIFS('岗位-产业节点关系'!$C$4:$C$709,B230,'岗位-产业节点关系'!$M$4:$M$709,"低")&gt;0,"已匹配，建议复核","已匹配"))</x:f>
        <x:v>已匹配，建议复核</x:v>
      </x:c>
      <x:c r="H230" s="26" t="str">
        <x:v>低</x:v>
      </x:c>
      <x:c r="I230" s="26" t="str">
        <x:v>ICN011</x:v>
      </x:c>
      <x:c r="J230" s="26" t="str">
        <x:v>医药生物与医疗健康产业链/中游/药械生产、医疗装备与数字平台</x:v>
      </x:c>
      <x:c r="K230" s="26" t="str">
        <x:v>制剂研究员是生物制药领域中至关重要的技术岗位，负责将活性药物成分转化为安全有效的药物产品。这一角色不仅需要深入理解化学、生物学和药学知识，还需要具备创新思维和解决实际问题的能力，以满足不断变化的市场需求和技术进步。 该职…</x:v>
      </x:c>
      <x:c r="L230" s="26" t="str">
        <x:v>1. 负责新型药物制剂的设计与优化工作，确保所开发的产品符合临床应用需求。 2. 进行实验室规模的小试研究，评估不同配方的效果，并记录实验数据进行分析。 3. 与生产部门协作，完成从实验室到工业化生产的放大过程，解决生产…</x:v>
      </x:c>
    </x:row>
    <x:row r="231" ht="72" customHeight="1">
      <x:c r="A231" s="25" t="n">
        <x:v>11123</x:v>
      </x:c>
      <x:c r="B231" s="25" t="str">
        <x:v>IC-L3-380</x:v>
      </x:c>
      <x:c r="C231" s="25" t="str">
        <x:v>动物实验技术员</x:v>
      </x:c>
      <x:c r="D231" s="25" t="str">
        <x:v>2-05-07-01</x:v>
      </x:c>
      <x:c r="E231" s="25" t="str">
        <x:v>影像技师</x:v>
      </x:c>
      <x:c r="F231" s="28" t="n">
        <x:f>COUNTIF('岗位-产业节点关系'!$C$4:$C$709,B231)</x:f>
        <x:v>1</x:v>
      </x:c>
      <x:c r="G231" s="26" t="str">
        <x:f>IF(F231=0,"未匹配（现有产业链范围未覆盖或证据不足）",IF(COUNTIFS('岗位-产业节点关系'!$C$4:$C$709,B231,'岗位-产业节点关系'!$M$4:$M$709,"低")&gt;0,"已匹配，建议复核","已匹配"))</x:f>
        <x:v>已匹配，建议复核</x:v>
      </x:c>
      <x:c r="H231" s="26" t="str">
        <x:v>低</x:v>
      </x:c>
      <x:c r="I231" s="26" t="str">
        <x:v>ICN010</x:v>
      </x:c>
      <x:c r="J231" s="26" t="str">
        <x:v>医药生物与医疗健康产业链/上游/药物研发、诊断试剂与核心材料</x:v>
      </x:c>
      <x:c r="K231" s="26" t="str">
        <x:v>动物实验技术员是生物制药行业中不可或缺的专业人才，负责执行与动物相关的实验操作，确保研究数据的准确性和可靠性，从而支持新药的研发进程。作为连接基础研究与临床试验的关键环节，该职位的核心目标在于通过高效、规范的动物实验，加…</x:v>
      </x:c>
      <x:c r="L231" s="26" t="str">
        <x:v>1. 负责动物实验的设计与实施，包括但不限于动物模型建立、给药方案制定、样本采集及处理等工作，确保所有操作符合GMP标准。 2. 定期监测实验动物的健康状况，记录并分析实验过程中产生的数据，及时向主管报告异常情况，保证实…</x:v>
      </x:c>
    </x:row>
    <x:row r="232" ht="72" customHeight="1">
      <x:c r="A232" s="25" t="n">
        <x:v>11124</x:v>
      </x:c>
      <x:c r="B232" s="25" t="str">
        <x:v>IC-L3-381</x:v>
      </x:c>
      <x:c r="C232" s="25" t="str">
        <x:v>化学分析测试员</x:v>
      </x:c>
      <x:c r="D232" s="25" t="str">
        <x:v>2-05-07-01</x:v>
      </x:c>
      <x:c r="E232" s="25" t="str">
        <x:v>影像技师</x:v>
      </x:c>
      <x:c r="F232" s="28" t="n">
        <x:f>COUNTIF('岗位-产业节点关系'!$C$4:$C$709,B232)</x:f>
        <x:v>1</x:v>
      </x:c>
      <x:c r="G232" s="26" t="str">
        <x:f>IF(F232=0,"未匹配（现有产业链范围未覆盖或证据不足）",IF(COUNTIFS('岗位-产业节点关系'!$C$4:$C$709,B232,'岗位-产业节点关系'!$M$4:$M$709,"低")&gt;0,"已匹配，建议复核","已匹配"))</x:f>
        <x:v>已匹配，建议复核</x:v>
      </x:c>
      <x:c r="H232" s="26" t="str">
        <x:v>低</x:v>
      </x:c>
      <x:c r="I232" s="26" t="str">
        <x:v>ICN011</x:v>
      </x:c>
      <x:c r="J232" s="26" t="str">
        <x:v>医药生物与医疗健康产业链/中游/药械生产、医疗装备与数字平台</x:v>
      </x:c>
      <x:c r="K232" s="26" t="str">
        <x:v>化学分析测试员是生物制药行业中不可或缺的角色，他们通过精确的化学分析确保药品的质量与安全性，支持新药的研发过程，是连接实验室研究与临床应用的重要桥梁。该职位的核心目标在于运用先进的分析技术和设备，对药物成分进行定性和定量…</x:v>
      </x:c>
      <x:c r="L232" s="26" t="str">
        <x:v>1. 负责执行日常的样品检测工作，包括但不限于原料药、中间体及成品的理化性质测定，确保所有实验数据准确无误。 2. 根据GMP（良好生产规范）要求，制定并优化化学分析方法，提高分析效率和准确性，满足快速发展的业务需求。 …</x:v>
      </x:c>
    </x:row>
    <x:row r="233" ht="72" customHeight="1">
      <x:c r="A233" s="25" t="n">
        <x:v>11125</x:v>
      </x:c>
      <x:c r="B233" s="25" t="str">
        <x:v>IC-L3-382</x:v>
      </x:c>
      <x:c r="C233" s="25" t="str">
        <x:v>医药代表</x:v>
      </x:c>
      <x:c r="D233" s="25" t="str">
        <x:v>2-06-07-07</x:v>
      </x:c>
      <x:c r="E233" s="25" t="str">
        <x:v>医药代表</x:v>
      </x:c>
      <x:c r="F233" s="28" t="n">
        <x:f>COUNTIF('岗位-产业节点关系'!$C$4:$C$709,B233)</x:f>
        <x:v>1</x:v>
      </x:c>
      <x:c r="G233" s="26" t="str">
        <x:f>IF(F233=0,"未匹配（现有产业链范围未覆盖或证据不足）",IF(COUNTIFS('岗位-产业节点关系'!$C$4:$C$709,B233,'岗位-产业节点关系'!$M$4:$M$709,"低")&gt;0,"已匹配，建议复核","已匹配"))</x:f>
        <x:v>已匹配</x:v>
      </x:c>
      <x:c r="H233" s="26" t="str">
        <x:v>高</x:v>
      </x:c>
      <x:c r="I233" s="26" t="str">
        <x:v>ICN012</x:v>
      </x:c>
      <x:c r="J233" s="26" t="str">
        <x:v>医药生物与医疗健康产业链/下游/医疗服务、临床应用与健康管理</x:v>
      </x:c>
      <x:c r="K233" s="26" t="str">
        <x:v>医药代表是生物制药行业中不可或缺的角色之一，他们不仅作为公司与医生、医院等医疗机构之间的桥梁，还肩负着传递最新医疗产品信息、促进合理用药的重要使命。通过建立并维护良好的客户关系，医药代表能够确保产品的市场接受度，从而为公…</x:v>
      </x:c>
      <x:c r="L233" s="26" t="str">
        <x:v>医药代表的主要职责包括：负责区域内医院、诊所等医疗单位的客户关系维护与拓展；收集并反馈市场信息，包括医生需求、竞品动态等；推广公司医药产品，提供产品知识培训和技术支持；协助医生制定治疗方案，解答临床应用中的技术问题；定期…</x:v>
      </x:c>
    </x:row>
    <x:row r="234" ht="72" customHeight="1">
      <x:c r="A234" s="25" t="n">
        <x:v>11126</x:v>
      </x:c>
      <x:c r="B234" s="25" t="str">
        <x:v>IC-L3-383</x:v>
      </x:c>
      <x:c r="C234" s="25" t="str">
        <x:v>医药学术推广</x:v>
      </x:c>
      <x:c r="D234" s="25" t="str">
        <x:v>2-06-07-07</x:v>
      </x:c>
      <x:c r="E234" s="25" t="str">
        <x:v>医药代表</x:v>
      </x:c>
      <x:c r="F234" s="28" t="n">
        <x:f>COUNTIF('岗位-产业节点关系'!$C$4:$C$709,B234)</x:f>
        <x:v>1</x:v>
      </x:c>
      <x:c r="G234" s="26" t="str">
        <x:f>IF(F234=0,"未匹配（现有产业链范围未覆盖或证据不足）",IF(COUNTIFS('岗位-产业节点关系'!$C$4:$C$709,B234,'岗位-产业节点关系'!$M$4:$M$709,"低")&gt;0,"已匹配，建议复核","已匹配"))</x:f>
        <x:v>已匹配</x:v>
      </x:c>
      <x:c r="H234" s="26" t="str">
        <x:v>高</x:v>
      </x:c>
      <x:c r="I234" s="26" t="str">
        <x:v>ICN012</x:v>
      </x:c>
      <x:c r="J234" s="26" t="str">
        <x:v>医药生物与医疗健康产业链/下游/医疗服务、临床应用与健康管理</x:v>
      </x:c>
      <x:c r="K234" s="26" t="str">
        <x:v>医药学术推广专员在医药行业中扮演着至关重要的角色，尤其是在生物制药领域。他们不仅是产品知识与医学信息之间的桥梁，还承担着将最新的科研成果转化为临床应用的任务，对于推动医疗技术进步、提升患者治疗效果有着不可替代的作用。 该…</x:v>
      </x:c>
      <x:c r="L234" s="26" t="str">
        <x:v>1. 定期拜访目标医院及科室，向医生介绍公司最新药品信息及研究成果，确保信息传递准确无误。 2. 组织并参与各类学术会议、研讨会等活动，搭建专业交流平台，增强公司在目标客户群体中的影响力。 3. 收集整理来自一线医生的反…</x:v>
      </x:c>
    </x:row>
    <x:row r="235" ht="72" customHeight="1">
      <x:c r="A235" s="25" t="n">
        <x:v>11127</x:v>
      </x:c>
      <x:c r="B235" s="25" t="str">
        <x:v>IC-L3-384</x:v>
      </x:c>
      <x:c r="C235" s="25" t="str">
        <x:v>医药技术研发人员</x:v>
      </x:c>
      <x:c r="D235" s="25" t="str">
        <x:v>2-05-07-01</x:v>
      </x:c>
      <x:c r="E235" s="25" t="str">
        <x:v>影像技师</x:v>
      </x:c>
      <x:c r="F235" s="28" t="n">
        <x:f>COUNTIF('岗位-产业节点关系'!$C$4:$C$709,B235)</x:f>
        <x:v>1</x:v>
      </x:c>
      <x:c r="G235" s="26" t="str">
        <x:f>IF(F235=0,"未匹配（现有产业链范围未覆盖或证据不足）",IF(COUNTIFS('岗位-产业节点关系'!$C$4:$C$709,B235,'岗位-产业节点关系'!$M$4:$M$709,"低")&gt;0,"已匹配，建议复核","已匹配"))</x:f>
        <x:v>已匹配</x:v>
      </x:c>
      <x:c r="H235" s="26" t="str">
        <x:v>高</x:v>
      </x:c>
      <x:c r="I235" s="26" t="str">
        <x:v>ICN012</x:v>
      </x:c>
      <x:c r="J235" s="26" t="str">
        <x:v>医药生物与医疗健康产业链/下游/医疗服务、临床应用与健康管理</x:v>
      </x:c>
      <x:c r="K235" s="26" t="str">
        <x:v>医药技术研发人员是医药/医疗行业中生物制药领域不可或缺的专业人才，他们负责推动新药的研发进程，确保药品从实验室到市场的顺利过渡。通过运用先进的生物技术手段进行药物筛选、设计与优化，这些专业人员不仅能够加速新药的开发速度，…</x:v>
      </x:c>
      <x:c r="L235" s="26" t="str">
        <x:v>1. 负责新型生物制剂的设计、合成及初步评估工作，确保研发项目的顺利推进。 2. 对现有产品线进行持续改进，探索提高生产效率的方法，降低生产成本。 3. 参与制定并执行详细的实验方案，记录实验数据，撰写技术报告，为后续研…</x:v>
      </x:c>
    </x:row>
    <x:row r="236" ht="72" customHeight="1">
      <x:c r="A236" s="25" t="n">
        <x:v>11128</x:v>
      </x:c>
      <x:c r="B236" s="25" t="str">
        <x:v>IC-L3-385</x:v>
      </x:c>
      <x:c r="C236" s="25" t="str">
        <x:v>医药技术研发管理人员</x:v>
      </x:c>
      <x:c r="D236" s="25" t="str">
        <x:v>2-05-07-01</x:v>
      </x:c>
      <x:c r="E236" s="25" t="str">
        <x:v>影像技师</x:v>
      </x:c>
      <x:c r="F236" s="28" t="n">
        <x:f>COUNTIF('岗位-产业节点关系'!$C$4:$C$709,B236)</x:f>
        <x:v>1</x:v>
      </x:c>
      <x:c r="G236" s="26" t="str">
        <x:f>IF(F236=0,"未匹配（现有产业链范围未覆盖或证据不足）",IF(COUNTIFS('岗位-产业节点关系'!$C$4:$C$709,B236,'岗位-产业节点关系'!$M$4:$M$709,"低")&gt;0,"已匹配，建议复核","已匹配"))</x:f>
        <x:v>已匹配</x:v>
      </x:c>
      <x:c r="H236" s="26" t="str">
        <x:v>中</x:v>
      </x:c>
      <x:c r="I236" s="26" t="str">
        <x:v>ICN011</x:v>
      </x:c>
      <x:c r="J236" s="26" t="str">
        <x:v>医药生物与医疗健康产业链/中游/药械生产、医疗装备与数字平台</x:v>
      </x:c>
      <x:c r="K236" s="26" t="str">
        <x:v>医药技术研发管理人员是生物制药领域中不可或缺的角色，他们负责监督和指导药物从研发到上市的全过程，确保技术创新与市场需求的有效对接，是推动公司产品线不断丰富和优化的关键力量。该职位的核心目标在于通过高效的研发管理，加速新药…</x:v>
      </x:c>
      <x:c r="L236" s="26" t="str">
        <x:v>1. 负责制定并执行公司的药物研发战略，确保研发项目按时按质完成，满足临床前及临床阶段的各项要求。 2. 组织跨部门会议，协调资源分配，解决项目实施过程中的技术难题，确保研发流程顺畅高效。 3. 监控国内外最新科研动态和…</x:v>
      </x:c>
    </x:row>
    <x:row r="237" ht="72" customHeight="1">
      <x:c r="A237" s="25" t="n">
        <x:v>11129</x:v>
      </x:c>
      <x:c r="B237" s="25" t="str">
        <x:v>IC-L3-386</x:v>
      </x:c>
      <x:c r="C237" s="25" t="str">
        <x:v>医药销售经理/主管</x:v>
      </x:c>
      <x:c r="D237" s="25" t="str">
        <x:v>2-06-07-07</x:v>
      </x:c>
      <x:c r="E237" s="25" t="str">
        <x:v>医药代表</x:v>
      </x:c>
      <x:c r="F237" s="28" t="n">
        <x:f>COUNTIF('岗位-产业节点关系'!$C$4:$C$709,B237)</x:f>
        <x:v>1</x:v>
      </x:c>
      <x:c r="G237" s="26" t="str">
        <x:f>IF(F237=0,"未匹配（现有产业链范围未覆盖或证据不足）",IF(COUNTIFS('岗位-产业节点关系'!$C$4:$C$709,B237,'岗位-产业节点关系'!$M$4:$M$709,"低")&gt;0,"已匹配，建议复核","已匹配"))</x:f>
        <x:v>已匹配</x:v>
      </x:c>
      <x:c r="H237" s="26" t="str">
        <x:v>中</x:v>
      </x:c>
      <x:c r="I237" s="26" t="str">
        <x:v>ICN011</x:v>
      </x:c>
      <x:c r="J237" s="26" t="str">
        <x:v>医药生物与医疗健康产业链/中游/药械生产、医疗装备与数字平台</x:v>
      </x:c>
      <x:c r="K237" s="26" t="str">
        <x:v>医药销售经理/主管是生物制药行业中至关重要的角色，他们不仅负责推动公司产品的市场渗透率，还肩负着建立和维护客户关系的重要任务，对于实现企业的商业目标具有不可替代的作用。作为公司与市场之间的桥梁，医药销售经理/主管的核心目…</x:v>
      </x:c>
      <x:c r="L237" s="26" t="str">
        <x:v>医药销售经理/主管的主要职责包括：制定并执行销售策略，达成销售目标；管理销售团队，提升团队业绩；维护和拓展客户关系，开发新客户资源；收集市场信息，分析竞争对手动态；组织销售培训，提升团队专业能力；协调内部资源，确保销售流…</x:v>
      </x:c>
    </x:row>
    <x:row r="238" ht="72" customHeight="1">
      <x:c r="A238" s="25" t="n">
        <x:v>11130</x:v>
      </x:c>
      <x:c r="B238" s="25" t="str">
        <x:v>IC-L3-387</x:v>
      </x:c>
      <x:c r="C238" s="25" t="str">
        <x:v>生物工程/生物制药</x:v>
      </x:c>
      <x:c r="D238" s="25" t="str">
        <x:v>2-05-07-01</x:v>
      </x:c>
      <x:c r="E238" s="25" t="str">
        <x:v>影像技师</x:v>
      </x:c>
      <x:c r="F238" s="28" t="n">
        <x:f>COUNTIF('岗位-产业节点关系'!$C$4:$C$709,B238)</x:f>
        <x:v>1</x:v>
      </x:c>
      <x:c r="G238" s="26" t="str">
        <x:f>IF(F238=0,"未匹配（现有产业链范围未覆盖或证据不足）",IF(COUNTIFS('岗位-产业节点关系'!$C$4:$C$709,B238,'岗位-产业节点关系'!$M$4:$M$709,"低")&gt;0,"已匹配，建议复核","已匹配"))</x:f>
        <x:v>已匹配</x:v>
      </x:c>
      <x:c r="H238" s="26" t="str">
        <x:v>高</x:v>
      </x:c>
      <x:c r="I238" s="26" t="str">
        <x:v>ICN011</x:v>
      </x:c>
      <x:c r="J238" s="26" t="str">
        <x:v>医药生物与医疗健康产业链/中游/药械生产、医疗装备与数字平台</x:v>
      </x:c>
      <x:c r="K238" s="26" t="str">
        <x:v>**岗位简介** 生物工程/生物制药职位在医药行业中扮演着至关重要的角色，它不仅促进了新药的研发，还加速了从实验室到临床应用的转化过程。作为生物制药领域的专家，该职位人员通过运用先进的生物技术手段，致力于解决人类健康问题…</x:v>
      </x:c>
      <x:c r="L238" s="26" t="str">
        <x:v>生物工程/生物制药岗位职责： 1. 负责生物制药产品的研发，包括实验设计、实施和数据分析； 2. 参与生物制药生产工艺的优化和改进，确保产品质量和生产效率； 3. 负责生物制药产品的质量控制，确保符合相关法规和标准； 4…</x:v>
      </x:c>
    </x:row>
    <x:row r="239" ht="72" customHeight="1">
      <x:c r="A239" s="25" t="n">
        <x:v>11131</x:v>
      </x:c>
      <x:c r="B239" s="25" t="str">
        <x:v>IC-L3-388</x:v>
      </x:c>
      <x:c r="C239" s="25" t="str">
        <x:v>病理研究员</x:v>
      </x:c>
      <x:c r="D239" s="25" t="str">
        <x:v>2-01-06-03</x:v>
      </x:c>
      <x:c r="E239" s="25" t="str">
        <x:v>化学研究人员</x:v>
      </x:c>
      <x:c r="F239" s="28" t="n">
        <x:f>COUNTIF('岗位-产业节点关系'!$C$4:$C$709,B239)</x:f>
        <x:v>1</x:v>
      </x:c>
      <x:c r="G239" s="26" t="str">
        <x:f>IF(F239=0,"未匹配（现有产业链范围未覆盖或证据不足）",IF(COUNTIFS('岗位-产业节点关系'!$C$4:$C$709,B239,'岗位-产业节点关系'!$M$4:$M$709,"低")&gt;0,"已匹配，建议复核","已匹配"))</x:f>
        <x:v>已匹配，建议复核</x:v>
      </x:c>
      <x:c r="H239" s="26" t="str">
        <x:v>低</x:v>
      </x:c>
      <x:c r="I239" s="26" t="str">
        <x:v>ICN010</x:v>
      </x:c>
      <x:c r="J239" s="26" t="str">
        <x:v>医药生物与医疗健康产业链/上游/药物研发、诊断试剂与核心材料</x:v>
      </x:c>
      <x:c r="K239" s="26" t="str">
        <x:v>病理研究员是医药/医疗行业中生物制药领域不可或缺的专业人才，其在疾病机理研究、新药开发及临床试验中扮演着至关重要的角色。通过深入探索疾病的分子生物学基础，病理研究员能够为公司提供科学依据，指导药物研发策略的制定与优化，确…</x:v>
      </x:c>
      <x:c r="L239" s="26" t="str">
        <x:v>1. 负责开展针对特定疾病病理机制的基础研究工作，设计并实施相关实验方案，以揭示潜在治疗靶点。 2. 分析实验数据，撰写研究报告，定期向管理层汇报研究成果及进展，为公司决策提供技术支持。 3. 协同多学科团队成员，参与药…</x:v>
      </x:c>
    </x:row>
    <x:row r="240" ht="72" customHeight="1">
      <x:c r="A240" s="25" t="n">
        <x:v>11132</x:v>
      </x:c>
      <x:c r="B240" s="25" t="str">
        <x:v>IC-L3-389</x:v>
      </x:c>
      <x:c r="C240" s="25" t="str">
        <x:v>细胞培养技术员</x:v>
      </x:c>
      <x:c r="D240" s="25" t="str">
        <x:v>2-05-07-01</x:v>
      </x:c>
      <x:c r="E240" s="25" t="str">
        <x:v>影像技师</x:v>
      </x:c>
      <x:c r="F240" s="28" t="n">
        <x:f>COUNTIF('岗位-产业节点关系'!$C$4:$C$709,B240)</x:f>
        <x:v>1</x:v>
      </x:c>
      <x:c r="G240" s="26" t="str">
        <x:f>IF(F240=0,"未匹配（现有产业链范围未覆盖或证据不足）",IF(COUNTIFS('岗位-产业节点关系'!$C$4:$C$709,B240,'岗位-产业节点关系'!$M$4:$M$709,"低")&gt;0,"已匹配，建议复核","已匹配"))</x:f>
        <x:v>已匹配，建议复核</x:v>
      </x:c>
      <x:c r="H240" s="26" t="str">
        <x:v>低</x:v>
      </x:c>
      <x:c r="I240" s="26" t="str">
        <x:v>ICN011</x:v>
      </x:c>
      <x:c r="J240" s="26" t="str">
        <x:v>医药生物与医疗健康产业链/中游/药械生产、医疗装备与数字平台</x:v>
      </x:c>
      <x:c r="K240" s="26" t="str">
        <x:v>细胞培养技术员是生物制药领域中不可或缺的专业人才，他们通过精确控制细胞生长环境，确保生物制品的质量与安全，对推动新药研发及生产具有关键作用。作为细胞培养技术员，其核心目标在于优化细胞系构建、培养基配方筛选以及工艺放大等环…</x:v>
      </x:c>
      <x:c r="L240" s="26" t="str">
        <x:v>1. 负责日常细胞培养操作，包括但不限于细胞复苏、传代、冻存等，确保细胞状态良好并满足实验需求。 2. 开展细胞系稳定性研究，定期监测细胞生长情况，记录数据并分析结果，及时调整培养条件以保证细胞性能稳定。 3. 协助进行…</x:v>
      </x:c>
    </x:row>
    <x:row r="241" ht="72" customHeight="1">
      <x:c r="A241" s="25" t="n">
        <x:v>11133</x:v>
      </x:c>
      <x:c r="B241" s="25" t="str">
        <x:v>IC-L3-390</x:v>
      </x:c>
      <x:c r="C241" s="25" t="str">
        <x:v>药品市场推广专员</x:v>
      </x:c>
      <x:c r="D241" s="25" t="str">
        <x:v>2-05-07-01</x:v>
      </x:c>
      <x:c r="E241" s="25" t="str">
        <x:v>影像技师</x:v>
      </x:c>
      <x:c r="F241" s="28" t="n">
        <x:f>COUNTIF('岗位-产业节点关系'!$C$4:$C$709,B241)</x:f>
        <x:v>1</x:v>
      </x:c>
      <x:c r="G241" s="26" t="str">
        <x:f>IF(F241=0,"未匹配（现有产业链范围未覆盖或证据不足）",IF(COUNTIFS('岗位-产业节点关系'!$C$4:$C$709,B241,'岗位-产业节点关系'!$M$4:$M$709,"低")&gt;0,"已匹配，建议复核","已匹配"))</x:f>
        <x:v>已匹配</x:v>
      </x:c>
      <x:c r="H241" s="26" t="str">
        <x:v>中</x:v>
      </x:c>
      <x:c r="I241" s="26" t="str">
        <x:v>ICN012</x:v>
      </x:c>
      <x:c r="J241" s="26" t="str">
        <x:v>医药生物与医疗健康产业链/下游/医疗服务、临床应用与健康管理</x:v>
      </x:c>
      <x:c r="K241" s="26" t="str">
        <x:v>药品市场推广专员是生物制药行业中不可或缺的角色，他们通过有效的市场策略和推广活动，将公司研发的新药或现有药物成功推向市场，提高产品的知名度和市场份额。作为药品市场推广专员，核心目标在于制定并执行全面的市场推广计划，确保产…</x:v>
      </x:c>
      <x:c r="L241" s="26" t="str">
        <x:v>1. 负责收集并分析市场信息，了解竞品动态及消费者需求，为制定精准的市场推广策略提供依据。 2. 制定并实施年度药品市场推广计划，包括但不限于线上线下的广告宣传、学术会议赞助、客户关系维护等，以扩大品牌影响力。 3. 与…</x:v>
      </x:c>
    </x:row>
    <x:row r="242" ht="72" customHeight="1">
      <x:c r="A242" s="25" t="n">
        <x:v>11134</x:v>
      </x:c>
      <x:c r="B242" s="25" t="str">
        <x:v>IC-L3-391</x:v>
      </x:c>
      <x:c r="C242" s="25" t="str">
        <x:v>药品市场推广主管</x:v>
      </x:c>
      <x:c r="D242" s="25" t="str">
        <x:v>2-05-07-01</x:v>
      </x:c>
      <x:c r="E242" s="25" t="str">
        <x:v>影像技师</x:v>
      </x:c>
      <x:c r="F242" s="28" t="n">
        <x:f>COUNTIF('岗位-产业节点关系'!$C$4:$C$709,B242)</x:f>
        <x:v>1</x:v>
      </x:c>
      <x:c r="G242" s="26" t="str">
        <x:f>IF(F242=0,"未匹配（现有产业链范围未覆盖或证据不足）",IF(COUNTIFS('岗位-产业节点关系'!$C$4:$C$709,B242,'岗位-产业节点关系'!$M$4:$M$709,"低")&gt;0,"已匹配，建议复核","已匹配"))</x:f>
        <x:v>已匹配</x:v>
      </x:c>
      <x:c r="H242" s="26" t="str">
        <x:v>中</x:v>
      </x:c>
      <x:c r="I242" s="26" t="str">
        <x:v>ICN012</x:v>
      </x:c>
      <x:c r="J242" s="26" t="str">
        <x:v>医药生物与医疗健康产业链/下游/医疗服务、临床应用与健康管理</x:v>
      </x:c>
      <x:c r="K242" s="26" t="str">
        <x:v>药品市场推广主管是医药行业中不可或缺的角色，尤其在生物制药领域，这一职位负责将公司研发的新药推向市场，提升品牌影响力和市场份额。作为连接产品与市场的桥梁，该职位不仅需要具备深厚的专业知识，还需要拥有敏锐的市场洞察力，能够…</x:v>
      </x:c>
      <x:c r="L242" s="26" t="str">
        <x:v>1. 负责制定年度市场推广计划，包括但不限于产品定位、目标客户群分析、竞争态势评估等，确保市场活动符合公司战略方向。 2. 组织并执行各类线上线下的营销活动，如学术会议、产品发布会、健康讲座等，提高产品知名度和市场占有率…</x:v>
      </x:c>
    </x:row>
    <x:row r="243" ht="72" customHeight="1">
      <x:c r="A243" s="25" t="n">
        <x:v>11135</x:v>
      </x:c>
      <x:c r="B243" s="25" t="str">
        <x:v>IC-L3-392</x:v>
      </x:c>
      <x:c r="C243" s="25" t="str">
        <x:v>药品市场推广经理</x:v>
      </x:c>
      <x:c r="D243" s="25" t="str">
        <x:v>2-05-07-01</x:v>
      </x:c>
      <x:c r="E243" s="25" t="str">
        <x:v>影像技师</x:v>
      </x:c>
      <x:c r="F243" s="28" t="n">
        <x:f>COUNTIF('岗位-产业节点关系'!$C$4:$C$709,B243)</x:f>
        <x:v>1</x:v>
      </x:c>
      <x:c r="G243" s="26" t="str">
        <x:f>IF(F243=0,"未匹配（现有产业链范围未覆盖或证据不足）",IF(COUNTIFS('岗位-产业节点关系'!$C$4:$C$709,B243,'岗位-产业节点关系'!$M$4:$M$709,"低")&gt;0,"已匹配，建议复核","已匹配"))</x:f>
        <x:v>已匹配</x:v>
      </x:c>
      <x:c r="H243" s="26" t="str">
        <x:v>中</x:v>
      </x:c>
      <x:c r="I243" s="26" t="str">
        <x:v>ICN012</x:v>
      </x:c>
      <x:c r="J243" s="26" t="str">
        <x:v>医药生物与医疗健康产业链/下游/医疗服务、临床应用与健康管理</x:v>
      </x:c>
      <x:c r="K243" s="26" t="str">
        <x:v>药品市场推广经理是生物制药行业中不可或缺的角色，其主要职责在于通过有效的市场策略将公司研发的新药或现有药物推向更广泛的市场。这一职位不仅要求具备深厚的专业知识，还需要拥有敏锐的市场洞察力和创新思维，以确保产品能够满足市场…</x:v>
      </x:c>
      <x:c r="L243" s="26" t="str">
        <x:v>1. 负责分析市场趋势，识别潜在机会点，设计并实施针对特定疾病领域的市场推广活动。 2. 与销售团队协同工作，制定区域性的销售支持方案，提升渠道效率和终端销量。 3. 组织和参与各类学术会议、展会等宣传活动，增强品牌影响…</x:v>
      </x:c>
    </x:row>
    <x:row r="244" ht="72" customHeight="1">
      <x:c r="A244" s="25" t="n">
        <x:v>11136</x:v>
      </x:c>
      <x:c r="B244" s="25" t="str">
        <x:v>IC-L3-393</x:v>
      </x:c>
      <x:c r="C244" s="25" t="str">
        <x:v>药品注册</x:v>
      </x:c>
      <x:c r="D244" s="25" t="str">
        <x:v>2-05-07-01</x:v>
      </x:c>
      <x:c r="E244" s="25" t="str">
        <x:v>影像技师</x:v>
      </x:c>
      <x:c r="F244" s="28" t="n">
        <x:f>COUNTIF('岗位-产业节点关系'!$C$4:$C$709,B244)</x:f>
        <x:v>1</x:v>
      </x:c>
      <x:c r="G244" s="26" t="str">
        <x:f>IF(F244=0,"未匹配（现有产业链范围未覆盖或证据不足）",IF(COUNTIFS('岗位-产业节点关系'!$C$4:$C$709,B244,'岗位-产业节点关系'!$M$4:$M$709,"低")&gt;0,"已匹配，建议复核","已匹配"))</x:f>
        <x:v>已匹配</x:v>
      </x:c>
      <x:c r="H244" s="26" t="str">
        <x:v>高</x:v>
      </x:c>
      <x:c r="I244" s="26" t="str">
        <x:v>ICN011</x:v>
      </x:c>
      <x:c r="J244" s="26" t="str">
        <x:v>医药生物与医疗健康产业链/中游/药械生产、医疗装备与数字平台</x:v>
      </x:c>
      <x:c r="K244" s="26" t="str">
        <x:v>药品注册专员是医药行业中不可或缺的角色，尤其在生物制药领域中，他们负责确保新药从研发到上市的合规性和合法性，对于推动公司产品线的发展具有至关重要的作用。本职位的核心目标在于通过深入理解国内外药品注册法规，高效完成各类注册…</x:v>
      </x:c>
      <x:c r="L244" s="26" t="str">
        <x:v>1. 负责收集并分析国内外药品注册相关的法律法规信息，指导公司内部相关部门制定符合要求的产品开发计划。 2. 组织编写、审核及提交药品注册所需的各类技术文档，如临床试验申请报告、上市许可申请等，确保资料完整准确无误。 3…</x:v>
      </x:c>
    </x:row>
    <x:row r="245" ht="72" customHeight="1">
      <x:c r="A245" s="25" t="n">
        <x:v>11137</x:v>
      </x:c>
      <x:c r="B245" s="25" t="str">
        <x:v>IC-L3-394</x:v>
      </x:c>
      <x:c r="C245" s="25" t="str">
        <x:v>药品生产/质量管理</x:v>
      </x:c>
      <x:c r="D245" s="25" t="str">
        <x:v>2-02-29-03</x:v>
      </x:c>
      <x:c r="E245" s="25" t="str">
        <x:v>质量管理工程技术人员</x:v>
      </x:c>
      <x:c r="F245" s="28" t="n">
        <x:f>COUNTIF('岗位-产业节点关系'!$C$4:$C$709,B245)</x:f>
        <x:v>1</x:v>
      </x:c>
      <x:c r="G245" s="26" t="str">
        <x:f>IF(F245=0,"未匹配（现有产业链范围未覆盖或证据不足）",IF(COUNTIFS('岗位-产业节点关系'!$C$4:$C$709,B245,'岗位-产业节点关系'!$M$4:$M$709,"低")&gt;0,"已匹配，建议复核","已匹配"))</x:f>
        <x:v>已匹配</x:v>
      </x:c>
      <x:c r="H245" s="26" t="str">
        <x:v>高</x:v>
      </x:c>
      <x:c r="I245" s="26" t="str">
        <x:v>ICN011</x:v>
      </x:c>
      <x:c r="J245" s="26" t="str">
        <x:v>医药生物与医疗健康产业链/中游/药械生产、医疗装备与数字平台</x:v>
      </x:c>
      <x:c r="K245" s="26" t="str">
        <x:v>药品生产/质量管理是医药行业中至关重要的环节，特别是在生物制药领域，它不仅确保了产品的安全性和有效性，还直接关系到企业的合规性和市场竞争力。作为该职位的专业人士，核心目标在于通过严格执行质量标准和流程管理，保障药品从研发…</x:v>
      </x:c>
      <x:c r="L245" s="26" t="str">
        <x:v>药品生产/质量管理岗位职责： 1. 负责药品生产过程的质量监控，确保生产符合GMP标准； 2. 审核生产记录，确保数据准确无误； 3. 参与质量管理体系的建立与维护，确保体系有效运行； 4. 负责生产过程中的质量异常处理…</x:v>
      </x:c>
    </x:row>
    <x:row r="246" ht="72" customHeight="1">
      <x:c r="A246" s="25" t="n">
        <x:v>11138</x:v>
      </x:c>
      <x:c r="B246" s="25" t="str">
        <x:v>IC-L3-395</x:v>
      </x:c>
      <x:c r="C246" s="25" t="str">
        <x:v>药物分析研究员</x:v>
      </x:c>
      <x:c r="D246" s="25" t="str">
        <x:v>2-01-06-03</x:v>
      </x:c>
      <x:c r="E246" s="25" t="str">
        <x:v>化学研究人员</x:v>
      </x:c>
      <x:c r="F246" s="28" t="n">
        <x:f>COUNTIF('岗位-产业节点关系'!$C$4:$C$709,B246)</x:f>
        <x:v>1</x:v>
      </x:c>
      <x:c r="G246" s="26" t="str">
        <x:f>IF(F246=0,"未匹配（现有产业链范围未覆盖或证据不足）",IF(COUNTIFS('岗位-产业节点关系'!$C$4:$C$709,B246,'岗位-产业节点关系'!$M$4:$M$709,"低")&gt;0,"已匹配，建议复核","已匹配"))</x:f>
        <x:v>已匹配</x:v>
      </x:c>
      <x:c r="H246" s="26" t="str">
        <x:v>中</x:v>
      </x:c>
      <x:c r="I246" s="26" t="str">
        <x:v>ICN010</x:v>
      </x:c>
      <x:c r="J246" s="26" t="str">
        <x:v>医药生物与医疗健康产业链/上游/药物研发、诊断试剂与核心材料</x:v>
      </x:c>
      <x:c r="K246" s="26" t="str">
        <x:v>药物分析研究员是生物制药行业中不可或缺的专业人才，他们通过精确的分析技术确保药品的质量与安全，对于新药的研发及现有药品的质量控制起到至关重要的作用。作为药物分析研究员，您的核心任务将围绕着开发并验证高效、准确的分析方法，…</x:v>
      </x:c>
      <x:c r="L246" s="26" t="str">
        <x:v>1. 设计并实施针对原料药和制剂的分析测试方案，确保所有实验数据真实可靠，满足GLP/GMP标准要求。 2. 负责建立和优化HPLC、GC、LC-MS等多种现代仪器分析平台，提高实验室自动化水平，降低操作成本。 3. 参…</x:v>
      </x:c>
    </x:row>
    <x:row r="247" ht="72" customHeight="1">
      <x:c r="A247" s="25" t="n">
        <x:v>11139</x:v>
      </x:c>
      <x:c r="B247" s="25" t="str">
        <x:v>IC-L3-396</x:v>
      </x:c>
      <x:c r="C247" s="25" t="str">
        <x:v>药物合成/有机合成研究员</x:v>
      </x:c>
      <x:c r="D247" s="25" t="str">
        <x:v>2-01-06-03</x:v>
      </x:c>
      <x:c r="E247" s="25" t="str">
        <x:v>化学研究人员</x:v>
      </x:c>
      <x:c r="F247" s="28" t="n">
        <x:f>COUNTIF('岗位-产业节点关系'!$C$4:$C$709,B247)</x:f>
        <x:v>1</x:v>
      </x:c>
      <x:c r="G247" s="26" t="str">
        <x:f>IF(F247=0,"未匹配（现有产业链范围未覆盖或证据不足）",IF(COUNTIFS('岗位-产业节点关系'!$C$4:$C$709,B247,'岗位-产业节点关系'!$M$4:$M$709,"低")&gt;0,"已匹配，建议复核","已匹配"))</x:f>
        <x:v>已匹配</x:v>
      </x:c>
      <x:c r="H247" s="26" t="str">
        <x:v>中</x:v>
      </x:c>
      <x:c r="I247" s="26" t="str">
        <x:v>ICN010</x:v>
      </x:c>
      <x:c r="J247" s="26" t="str">
        <x:v>医药生物与医疗健康产业链/上游/药物研发、诊断试剂与核心材料</x:v>
      </x:c>
      <x:c r="K247" s="26" t="str">
        <x:v>药物合成/有机合成研究员是生物制药领域中不可或缺的角色，负责新药的研发与优化，通过化学手段合成具有治疗效果的化合物，对于推动医药行业的创新发展起着关键作用。该职位的核心目标在于设计并实施高效的合成路线，以获得高纯度的目标…</x:v>
      </x:c>
      <x:c r="L247" s="26" t="str">
        <x:v>1. 根据项目需求，设计合理的有机合成路线，制定实验方案，开展化合物的合成工作，确保目标产物的结构正确性和纯度符合要求。 2. 运用现代分析技术（如HPLC, GC, NMR等）对反应过程进行监控，及时调整实验条件，提高…</x:v>
      </x:c>
    </x:row>
    <x:row r="248" ht="72" customHeight="1">
      <x:c r="A248" s="25" t="n">
        <x:v>11140</x:v>
      </x:c>
      <x:c r="B248" s="25" t="str">
        <x:v>IC-L3-397</x:v>
      </x:c>
      <x:c r="C248" s="25" t="str">
        <x:v>药物警戒</x:v>
      </x:c>
      <x:c r="D248" s="25" t="str">
        <x:v>2-05-07-01</x:v>
      </x:c>
      <x:c r="E248" s="25" t="str">
        <x:v>影像技师</x:v>
      </x:c>
      <x:c r="F248" s="28" t="n">
        <x:f>COUNTIF('岗位-产业节点关系'!$C$4:$C$709,B248)</x:f>
        <x:v>1</x:v>
      </x:c>
      <x:c r="G248" s="26" t="str">
        <x:f>IF(F248=0,"未匹配（现有产业链范围未覆盖或证据不足）",IF(COUNTIFS('岗位-产业节点关系'!$C$4:$C$709,B248,'岗位-产业节点关系'!$M$4:$M$709,"低")&gt;0,"已匹配，建议复核","已匹配"))</x:f>
        <x:v>已匹配</x:v>
      </x:c>
      <x:c r="H248" s="26" t="str">
        <x:v>中</x:v>
      </x:c>
      <x:c r="I248" s="26" t="str">
        <x:v>ICN012</x:v>
      </x:c>
      <x:c r="J248" s="26" t="str">
        <x:v>医药生物与医疗健康产业链/下游/医疗服务、临床应用与健康管理</x:v>
      </x:c>
      <x:c r="K248" s="26" t="str">
        <x:v>药物警戒是医药行业中不可或缺的关键角色，特别是在生物制药领域，它确保了药品的安全性和有效性，为患者提供了额外的保护层。通过监测、评估和预防药物副作用，该职位在保障公众健康方面发挥着至关重要的作用。 药物警戒的主要目标在于…</x:v>
      </x:c>
      <x:c r="L248" s="26" t="str">
        <x:v>1. 负责收集、整理和上报所有来源的药品不良反应报告，确保信息准确无误地传递至相关部门。 2. 定期进行药品安全性评估，撰写风险评估报告，提出改进意见以优化现有产品线。 3. 协同法规事务团队，确保公司遵守国内外有关药品…</x:v>
      </x:c>
    </x:row>
    <x:row r="249" ht="72" customHeight="1">
      <x:c r="A249" s="25" t="n">
        <x:v>11141</x:v>
      </x:c>
      <x:c r="B249" s="25" t="str">
        <x:v>IC-L3-398</x:v>
      </x:c>
      <x:c r="C249" s="25" t="str">
        <x:v>药理研究员</x:v>
      </x:c>
      <x:c r="D249" s="25" t="str">
        <x:v>2-01-06-03</x:v>
      </x:c>
      <x:c r="E249" s="25" t="str">
        <x:v>化学研究人员</x:v>
      </x:c>
      <x:c r="F249" s="28" t="n">
        <x:f>COUNTIF('岗位-产业节点关系'!$C$4:$C$709,B249)</x:f>
        <x:v>1</x:v>
      </x:c>
      <x:c r="G249" s="26" t="str">
        <x:f>IF(F249=0,"未匹配（现有产业链范围未覆盖或证据不足）",IF(COUNTIFS('岗位-产业节点关系'!$C$4:$C$709,B249,'岗位-产业节点关系'!$M$4:$M$709,"低")&gt;0,"已匹配，建议复核","已匹配"))</x:f>
        <x:v>已匹配</x:v>
      </x:c>
      <x:c r="H249" s="26" t="str">
        <x:v>中</x:v>
      </x:c>
      <x:c r="I249" s="26" t="str">
        <x:v>ICN010</x:v>
      </x:c>
      <x:c r="J249" s="26" t="str">
        <x:v>医药生物与医疗健康产业链/上游/药物研发、诊断试剂与核心材料</x:v>
      </x:c>
      <x:c r="K249" s="26" t="str">
        <x:v>药理研究员是医药行业中不可或缺的专业人才，在生物制药领域扮演着至关重要的角色。他们负责研究药物的作用机制、评估新药的安全性和有效性，确保产品能够顺利通过临床试验并最终上市，为人类健康做出贡献。此外，药理研究员还参与制定药…</x:v>
      </x:c>
      <x:c r="L249" s="26" t="str">
        <x:v>1. 负责开展药理学实验，分析数据以确定候选药物的治疗效果及潜在副作用，确保研究结果准确可靠。 2. 依据项目需求，设计并执行动物模型实验，评估新药在不同条件下的药效动力学特征。 3. 参与药物开发流程，从早期发现到临床…</x:v>
      </x:c>
    </x:row>
    <x:row r="250" ht="72" customHeight="1">
      <x:c r="A250" s="25" t="n">
        <x:v>11142</x:v>
      </x:c>
      <x:c r="B250" s="25" t="str">
        <x:v>IC-L3-399</x:v>
      </x:c>
      <x:c r="C250" s="25" t="str">
        <x:v>试剂研发</x:v>
      </x:c>
      <x:c r="D250" s="25" t="str">
        <x:v>2-05-07-01</x:v>
      </x:c>
      <x:c r="E250" s="25" t="str">
        <x:v>影像技师</x:v>
      </x:c>
      <x:c r="F250" s="28" t="n">
        <x:f>COUNTIF('岗位-产业节点关系'!$C$4:$C$709,B250)</x:f>
        <x:v>1</x:v>
      </x:c>
      <x:c r="G250" s="26" t="str">
        <x:f>IF(F250=0,"未匹配（现有产业链范围未覆盖或证据不足）",IF(COUNTIFS('岗位-产业节点关系'!$C$4:$C$709,B250,'岗位-产业节点关系'!$M$4:$M$709,"低")&gt;0,"已匹配，建议复核","已匹配"))</x:f>
        <x:v>已匹配，建议复核</x:v>
      </x:c>
      <x:c r="H250" s="26" t="str">
        <x:v>低</x:v>
      </x:c>
      <x:c r="I250" s="26" t="str">
        <x:v>ICN011</x:v>
      </x:c>
      <x:c r="J250" s="26" t="str">
        <x:v>医药生物与医疗健康产业链/中游/药械生产、医疗装备与数字平台</x:v>
      </x:c>
      <x:c r="K250" s="26" t="str">
        <x:v>作为生物制药领域的试剂研发人员，您将扮演至关重要的角色，负责开发用于疾病诊断与治疗的关键材料。通过您的专业知识和技术，能够推动新药的研发进程，提高临床试验的成功率，为患者带来希望。此外，您还将与跨学科团队紧密合作，共同解…</x:v>
      </x:c>
      <x:c r="L250" s="26" t="str">
        <x:v>1. 负责新型生物制剂的设计与合成工作，确保实验方案符合科学原理及法规要求。 2. 对现有试剂进行优化改进，降低生产成本同时保证产品质量，满足市场多样化需求。 3. 参与制定并执行研发项目的计划，定期向管理层汇报进展，确…</x:v>
      </x:c>
    </x:row>
    <x:row r="251" ht="72" customHeight="1">
      <x:c r="A251" s="25" t="n">
        <x:v>11143</x:v>
      </x:c>
      <x:c r="B251" s="25" t="str">
        <x:v>IC-L3-400</x:v>
      </x:c>
      <x:c r="C251" s="25" t="str">
        <x:v>临床研究员</x:v>
      </x:c>
      <x:c r="D251" s="25" t="str">
        <x:v>2-01-06-03</x:v>
      </x:c>
      <x:c r="E251" s="25" t="str">
        <x:v>化学研究人员</x:v>
      </x:c>
      <x:c r="F251" s="28" t="n">
        <x:f>COUNTIF('岗位-产业节点关系'!$C$4:$C$709,B251)</x:f>
        <x:v>1</x:v>
      </x:c>
      <x:c r="G251" s="26" t="str">
        <x:f>IF(F251=0,"未匹配（现有产业链范围未覆盖或证据不足）",IF(COUNTIFS('岗位-产业节点关系'!$C$4:$C$709,B251,'岗位-产业节点关系'!$M$4:$M$709,"低")&gt;0,"已匹配，建议复核","已匹配"))</x:f>
        <x:v>已匹配</x:v>
      </x:c>
      <x:c r="H251" s="26" t="str">
        <x:v>中</x:v>
      </x:c>
      <x:c r="I251" s="26" t="str">
        <x:v>ICN012</x:v>
      </x:c>
      <x:c r="J251" s="26" t="str">
        <x:v>医药生物与医疗健康产业链/下游/医疗服务、临床应用与健康管理</x:v>
      </x:c>
      <x:c r="K251" s="26" t="str">
        <x:v>临床研究员是专门从事药物临床研究设计与执行的专业人员。该职位的核心目标是通过规范开展临床试验，确保研究数据的科学性与合规性。在日常工作中，需要进行试验方案设计、研究中心管理、数据监查及研究报告撰写等工作。</x:v>
      </x:c>
      <x:c r="L251" s="26" t="str">
        <x:v>1. 设计临床试验方案 2. 执行临床研究操作 3. 收集分析试验数据 4. 撰写研究报告文件 5. 确保合规操作流程 6. 协调跨部门合作</x:v>
      </x:c>
    </x:row>
    <x:row r="252" ht="72" customHeight="1">
      <x:c r="A252" s="25" t="n">
        <x:v>11144</x:v>
      </x:c>
      <x:c r="B252" s="25" t="str">
        <x:v>IC-L3-401</x:v>
      </x:c>
      <x:c r="C252" s="25" t="str">
        <x:v>临床协调员</x:v>
      </x:c>
      <x:c r="D252" s="25" t="str">
        <x:v>2-05-07-01</x:v>
      </x:c>
      <x:c r="E252" s="25" t="str">
        <x:v>影像技师</x:v>
      </x:c>
      <x:c r="F252" s="28" t="n">
        <x:f>COUNTIF('岗位-产业节点关系'!$C$4:$C$709,B252)</x:f>
        <x:v>1</x:v>
      </x:c>
      <x:c r="G252" s="26" t="str">
        <x:f>IF(F252=0,"未匹配（现有产业链范围未覆盖或证据不足）",IF(COUNTIFS('岗位-产业节点关系'!$C$4:$C$709,B252,'岗位-产业节点关系'!$M$4:$M$709,"低")&gt;0,"已匹配，建议复核","已匹配"))</x:f>
        <x:v>已匹配</x:v>
      </x:c>
      <x:c r="H252" s="26" t="str">
        <x:v>中</x:v>
      </x:c>
      <x:c r="I252" s="26" t="str">
        <x:v>ICN012</x:v>
      </x:c>
      <x:c r="J252" s="26" t="str">
        <x:v>医药生物与医疗健康产业链/下游/医疗服务、临床应用与健康管理</x:v>
      </x:c>
      <x:c r="K252" s="26" t="str">
        <x:v>临床协调员是专门从事临床试验项目管理的专业人员。该职位的核心目标是通过高效协调各环节资源，确保临床试验符合GCP规范及项目时间表。在日常工作中，需要进行研究中心筛选与启动、受试者招募管理、数据收集协调及监查访视准备等工作…</x:v>
      </x:c>
      <x:c r="L252" s="26" t="str">
        <x:v>1. 协调临床试验流程 2. 监督研究方案执行 3. 管理临床数据收集 4. 确保合规操作规范 5. 联系医院研究人员 6. 跟踪试验进度报告</x:v>
      </x:c>
    </x:row>
    <x:row r="253" ht="72" customHeight="1">
      <x:c r="A253" s="25" t="n">
        <x:v>11145</x:v>
      </x:c>
      <x:c r="B253" s="25" t="str">
        <x:v>IC-L3-402</x:v>
      </x:c>
      <x:c r="C253" s="25" t="str">
        <x:v>医疗器械注册</x:v>
      </x:c>
      <x:c r="D253" s="25" t="str">
        <x:v>2-05-07-01</x:v>
      </x:c>
      <x:c r="E253" s="25" t="str">
        <x:v>影像技师</x:v>
      </x:c>
      <x:c r="F253" s="28" t="n">
        <x:f>COUNTIF('岗位-产业节点关系'!$C$4:$C$709,B253)</x:f>
        <x:v>1</x:v>
      </x:c>
      <x:c r="G253" s="26" t="str">
        <x:f>IF(F253=0,"未匹配（现有产业链范围未覆盖或证据不足）",IF(COUNTIFS('岗位-产业节点关系'!$C$4:$C$709,B253,'岗位-产业节点关系'!$M$4:$M$709,"低")&gt;0,"已匹配，建议复核","已匹配"))</x:f>
        <x:v>已匹配</x:v>
      </x:c>
      <x:c r="H253" s="26" t="str">
        <x:v>高</x:v>
      </x:c>
      <x:c r="I253" s="26" t="str">
        <x:v>ICN011</x:v>
      </x:c>
      <x:c r="J253" s="26" t="str">
        <x:v>医药生物与医疗健康产业链/中游/药械生产、医疗装备与数字平台</x:v>
      </x:c>
      <x:c r="K253" s="26" t="str">
        <x:v>医疗器械注册是专门从事医疗器械法规合规的专业人员。该职位的核心目标是通过完成产品注册申报，确保医疗器械符合监管要求并获批上市。在日常工作中，需要进行注册资料编制、与药监部门沟通协调、跟踪注册进度及处理技术审评问题等工作。</x:v>
      </x:c>
      <x:c r="L253" s="26" t="str">
        <x:v>1. 编制注册申报资料 2. 跟进产品注册进度 3. 对接药监部门沟通 4. 维护注册证有效期 5. 收集产品技术资料 6. 解答注册相关问题</x:v>
      </x:c>
    </x:row>
    <x:row r="254" ht="72" customHeight="1">
      <x:c r="A254" s="25" t="n">
        <x:v>11146</x:v>
      </x:c>
      <x:c r="B254" s="25" t="str">
        <x:v>IC-L3-403</x:v>
      </x:c>
      <x:c r="C254" s="25" t="str">
        <x:v>化妆品研发</x:v>
      </x:c>
      <x:c r="D254" s="25" t="str">
        <x:v>6-11-10-03</x:v>
      </x:c>
      <x:c r="E254" s="25" t="str">
        <x:v>化妆品配方师</x:v>
      </x:c>
      <x:c r="F254" s="28" t="n">
        <x:f>COUNTIF('岗位-产业节点关系'!$C$4:$C$709,B254)</x:f>
        <x:v>0</x:v>
      </x:c>
      <x:c r="G254" s="26" t="str">
        <x:f>IF(F254=0,"未匹配（现有产业链范围未覆盖或证据不足）",IF(COUNTIFS('岗位-产业节点关系'!$C$4:$C$709,B254,'岗位-产业节点关系'!$M$4:$M$709,"低")&gt;0,"已匹配，建议复核","已匹配"))</x:f>
        <x:v>未匹配（现有产业链范围未覆盖或证据不足）</x:v>
      </x:c>
      <x:c r="H254" s="26" t="str">
        <x:v>-</x:v>
      </x:c>
      <x:c r="I254" s="26" t="str"/>
      <x:c r="J254" s="26" t="str"/>
      <x:c r="K254" s="26" t="str">
        <x:v>化妆品研发是专门从事化妆品配方开发与创新的专业人员。该职位的核心目标是通过生物制药技术研发安全有效的化妆品，提升产品市场竞争力。在日常工作中，需要进行原料筛选、配方设计、功效测试、工艺优化及技术文档编写等工作。</x:v>
      </x:c>
      <x:c r="L254" s="26" t="str">
        <x:v>1. 研发新型化妆品配方 2. 优化现有产品性能 3. 进行原料安全评估 4. 开展功效性实验测试 5. 跟踪行业技术发展 6. 编写研发技术文档</x:v>
      </x:c>
    </x:row>
    <x:row r="255" ht="72" customHeight="1">
      <x:c r="A255" s="25" t="n">
        <x:v>11147</x:v>
      </x:c>
      <x:c r="B255" s="25" t="str">
        <x:v>IC-L3-404</x:v>
      </x:c>
      <x:c r="C255" s="25" t="str">
        <x:v>医学顾问</x:v>
      </x:c>
      <x:c r="D255" s="25" t="str">
        <x:v>2-05-07-01</x:v>
      </x:c>
      <x:c r="E255" s="25" t="str">
        <x:v>影像技师</x:v>
      </x:c>
      <x:c r="F255" s="28" t="n">
        <x:f>COUNTIF('岗位-产业节点关系'!$C$4:$C$709,B255)</x:f>
        <x:v>1</x:v>
      </x:c>
      <x:c r="G255" s="26" t="str">
        <x:f>IF(F255=0,"未匹配（现有产业链范围未覆盖或证据不足）",IF(COUNTIFS('岗位-产业节点关系'!$C$4:$C$709,B255,'岗位-产业节点关系'!$M$4:$M$709,"低")&gt;0,"已匹配，建议复核","已匹配"))</x:f>
        <x:v>已匹配，建议复核</x:v>
      </x:c>
      <x:c r="H255" s="26" t="str">
        <x:v>低</x:v>
      </x:c>
      <x:c r="I255" s="26" t="str">
        <x:v>ICN012</x:v>
      </x:c>
      <x:c r="J255" s="26" t="str">
        <x:v>医药生物与医疗健康产业链/下游/医疗服务、临床应用与健康管理</x:v>
      </x:c>
      <x:c r="K255" s="26" t="str">
        <x:v>医学顾问是专门从事医学科学支持与咨询的专业人员。该职位的核心目标是通过提供专业医学知识支持，确保公司产品科学合理应用。在日常工作中，需要进行医学信息沟通、临床研究支持、医学培训以及产品安全性监测等工作。</x:v>
      </x:c>
      <x:c r="L255" s="26" t="str">
        <x:v>1. 提供医学专业支持 2. 审核临床试验方案 3. 解读医学研究数据 4. 协助药品注册申报 5. 培训销售医学知识 6. 维护专家学术关系</x:v>
      </x:c>
    </x:row>
    <x:row r="256" ht="72" customHeight="1">
      <x:c r="A256" s="25" t="n">
        <x:v>11148</x:v>
      </x:c>
      <x:c r="B256" s="25" t="str">
        <x:v>IC-L3-405</x:v>
      </x:c>
      <x:c r="C256" s="25" t="str">
        <x:v>机构业务销售</x:v>
      </x:c>
      <x:c r="D256" s="25" t="str">
        <x:v>4-01-02-01</x:v>
      </x:c>
      <x:c r="E256" s="25" t="str">
        <x:v>营销员</x:v>
      </x:c>
      <x:c r="F256" s="28" t="n">
        <x:f>COUNTIF('岗位-产业节点关系'!$C$4:$C$709,B256)</x:f>
        <x:v>0</x:v>
      </x:c>
      <x:c r="G256" s="26" t="str">
        <x:f>IF(F256=0,"未匹配（现有产业链范围未覆盖或证据不足）",IF(COUNTIFS('岗位-产业节点关系'!$C$4:$C$709,B256,'岗位-产业节点关系'!$M$4:$M$709,"低")&gt;0,"已匹配，建议复核","已匹配"))</x:f>
        <x:v>未匹配（现有产业链范围未覆盖或证据不足）</x:v>
      </x:c>
      <x:c r="H256" s="26" t="str">
        <x:v>-</x:v>
      </x:c>
      <x:c r="I256" s="26" t="str"/>
      <x:c r="J256" s="26" t="str"/>
      <x:c r="K256" s="26" t="str">
        <x:v>机构业务销售是金融行业中不可或缺的关键角色，负责与各类金融机构建立并维护良好的合作关系，通过提供专业的金融服务解决方案，推动公司业务的持续增长。作为公司与市场之间的桥梁，该职位的核心目标在于深入了解客户需求，精准匹配公司…</x:v>
      </x:c>
      <x:c r="L256" s="26" t="str">
        <x:v>1. 开发新客户资源，维护现有客户关系，定期拜访重要客户，了解其需求变化，提供定制化的金融产品和服务方案，以提高客户满意度和忠诚度。 2. 分析市场动态，收集竞争对手信息，结合公司战略制定有效的销售策略，完成年度销售任务…</x:v>
      </x:c>
    </x:row>
    <x:row r="257" ht="72" customHeight="1">
      <x:c r="A257" s="25" t="n">
        <x:v>11149</x:v>
      </x:c>
      <x:c r="B257" s="25" t="str">
        <x:v>IC-L3-406</x:v>
      </x:c>
      <x:c r="C257" s="25" t="str">
        <x:v>理财顾问</x:v>
      </x:c>
      <x:c r="D257" s="25" t="str">
        <x:v>2-06-11-04</x:v>
      </x:c>
      <x:c r="E257" s="25" t="str">
        <x:v>金融产品销售专业人员</x:v>
      </x:c>
      <x:c r="F257" s="28" t="n">
        <x:f>COUNTIF('岗位-产业节点关系'!$C$4:$C$709,B257)</x:f>
        <x:v>0</x:v>
      </x:c>
      <x:c r="G257" s="26" t="str">
        <x:f>IF(F257=0,"未匹配（现有产业链范围未覆盖或证据不足）",IF(COUNTIFS('岗位-产业节点关系'!$C$4:$C$709,B257,'岗位-产业节点关系'!$M$4:$M$709,"低")&gt;0,"已匹配，建议复核","已匹配"))</x:f>
        <x:v>未匹配（现有产业链范围未覆盖或证据不足）</x:v>
      </x:c>
      <x:c r="H257" s="26" t="str">
        <x:v>-</x:v>
      </x:c>
      <x:c r="I257" s="26" t="str"/>
      <x:c r="J257" s="26" t="str"/>
      <x:c r="K257" s="26" t="str">
        <x:v>理财顾问是金融行业中至关重要的角色之一，他们不仅为个人或企业客户提供专业的投资建议，还通过量身定制的理财方案帮助客户实现财富增值。作为连接金融机构与客户之间的桥梁，理财顾问在提升客户满意度、促进公司业务增长方面发挥着不可…</x:v>
      </x:c>
      <x:c r="L257" s="26" t="str">
        <x:v>1. 通过面谈、电话等方式与潜在客户建立联系，了解客户需求，评估客户的风险承受能力，推荐合适的投资理财产品。 2. 定期组织客户活动，维护现有客户关系，积极拓展新客户群体，确保年度销售目标的达成。 3. 及时掌握金融市场…</x:v>
      </x:c>
    </x:row>
    <x:row r="258" ht="72" customHeight="1">
      <x:c r="A258" s="25" t="n">
        <x:v>11150</x:v>
      </x:c>
      <x:c r="B258" s="25" t="str">
        <x:v>IC-L3-407</x:v>
      </x:c>
      <x:c r="C258" s="25" t="str">
        <x:v>金融产品销售</x:v>
      </x:c>
      <x:c r="D258" s="25" t="str">
        <x:v>2-06-11-04</x:v>
      </x:c>
      <x:c r="E258" s="25" t="str">
        <x:v>金融产品销售专业人员</x:v>
      </x:c>
      <x:c r="F258" s="28" t="n">
        <x:f>COUNTIF('岗位-产业节点关系'!$C$4:$C$709,B258)</x:f>
        <x:v>0</x:v>
      </x:c>
      <x:c r="G258" s="26" t="str">
        <x:f>IF(F258=0,"未匹配（现有产业链范围未覆盖或证据不足）",IF(COUNTIFS('岗位-产业节点关系'!$C$4:$C$709,B258,'岗位-产业节点关系'!$M$4:$M$709,"低")&gt;0,"已匹配，建议复核","已匹配"))</x:f>
        <x:v>未匹配（现有产业链范围未覆盖或证据不足）</x:v>
      </x:c>
      <x:c r="H258" s="26" t="str">
        <x:v>-</x:v>
      </x:c>
      <x:c r="I258" s="26" t="str"/>
      <x:c r="J258" s="26" t="str"/>
      <x:c r="K258" s="26" t="str">
        <x:v>金融产品销售人员在金融行业中扮演着至关重要的角色。他们不仅是公司与客户之间沟通的桥梁，更是推动金融产品和服务市场拓展的关键力量。通过深入了解客户需求，提供个性化的产品解决方案，金融产品销售人员能够帮助客户实现财富增值，同…</x:v>
      </x:c>
      <x:c r="L258" s="26" t="str">
        <x:v>1. 负责金融产品的市场调研与分析，了解目标客户的偏好及需求，制定相应的销售计划并实施。 2. 通过电话拜访、面对面会谈等方式与潜在客户建立联系，介绍公司金融产品特点及优势，促成交易达成。 3. 定期跟进客户使用情况，收…</x:v>
      </x:c>
    </x:row>
    <x:row r="259" ht="72" customHeight="1">
      <x:c r="A259" s="25" t="n">
        <x:v>11151</x:v>
      </x:c>
      <x:c r="B259" s="25" t="str">
        <x:v>IC-L3-408</x:v>
      </x:c>
      <x:c r="C259" s="25" t="str">
        <x:v>公司业务部门经理/主管</x:v>
      </x:c>
      <x:c r="D259" s="25" t="str">
        <x:v>2-06-11-04</x:v>
      </x:c>
      <x:c r="E259" s="25" t="str">
        <x:v>金融产品销售专业人员</x:v>
      </x:c>
      <x:c r="F259" s="28" t="n">
        <x:f>COUNTIF('岗位-产业节点关系'!$C$4:$C$709,B259)</x:f>
        <x:v>0</x:v>
      </x:c>
      <x:c r="G259" s="26" t="str">
        <x:f>IF(F259=0,"未匹配（现有产业链范围未覆盖或证据不足）",IF(COUNTIFS('岗位-产业节点关系'!$C$4:$C$709,B259,'岗位-产业节点关系'!$M$4:$M$709,"低")&gt;0,"已匹配，建议复核","已匹配"))</x:f>
        <x:v>未匹配（现有产业链范围未覆盖或证据不足）</x:v>
      </x:c>
      <x:c r="H259" s="26" t="str">
        <x:v>-</x:v>
      </x:c>
      <x:c r="I259" s="26" t="str"/>
      <x:c r="J259" s="26" t="str"/>
      <x:c r="K259" s="26" t="str">
        <x:v>公司业务部门经理/主管是专门从事金融销售业务管理的专业人员。该职位的核心目标是通过制定销售策略、优化业务流程，实现业绩增长与客户资源最大化。在日常工作中，需要进行团队管理、业绩督导、客户关系维护以及市场趋势分析等工作。</x:v>
      </x:c>
      <x:c r="L259" s="26" t="str">
        <x:v>1. 制定销售策略 2. 管理销售团队 3. 开拓金融客户 4. 完成业绩指标 5. 分析市场动态 6. 优化业务流程</x:v>
      </x:c>
    </x:row>
    <x:row r="260" ht="72" customHeight="1">
      <x:c r="A260" s="25" t="n">
        <x:v>11152</x:v>
      </x:c>
      <x:c r="B260" s="25" t="str">
        <x:v>IC-L3-409</x:v>
      </x:c>
      <x:c r="C260" s="25" t="str">
        <x:v>个人业务部门经理/主管</x:v>
      </x:c>
      <x:c r="D260" s="25" t="str">
        <x:v>2-06-11-04</x:v>
      </x:c>
      <x:c r="E260" s="25" t="str">
        <x:v>金融产品销售专业人员</x:v>
      </x:c>
      <x:c r="F260" s="28" t="n">
        <x:f>COUNTIF('岗位-产业节点关系'!$C$4:$C$709,B260)</x:f>
        <x:v>0</x:v>
      </x:c>
      <x:c r="G260" s="26" t="str">
        <x:f>IF(F260=0,"未匹配（现有产业链范围未覆盖或证据不足）",IF(COUNTIFS('岗位-产业节点关系'!$C$4:$C$709,B260,'岗位-产业节点关系'!$M$4:$M$709,"低")&gt;0,"已匹配，建议复核","已匹配"))</x:f>
        <x:v>未匹配（现有产业链范围未覆盖或证据不足）</x:v>
      </x:c>
      <x:c r="H260" s="26" t="str">
        <x:v>-</x:v>
      </x:c>
      <x:c r="I260" s="26" t="str"/>
      <x:c r="J260" s="26" t="str"/>
      <x:c r="K260" s="26" t="str">
        <x:v>个人业务部门经理/主管是专门从事金融销售团队管理的专业人员。该职位的核心目标是通过制定销售策略和团队建设，实现个人业务业绩持续增长。在日常工作中，需要进行销售目标分解、团队绩效督导、客户关系维护以及市场趋势分析等工作。</x:v>
      </x:c>
      <x:c r="L260" s="26" t="str">
        <x:v>1. 制定销售目标计划 2. 管理团队日常运营 3. 监督销售业绩达成 4. 开发维护客户关系 5. 组织产品培训活动 6. 分析市场数据报告</x:v>
      </x:c>
    </x:row>
    <x:row r="261" ht="72" customHeight="1">
      <x:c r="A261" s="25" t="n">
        <x:v>11153</x:v>
      </x:c>
      <x:c r="B261" s="25" t="str">
        <x:v>IC-L3-410</x:v>
      </x:c>
      <x:c r="C261" s="25" t="str">
        <x:v>客户关系经理/主管</x:v>
      </x:c>
      <x:c r="D261" s="25" t="str">
        <x:v>4-04-05-01</x:v>
      </x:c>
      <x:c r="E261" s="25" t="str">
        <x:v>计算机程序设计员</x:v>
      </x:c>
      <x:c r="F261" s="28" t="n">
        <x:f>COUNTIF('岗位-产业节点关系'!$C$4:$C$709,B261)</x:f>
        <x:v>0</x:v>
      </x:c>
      <x:c r="G261" s="26" t="str">
        <x:f>IF(F261=0,"未匹配（现有产业链范围未覆盖或证据不足）",IF(COUNTIFS('岗位-产业节点关系'!$C$4:$C$709,B261,'岗位-产业节点关系'!$M$4:$M$709,"低")&gt;0,"已匹配，建议复核","已匹配"))</x:f>
        <x:v>未匹配（现有产业链范围未覆盖或证据不足）</x:v>
      </x:c>
      <x:c r="H261" s="26" t="str">
        <x:v>-</x:v>
      </x:c>
      <x:c r="I261" s="26" t="str"/>
      <x:c r="J261" s="26" t="str"/>
      <x:c r="K261" s="26" t="str">
        <x:v>客户关系经理/主管是销售/客服行业中不可或缺的角色，他们负责维护与现有客户的关系，确保客户满意度并促进业务增长。通过建立稳固的客户关系，这一职位不仅能够提升品牌形象，还能为企业带来持续的收入来源。作为客户关系部门的领导者…</x:v>
      </x:c>
      <x:c r="L261" s="26" t="str">
        <x:v>1. 负责制定并执行客户关系管理计划，定期评估客户满意度，确保达到或超过既定标准。 2. 主动与关键客户保持联系，了解其业务动态和需求变化，及时响应并解决客户遇到的问题。 3. 组织跨部门会议，协调资源解决复杂客户问题，…</x:v>
      </x:c>
    </x:row>
    <x:row r="262" ht="72" customHeight="1">
      <x:c r="A262" s="25" t="n">
        <x:v>11154</x:v>
      </x:c>
      <x:c r="B262" s="25" t="str">
        <x:v>IC-L3-411</x:v>
      </x:c>
      <x:c r="C262" s="25" t="str">
        <x:v>客服专员/助理</x:v>
      </x:c>
      <x:c r="D262" s="25" t="str">
        <x:v>4-04-05-01</x:v>
      </x:c>
      <x:c r="E262" s="25" t="str">
        <x:v>计算机程序设计员</x:v>
      </x:c>
      <x:c r="F262" s="28" t="n">
        <x:f>COUNTIF('岗位-产业节点关系'!$C$4:$C$709,B262)</x:f>
        <x:v>0</x:v>
      </x:c>
      <x:c r="G262" s="26" t="str">
        <x:f>IF(F262=0,"未匹配（现有产业链范围未覆盖或证据不足）",IF(COUNTIFS('岗位-产业节点关系'!$C$4:$C$709,B262,'岗位-产业节点关系'!$M$4:$M$709,"低")&gt;0,"已匹配，建议复核","已匹配"))</x:f>
        <x:v>未匹配（现有产业链范围未覆盖或证据不足）</x:v>
      </x:c>
      <x:c r="H262" s="26" t="str">
        <x:v>-</x:v>
      </x:c>
      <x:c r="I262" s="26" t="str"/>
      <x:c r="J262" s="26" t="str"/>
      <x:c r="K262" s="26" t="str">
        <x:v>客服专员/助理职位简介： 在销售与客服行业中，客服专员/助理是企业与客户之间沟通的桥梁，他们不仅代表公司形象，还直接影响客户的满意度和忠诚度。通过提供高效、专业的服务，该职位能够帮助企业树立良好的品牌形象，促进业务增长，…</x:v>
      </x:c>
      <x:c r="L262" s="26" t="str">
        <x:v>1. 及时接听客户来电，耐心解答疑问，确保客户获得准确、满意的服务体验。 2. 记录并跟踪客户投诉及建议，协调内部资源，推动问题有效解决，提升客户满意度。 3. 定期整理客户资料，分析客户需求变化趋势，为主动营销活动提供…</x:v>
      </x:c>
    </x:row>
    <x:row r="263" ht="72" customHeight="1">
      <x:c r="A263" s="25" t="n">
        <x:v>11155</x:v>
      </x:c>
      <x:c r="B263" s="25" t="str">
        <x:v>IC-L3-412</x:v>
      </x:c>
      <x:c r="C263" s="25" t="str">
        <x:v>房地产客服</x:v>
      </x:c>
      <x:c r="D263" s="25" t="str">
        <x:v>4-04-05-01</x:v>
      </x:c>
      <x:c r="E263" s="25" t="str">
        <x:v>计算机程序设计员</x:v>
      </x:c>
      <x:c r="F263" s="28" t="n">
        <x:f>COUNTIF('岗位-产业节点关系'!$C$4:$C$709,B263)</x:f>
        <x:v>1</x:v>
      </x:c>
      <x:c r="G263" s="26" t="str">
        <x:f>IF(F263=0,"未匹配（现有产业链范围未覆盖或证据不足）",IF(COUNTIFS('岗位-产业节点关系'!$C$4:$C$709,B263,'岗位-产业节点关系'!$M$4:$M$709,"低")&gt;0,"已匹配，建议复核","已匹配"))</x:f>
        <x:v>已匹配</x:v>
      </x:c>
      <x:c r="H263" s="26" t="str">
        <x:v>中</x:v>
      </x:c>
      <x:c r="I263" s="26" t="str">
        <x:v>ICN009</x:v>
      </x:c>
      <x:c r="J263" s="26" t="str">
        <x:v>基础设施与城市建设产业链/下游/城市运营、公用事业与物业服务</x:v>
      </x:c>
      <x:c r="K263" s="26" t="str">
        <x:v>房地产客服是房地产行业中不可或缺的重要角色，他们不仅是连接客户与企业的桥梁，也是塑造品牌形象的关键力量。通过提供高效、准确的信息咨询及售前售后服务，房地产客服能够有效促进交易达成，增强客户的信任感和满意度，从而为企业创造…</x:v>
      </x:c>
      <x:c r="L263" s="26" t="str">
        <x:v>1. 通过电话、邮件或现场接待等方式，积极主动地为客户提供全面的项目信息咨询服务，确保客户能够获得准确无误的房产资料。 2. 负责记录并跟踪客户的需求变化，及时反馈给相关部门，协助解决客户在购房过程中遇到的问题，直至客户…</x:v>
      </x:c>
    </x:row>
    <x:row r="264" ht="72" customHeight="1">
      <x:c r="A264" s="25" t="n">
        <x:v>11156</x:v>
      </x:c>
      <x:c r="B264" s="25" t="str">
        <x:v>IC-L3-413</x:v>
      </x:c>
      <x:c r="C264" s="25" t="str">
        <x:v>电话客服</x:v>
      </x:c>
      <x:c r="D264" s="25" t="str">
        <x:v>4-04-05-01</x:v>
      </x:c>
      <x:c r="E264" s="25" t="str">
        <x:v>计算机程序设计员</x:v>
      </x:c>
      <x:c r="F264" s="28" t="n">
        <x:f>COUNTIF('岗位-产业节点关系'!$C$4:$C$709,B264)</x:f>
        <x:v>0</x:v>
      </x:c>
      <x:c r="G264" s="26" t="str">
        <x:f>IF(F264=0,"未匹配（现有产业链范围未覆盖或证据不足）",IF(COUNTIFS('岗位-产业节点关系'!$C$4:$C$709,B264,'岗位-产业节点关系'!$M$4:$M$709,"低")&gt;0,"已匹配，建议复核","已匹配"))</x:f>
        <x:v>未匹配（现有产业链范围未覆盖或证据不足）</x:v>
      </x:c>
      <x:c r="H264" s="26" t="str">
        <x:v>-</x:v>
      </x:c>
      <x:c r="I264" s="26" t="str"/>
      <x:c r="J264" s="26" t="str"/>
      <x:c r="K264" s="26" t="str">
        <x:v>电话客服是销售/客服行业中不可或缺的角色之一，通过提供高效、专业的服务，不仅能够提升客户满意度，还能增强品牌形象。在现代企业运营中，优质的客户服务已成为企业竞争力的重要组成部分。 该职位的核心目标在于确保每一位来电咨询或…</x:v>
      </x:c>
      <x:c r="L264" s="26" t="str">
        <x:v>1. 负责接听客户电话，耐心解答关于产品或服务的各种疑问，确保信息传达无误。 2. 记录客户的投诉和建议，及时转交相关部门处理，并跟踪反馈结果直至客户满意。 3. 定期参与内部培训，持续提升个人沟通技巧和服务水平，以适应…</x:v>
      </x:c>
    </x:row>
    <x:row r="265" ht="72" customHeight="1">
      <x:c r="A265" s="25" t="n">
        <x:v>11157</x:v>
      </x:c>
      <x:c r="B265" s="25" t="str">
        <x:v>IC-L3-414</x:v>
      </x:c>
      <x:c r="C265" s="25" t="str">
        <x:v>网店客服</x:v>
      </x:c>
      <x:c r="D265" s="25" t="str">
        <x:v>4-04-05-01</x:v>
      </x:c>
      <x:c r="E265" s="25" t="str">
        <x:v>计算机程序设计员</x:v>
      </x:c>
      <x:c r="F265" s="28" t="n">
        <x:f>COUNTIF('岗位-产业节点关系'!$C$4:$C$709,B265)</x:f>
        <x:v>0</x:v>
      </x:c>
      <x:c r="G265" s="26" t="str">
        <x:f>IF(F265=0,"未匹配（现有产业链范围未覆盖或证据不足）",IF(COUNTIFS('岗位-产业节点关系'!$C$4:$C$709,B265,'岗位-产业节点关系'!$M$4:$M$709,"低")&gt;0,"已匹配，建议复核","已匹配"))</x:f>
        <x:v>未匹配（现有产业链范围未覆盖或证据不足）</x:v>
      </x:c>
      <x:c r="H265" s="26" t="str">
        <x:v>-</x:v>
      </x:c>
      <x:c r="I265" s="26" t="str"/>
      <x:c r="J265" s="26" t="str"/>
      <x:c r="K265" s="26" t="str">
        <x:v>网店客服作为销售/客服行业的重要组成部分，扮演着连接消费者与商家的关键桥梁。通过高效、专业的服务，网店客服不仅能够提升顾客满意度，还能有效促进商品销售，增强品牌忠诚度。在日常工作中，网店客服人员需要处理各种客户咨询、投诉…</x:v>
      </x:c>
      <x:c r="L265" s="26" t="str">
        <x:v>1. 负责在线接待客户咨询，及时准确地解答关于商品信息、价格政策等方面的疑问，以促进订单成交。 2. 处理客户的退换货请求及其他售后服务事项，确保流程顺畅并维护客户关系。 3. 记录并分析客户反馈，定期向相关部门汇报，协…</x:v>
      </x:c>
    </x:row>
    <x:row r="266" ht="72" customHeight="1">
      <x:c r="A266" s="25" t="n">
        <x:v>11158</x:v>
      </x:c>
      <x:c r="B266" s="25" t="str">
        <x:v>IC-L3-415</x:v>
      </x:c>
      <x:c r="C266" s="25" t="str">
        <x:v>房地产中介/置业顾问</x:v>
      </x:c>
      <x:c r="D266" s="25" t="str">
        <x:v>4-01-02-01</x:v>
      </x:c>
      <x:c r="E266" s="25" t="str">
        <x:v>营销员</x:v>
      </x:c>
      <x:c r="F266" s="28" t="n">
        <x:f>COUNTIF('岗位-产业节点关系'!$C$4:$C$709,B266)</x:f>
        <x:v>1</x:v>
      </x:c>
      <x:c r="G266" s="26" t="str">
        <x:f>IF(F266=0,"未匹配（现有产业链范围未覆盖或证据不足）",IF(COUNTIFS('岗位-产业节点关系'!$C$4:$C$709,B266,'岗位-产业节点关系'!$M$4:$M$709,"低")&gt;0,"已匹配，建议复核","已匹配"))</x:f>
        <x:v>已匹配</x:v>
      </x:c>
      <x:c r="H266" s="26" t="str">
        <x:v>中</x:v>
      </x:c>
      <x:c r="I266" s="26" t="str">
        <x:v>ICN009</x:v>
      </x:c>
      <x:c r="J266" s="26" t="str">
        <x:v>基础设施与城市建设产业链/下游/城市运营、公用事业与物业服务</x:v>
      </x:c>
      <x:c r="K266" s="26" t="str">
        <x:v>房地产中介/置业顾问是房地产销售领域中不可或缺的专业角色，他们不仅代表公司与客户进行沟通，同时也是客户购房决策过程中的重要指导者。通过专业的市场分析和客户需求理解，他们能够提供精准的房产推荐服务，确保客户获得满意的居住或…</x:v>
      </x:c>
      <x:c r="L266" s="26" t="str">
        <x:v>1. 负责开发潜在客户资源，通过电话、网络及现场接待等方式了解客户需求并提供专业的房产咨询服务。 2. 根据客户的具体需求制定个性化的购房方案，包括但不限于房源推荐、价格谈判及合同签订等环节。 3. 协调内部资源，确保交…</x:v>
      </x:c>
    </x:row>
    <x:row r="267" ht="72" customHeight="1">
      <x:c r="A267" s="25" t="n">
        <x:v>11159</x:v>
      </x:c>
      <x:c r="B267" s="25" t="str">
        <x:v>IC-L3-416</x:v>
      </x:c>
      <x:c r="C267" s="25" t="str">
        <x:v>房地产店长/经理</x:v>
      </x:c>
      <x:c r="D267" s="25" t="str">
        <x:v>4-01-02-03</x:v>
      </x:c>
      <x:c r="E267" s="25" t="str">
        <x:v>商品营业员</x:v>
      </x:c>
      <x:c r="F267" s="28" t="n">
        <x:f>COUNTIF('岗位-产业节点关系'!$C$4:$C$709,B267)</x:f>
        <x:v>1</x:v>
      </x:c>
      <x:c r="G267" s="26" t="str">
        <x:f>IF(F267=0,"未匹配（现有产业链范围未覆盖或证据不足）",IF(COUNTIFS('岗位-产业节点关系'!$C$4:$C$709,B267,'岗位-产业节点关系'!$M$4:$M$709,"低")&gt;0,"已匹配，建议复核","已匹配"))</x:f>
        <x:v>已匹配，建议复核</x:v>
      </x:c>
      <x:c r="H267" s="26" t="str">
        <x:v>低</x:v>
      </x:c>
      <x:c r="I267" s="26" t="str">
        <x:v>ICN008</x:v>
      </x:c>
      <x:c r="J267" s="26" t="str">
        <x:v>基础设施与城市建设产业链/中游/基础设施建设与房地产开发</x:v>
      </x:c>
      <x:c r="K267" s="26" t="str">
        <x:v>作为房地产行业的关键人物，房地产店长/经理负责管理销售团队，确保公司项目顺利进行，同时提升客户满意度与市场竞争力。此职位不仅在推动销售业绩方面扮演着核心角色，还对公司品牌形象的建立和维护起着至关重要的作用。 该职位的核心…</x:v>
      </x:c>
      <x:c r="L267" s="26" t="str">
        <x:v>1. 负责制定并执行销售计划，带领团队完成月度、季度及年度销售任务。 2. 监控销售过程中的各项指标，及时发现并解决影响销售效率的问题，确保服务质量。 3. 组织培训会议，提升团队成员的专业技能和服务意识，激发团队活力。…</x:v>
      </x:c>
    </x:row>
    <x:row r="268" ht="72" customHeight="1">
      <x:c r="A268" s="25" t="n">
        <x:v>11160</x:v>
      </x:c>
      <x:c r="B268" s="25" t="str">
        <x:v>IC-L3-417</x:v>
      </x:c>
      <x:c r="C268" s="25" t="str">
        <x:v>房地产销售专员</x:v>
      </x:c>
      <x:c r="D268" s="25" t="str">
        <x:v>4-01-02-01</x:v>
      </x:c>
      <x:c r="E268" s="25" t="str">
        <x:v>营销员</x:v>
      </x:c>
      <x:c r="F268" s="28" t="n">
        <x:f>COUNTIF('岗位-产业节点关系'!$C$4:$C$709,B268)</x:f>
        <x:v>1</x:v>
      </x:c>
      <x:c r="G268" s="26" t="str">
        <x:f>IF(F268=0,"未匹配（现有产业链范围未覆盖或证据不足）",IF(COUNTIFS('岗位-产业节点关系'!$C$4:$C$709,B268,'岗位-产业节点关系'!$M$4:$M$709,"低")&gt;0,"已匹配，建议复核","已匹配"))</x:f>
        <x:v>已匹配</x:v>
      </x:c>
      <x:c r="H268" s="26" t="str">
        <x:v>中</x:v>
      </x:c>
      <x:c r="I268" s="26" t="str">
        <x:v>ICN009</x:v>
      </x:c>
      <x:c r="J268" s="26" t="str">
        <x:v>基础设施与城市建设产业链/下游/城市运营、公用事业与物业服务</x:v>
      </x:c>
      <x:c r="K268" s="26" t="str">
        <x:v>房地产销售专员是房地产行业中至关重要的角色之一，负责将房产项目与潜在买家进行有效连接，确保交易的顺利达成。作为前线人员，他们不仅代表了公司形象，更是客户了解项目的窗口，其专业度和服务态度直接影响着客户的购房体验和决策过程…</x:v>
      </x:c>
      <x:c r="L268" s="26" t="str">
        <x:v>1. 负责接待来访客户，提供专业的房产咨询及推荐服务，确保每位客户都能获得满意的购房建议。 2. 通过电话、网络等多种渠道主动开发潜在客户资源，扩大客户群体，提高销售转化率。 3. 定期参与项目推广活动，配合团队完成各项…</x:v>
      </x:c>
    </x:row>
    <x:row r="269" ht="72" customHeight="1">
      <x:c r="A269" s="25" t="n">
        <x:v>11161</x:v>
      </x:c>
      <x:c r="B269" s="25" t="str">
        <x:v>IC-L3-418</x:v>
      </x:c>
      <x:c r="C269" s="25" t="str">
        <x:v>房地产销售经理/主管</x:v>
      </x:c>
      <x:c r="D269" s="25" t="str">
        <x:v>4-01-02-01</x:v>
      </x:c>
      <x:c r="E269" s="25" t="str">
        <x:v>营销员</x:v>
      </x:c>
      <x:c r="F269" s="28" t="n">
        <x:f>COUNTIF('岗位-产业节点关系'!$C$4:$C$709,B269)</x:f>
        <x:v>1</x:v>
      </x:c>
      <x:c r="G269" s="26" t="str">
        <x:f>IF(F269=0,"未匹配（现有产业链范围未覆盖或证据不足）",IF(COUNTIFS('岗位-产业节点关系'!$C$4:$C$709,B269,'岗位-产业节点关系'!$M$4:$M$709,"低")&gt;0,"已匹配，建议复核","已匹配"))</x:f>
        <x:v>已匹配</x:v>
      </x:c>
      <x:c r="H269" s="26" t="str">
        <x:v>中</x:v>
      </x:c>
      <x:c r="I269" s="26" t="str">
        <x:v>ICN009</x:v>
      </x:c>
      <x:c r="J269" s="26" t="str">
        <x:v>基础设施与城市建设产业链/下游/城市运营、公用事业与物业服务</x:v>
      </x:c>
      <x:c r="K269" s="26" t="str">
        <x:v>房地产销售经理/主管是房地产行业中不可或缺的角色，他们不仅负责推动项目的销售业绩，还承担着维护公司品牌形象、提升客户满意度的重要职责。作为连接企业与市场的桥梁，优秀的房地产销售经理能够通过精准的市场分析和有效的销售策略，…</x:v>
      </x:c>
      <x:c r="L269" s="26" t="str">
        <x:v>房地产销售经理/主管的主要职责包括：制定并执行销售策略和计划，达成销售目标；管理销售团队，进行销售培训和业绩考核；维护客户关系，处理客户咨询和投诉；分析市场动态，提供市场反馈；协调内部资源，确保销售流程顺畅；参与项目推广…</x:v>
      </x:c>
    </x:row>
    <x:row r="270" ht="72" customHeight="1">
      <x:c r="A270" s="25" t="n">
        <x:v>11162</x:v>
      </x:c>
      <x:c r="B270" s="25" t="str">
        <x:v>IC-L3-419</x:v>
      </x:c>
      <x:c r="C270" s="25" t="str">
        <x:v>招生老师</x:v>
      </x:c>
      <x:c r="D270" s="25" t="str">
        <x:v>2-08-01-01</x:v>
      </x:c>
      <x:c r="E270" s="25" t="str">
        <x:v>普通高等学校教师</x:v>
      </x:c>
      <x:c r="F270" s="28" t="n">
        <x:f>COUNTIF('岗位-产业节点关系'!$C$4:$C$709,B270)</x:f>
        <x:v>0</x:v>
      </x:c>
      <x:c r="G270" s="26" t="str">
        <x:f>IF(F270=0,"未匹配（现有产业链范围未覆盖或证据不足）",IF(COUNTIFS('岗位-产业节点关系'!$C$4:$C$709,B270,'岗位-产业节点关系'!$M$4:$M$709,"低")&gt;0,"已匹配，建议复核","已匹配"))</x:f>
        <x:v>未匹配（现有产业链范围未覆盖或证据不足）</x:v>
      </x:c>
      <x:c r="H270" s="26" t="str">
        <x:v>-</x:v>
      </x:c>
      <x:c r="I270" s="26" t="str"/>
      <x:c r="J270" s="26" t="str"/>
      <x:c r="K270" s="26" t="str">
        <x:v>招生老师在教育培训机构中扮演着至关重要的角色，是连接潜在学生与机构之间的桥梁。他们不仅负责吸引新客户，还承担着维护现有客户关系的任务，通过高效沟通和服务提升客户的满意度和忠诚度，从而促进机构的长期发展和品牌建设。 作为招…</x:v>
      </x:c>
      <x:c r="L270" s="26" t="str">
        <x:v>1. 主动开发潜在客户资源，通过电话、网络及线下活动等多种渠道进行有效沟通，激发家长和学生的兴趣，引导完成报名流程。 2. 定期参加行业交流会和教育培训会，了解最新的教育政策和市场需求变化，以便及时调整招生策略。 3. …</x:v>
      </x:c>
    </x:row>
    <x:row r="271" ht="72" customHeight="1">
      <x:c r="A271" s="25" t="n">
        <x:v>11163</x:v>
      </x:c>
      <x:c r="B271" s="25" t="str">
        <x:v>IC-L3-420</x:v>
      </x:c>
      <x:c r="C271" s="25" t="str">
        <x:v>留学顾问</x:v>
      </x:c>
      <x:c r="D271" s="25" t="str">
        <x:v>2-08-01-01</x:v>
      </x:c>
      <x:c r="E271" s="25" t="str">
        <x:v>普通高等学校教师</x:v>
      </x:c>
      <x:c r="F271" s="28" t="n">
        <x:f>COUNTIF('岗位-产业节点关系'!$C$4:$C$709,B271)</x:f>
        <x:v>0</x:v>
      </x:c>
      <x:c r="G271" s="26" t="str">
        <x:f>IF(F271=0,"未匹配（现有产业链范围未覆盖或证据不足）",IF(COUNTIFS('岗位-产业节点关系'!$C$4:$C$709,B271,'岗位-产业节点关系'!$M$4:$M$709,"低")&gt;0,"已匹配，建议复核","已匹配"))</x:f>
        <x:v>未匹配（现有产业链范围未覆盖或证据不足）</x:v>
      </x:c>
      <x:c r="H271" s="26" t="str">
        <x:v>-</x:v>
      </x:c>
      <x:c r="I271" s="26" t="str"/>
      <x:c r="J271" s="26" t="str"/>
      <x:c r="K271" s="26" t="str">
        <x:v>留学顾问是教育行业中至关重要的一环，尤其在国际教育领域扮演着举足轻重的角色。作为连接学生与海外教育资源的桥梁，他们不仅帮助学生实现留学梦想，还能够促进教育机构的品牌建设和市场拓展。留学顾问通过深入了解每位客户的需求，提供…</x:v>
      </x:c>
      <x:c r="L271" s="26" t="str">
        <x:v>留学顾问的主要职责包括：为学生提供留学规划咨询服务，包括选校、专业选择、申请材料准备等；协助学生完成留学申请流程，包括推荐信撰写、面试辅导等；跟踪学生申请进度，提供必要的支持和指导；为学生提供签证申请指导，协助解决申请过…</x:v>
      </x:c>
    </x:row>
    <x:row r="272" ht="72" customHeight="1">
      <x:c r="A272" s="25" t="n">
        <x:v>11164</x:v>
      </x:c>
      <x:c r="B272" s="25" t="str">
        <x:v>IC-L3-421</x:v>
      </x:c>
      <x:c r="C272" s="25" t="str">
        <x:v>课程顾问</x:v>
      </x:c>
      <x:c r="D272" s="25" t="str">
        <x:v>2-08-01-01</x:v>
      </x:c>
      <x:c r="E272" s="25" t="str">
        <x:v>普通高等学校教师</x:v>
      </x:c>
      <x:c r="F272" s="28" t="n">
        <x:f>COUNTIF('岗位-产业节点关系'!$C$4:$C$709,B272)</x:f>
        <x:v>0</x:v>
      </x:c>
      <x:c r="G272" s="26" t="str">
        <x:f>IF(F272=0,"未匹配（现有产业链范围未覆盖或证据不足）",IF(COUNTIFS('岗位-产业节点关系'!$C$4:$C$709,B272,'岗位-产业节点关系'!$M$4:$M$709,"低")&gt;0,"已匹配，建议复核","已匹配"))</x:f>
        <x:v>未匹配（现有产业链范围未覆盖或证据不足）</x:v>
      </x:c>
      <x:c r="H272" s="26" t="str">
        <x:v>-</x:v>
      </x:c>
      <x:c r="I272" s="26" t="str"/>
      <x:c r="J272" s="26" t="str"/>
      <x:c r="K272" s="26" t="str">
        <x:v>课程顾问在教育培训机构中扮演着至关重要的角色，他们不仅是连接潜在学员与机构之间的桥梁，也是塑造品牌形象的重要一环。通过精准地了解客户需求并提供个性化咨询服务，课程顾问能够有效提升报名率，确保机构业绩增长的同时，增强客户满…</x:v>
      </x:c>
      <x:c r="L272" s="26" t="str">
        <x:v>1. 主动接触潜在客户，通过电话、网络或面对面交流等方式，全面了解其学习需求及期望，为其推荐合适的课程方案。 2. 详细介绍机构的教学理念、师资力量、课程特色等信息，解答客户的疑问，消除顾虑，激发兴趣，促成报名决策。 3…</x:v>
      </x:c>
    </x:row>
    <x:row r="273" ht="72" customHeight="1">
      <x:c r="A273" s="25" t="n">
        <x:v>11165</x:v>
      </x:c>
      <x:c r="B273" s="25" t="str">
        <x:v>IC-L3-422</x:v>
      </x:c>
      <x:c r="C273" s="25" t="str">
        <x:v>专柜彩妆顾问</x:v>
      </x:c>
      <x:c r="D273" s="25" t="str">
        <x:v>4-01-02-01</x:v>
      </x:c>
      <x:c r="E273" s="25" t="str">
        <x:v>营销员</x:v>
      </x:c>
      <x:c r="F273" s="28" t="n">
        <x:f>COUNTIF('岗位-产业节点关系'!$C$4:$C$709,B273)</x:f>
        <x:v>0</x:v>
      </x:c>
      <x:c r="G273" s="26" t="str">
        <x:f>IF(F273=0,"未匹配（现有产业链范围未覆盖或证据不足）",IF(COUNTIFS('岗位-产业节点关系'!$C$4:$C$709,B273,'岗位-产业节点关系'!$M$4:$M$709,"低")&gt;0,"已匹配，建议复核","已匹配"))</x:f>
        <x:v>未匹配（现有产业链范围未覆盖或证据不足）</x:v>
      </x:c>
      <x:c r="H273" s="26" t="str">
        <x:v>-</x:v>
      </x:c>
      <x:c r="I273" s="26" t="str"/>
      <x:c r="J273" s="26" t="str"/>
      <x:c r="K273" s="26" t="str">
        <x:v>专柜彩妆顾问是销售与客服领域中一个至关重要的角色，尤其在竞争激烈的零售服务业中扮演着品牌代表的关键角色。他们不仅是产品的直接推广者，更是品牌形象的塑造者，通过专业的服务和沟通技巧，提升顾客体验，建立品牌的良好口碑。 该职…</x:v>
      </x:c>
      <x:c r="L273" s="26" t="str">
        <x:v>1. 为进店顾客提供专业彩妆咨询服务，包括但不限于皮肤分析、色彩搭配等，帮助顾客挑选最适合自己的彩妆产品。 2. 定期参加培训课程，更新自身关于最新彩妆趋势、技术及产品信息的知识库，以提高服务质量。 3. 维护良好的客户…</x:v>
      </x:c>
    </x:row>
    <x:row r="274" ht="72" customHeight="1">
      <x:c r="A274" s="25" t="n">
        <x:v>11166</x:v>
      </x:c>
      <x:c r="B274" s="25" t="str">
        <x:v>IC-L3-423</x:v>
      </x:c>
      <x:c r="C274" s="25" t="str">
        <x:v>促销主管/督导/巡店</x:v>
      </x:c>
      <x:c r="D274" s="25" t="str">
        <x:v>4-01-02-03</x:v>
      </x:c>
      <x:c r="E274" s="25" t="str">
        <x:v>商品营业员</x:v>
      </x:c>
      <x:c r="F274" s="28" t="n">
        <x:f>COUNTIF('岗位-产业节点关系'!$C$4:$C$709,B274)</x:f>
        <x:v>0</x:v>
      </x:c>
      <x:c r="G274" s="26" t="str">
        <x:f>IF(F274=0,"未匹配（现有产业链范围未覆盖或证据不足）",IF(COUNTIFS('岗位-产业节点关系'!$C$4:$C$709,B274,'岗位-产业节点关系'!$M$4:$M$709,"低")&gt;0,"已匹配，建议复核","已匹配"))</x:f>
        <x:v>未匹配（现有产业链范围未覆盖或证据不足）</x:v>
      </x:c>
      <x:c r="H274" s="26" t="str">
        <x:v>-</x:v>
      </x:c>
      <x:c r="I274" s="26" t="str"/>
      <x:c r="J274" s="26" t="str"/>
      <x:c r="K274" s="26" t="str">
        <x:v>促销主管/督导/巡店是销售/客服行业中不可或缺的角色，主要负责监督和管理促销活动的执行情况，确保促销活动能够顺利进行并达到预期效果。该职位不仅需要具备出色的组织协调能力和沟通技巧，还需要对市场趋势有敏锐的洞察力，以便及时…</x:v>
      </x:c>
      <x:c r="L274" s="26" t="str">
        <x:v>1. 制定详细的促销活动方案，包括活动时间、地点选择、物料准备等，并确保所有细节均符合公司标准与要求。 2. 监督促销现场的执行情况，指导促销人员正确展示产品特点，解答顾客疑问，提高顾客满意度。 3. 定期巡查门店，评估…</x:v>
      </x:c>
    </x:row>
    <x:row r="275" ht="72" customHeight="1">
      <x:c r="A275" s="25" t="n">
        <x:v>11167</x:v>
      </x:c>
      <x:c r="B275" s="25" t="str">
        <x:v>IC-L3-424</x:v>
      </x:c>
      <x:c r="C275" s="25" t="str">
        <x:v>促销员/导购员</x:v>
      </x:c>
      <x:c r="D275" s="25" t="str">
        <x:v>4-01-02-03</x:v>
      </x:c>
      <x:c r="E275" s="25" t="str">
        <x:v>商品营业员</x:v>
      </x:c>
      <x:c r="F275" s="28" t="n">
        <x:f>COUNTIF('岗位-产业节点关系'!$C$4:$C$709,B275)</x:f>
        <x:v>0</x:v>
      </x:c>
      <x:c r="G275" s="26" t="str">
        <x:f>IF(F275=0,"未匹配（现有产业链范围未覆盖或证据不足）",IF(COUNTIFS('岗位-产业节点关系'!$C$4:$C$709,B275,'岗位-产业节点关系'!$M$4:$M$709,"低")&gt;0,"已匹配，建议复核","已匹配"))</x:f>
        <x:v>未匹配（现有产业链范围未覆盖或证据不足）</x:v>
      </x:c>
      <x:c r="H275" s="26" t="str">
        <x:v>-</x:v>
      </x:c>
      <x:c r="I275" s="26" t="str"/>
      <x:c r="J275" s="26" t="str"/>
      <x:c r="K275" s="26" t="str">
        <x:v>促销员/导购员是销售与客服行业中不可或缺的角色，在服务业销售中尤其重要。他们不仅是商品和服务的第一接触点，也是品牌形象的重要传播者。通过高效的服务和沟通技巧，促销员/导购员能够激发顾客的兴趣，促进销售转化，从而为公司创造…</x:v>
      </x:c>
      <x:c r="L275" s="26" t="str">
        <x:v>1. 通过主动接近顾客，了解其需求并提供专业的商品介绍及咨询服务，提高顾客满意度和购买率。 2. 维护良好的店铺形象，确保展示区域整洁有序，商品摆放符合公司要求，以吸引更多的潜在客户。 3. 定期参加内部培训，掌握最新的…</x:v>
      </x:c>
    </x:row>
    <x:row r="276" ht="72" customHeight="1">
      <x:c r="A276" s="25" t="n">
        <x:v>11168</x:v>
      </x:c>
      <x:c r="B276" s="25" t="str">
        <x:v>IC-L3-425</x:v>
      </x:c>
      <x:c r="C276" s="25" t="str">
        <x:v>促销经理</x:v>
      </x:c>
      <x:c r="D276" s="25" t="str">
        <x:v>4-01-02-03</x:v>
      </x:c>
      <x:c r="E276" s="25" t="str">
        <x:v>商品营业员</x:v>
      </x:c>
      <x:c r="F276" s="28" t="n">
        <x:f>COUNTIF('岗位-产业节点关系'!$C$4:$C$709,B276)</x:f>
        <x:v>0</x:v>
      </x:c>
      <x:c r="G276" s="26" t="str">
        <x:f>IF(F276=0,"未匹配（现有产业链范围未覆盖或证据不足）",IF(COUNTIFS('岗位-产业节点关系'!$C$4:$C$709,B276,'岗位-产业节点关系'!$M$4:$M$709,"低")&gt;0,"已匹配，建议复核","已匹配"))</x:f>
        <x:v>未匹配（现有产业链范围未覆盖或证据不足）</x:v>
      </x:c>
      <x:c r="H276" s="26" t="str">
        <x:v>-</x:v>
      </x:c>
      <x:c r="I276" s="26" t="str"/>
      <x:c r="J276" s="26" t="str"/>
      <x:c r="K276" s="26" t="str">
        <x:v>促销经理是销售/客服行业中不可或缺的角色之一，主要负责推动产品或服务的市场销售，通过策划和实施有效的促销活动来吸引潜在客户，提高品牌知名度和市场份额。该职位的核心目标在于通过精准的市场分析与策略制定，确保公司产品的销售业…</x:v>
      </x:c>
      <x:c r="L276" s="26" t="str">
        <x:v>1. 制定并执行全面的促销计划，包括但不限于线上线下的联合推广、节日特惠、会员日等活动，以促进销售额的增长。 2. 分析市场趋势和竞争对手动态，结合公司产品特点，定期调整促销策略，确保活动效果最大化。 3. 与相关部门沟…</x:v>
      </x:c>
    </x:row>
    <x:row r="277" ht="72" customHeight="1">
      <x:c r="A277" s="25" t="n">
        <x:v>11169</x:v>
      </x:c>
      <x:c r="B277" s="25" t="str">
        <x:v>IC-L3-426</x:v>
      </x:c>
      <x:c r="C277" s="25" t="str">
        <x:v>健身顾问</x:v>
      </x:c>
      <x:c r="D277" s="25" t="str">
        <x:v>4-01-02-01</x:v>
      </x:c>
      <x:c r="E277" s="25" t="str">
        <x:v>营销员</x:v>
      </x:c>
      <x:c r="F277" s="28" t="n">
        <x:f>COUNTIF('岗位-产业节点关系'!$C$4:$C$709,B277)</x:f>
        <x:v>0</x:v>
      </x:c>
      <x:c r="G277" s="26" t="str">
        <x:f>IF(F277=0,"未匹配（现有产业链范围未覆盖或证据不足）",IF(COUNTIFS('岗位-产业节点关系'!$C$4:$C$709,B277,'岗位-产业节点关系'!$M$4:$M$709,"低")&gt;0,"已匹配，建议复核","已匹配"))</x:f>
        <x:v>未匹配（现有产业链范围未覆盖或证据不足）</x:v>
      </x:c>
      <x:c r="H277" s="26" t="str">
        <x:v>-</x:v>
      </x:c>
      <x:c r="I277" s="26" t="str"/>
      <x:c r="J277" s="26" t="str"/>
      <x:c r="K277" s="26" t="str">
        <x:v>健身顾问是销售/客服领域中不可或缺的专业角色，尤其在服务业销售方向上，他们通过提供个性化的健康与健身方案，帮助客户实现身体及心理的健康目标。作为健身中心与潜在客户之间的桥梁，健身顾问不仅代表着企业的形象，更是推动业务增长…</x:v>
      </x:c>
      <x:c r="L277" s="26" t="str">
        <x:v>1. 与每位来访客户进行深入沟通，了解其健康状况、运动经历及期望达成的目标，为其量身定制科学合理的健身计划。 2. 定期跟踪会员的锻炼进度，收集反馈意见，及时调整训练方法，确保客户能够安全有效地达到预期效果。 3. 积极…</x:v>
      </x:c>
    </x:row>
    <x:row r="278" ht="72" customHeight="1">
      <x:c r="A278" s="25" t="n">
        <x:v>11170</x:v>
      </x:c>
      <x:c r="B278" s="25" t="str">
        <x:v>IC-L3-427</x:v>
      </x:c>
      <x:c r="C278" s="25" t="str">
        <x:v>奢侈品业务</x:v>
      </x:c>
      <x:c r="D278" s="25" t="str">
        <x:v>4-01-02-01</x:v>
      </x:c>
      <x:c r="E278" s="25" t="str">
        <x:v>营销员</x:v>
      </x:c>
      <x:c r="F278" s="28" t="n">
        <x:f>COUNTIF('岗位-产业节点关系'!$C$4:$C$709,B278)</x:f>
        <x:v>0</x:v>
      </x:c>
      <x:c r="G278" s="26" t="str">
        <x:f>IF(F278=0,"未匹配（现有产业链范围未覆盖或证据不足）",IF(COUNTIFS('岗位-产业节点关系'!$C$4:$C$709,B278,'岗位-产业节点关系'!$M$4:$M$709,"低")&gt;0,"已匹配，建议复核","已匹配"))</x:f>
        <x:v>未匹配（现有产业链范围未覆盖或证据不足）</x:v>
      </x:c>
      <x:c r="H278" s="26" t="str">
        <x:v>-</x:v>
      </x:c>
      <x:c r="I278" s="26" t="str"/>
      <x:c r="J278" s="26" t="str"/>
      <x:c r="K278" s="26" t="str">
        <x:v>在销售与客服行业中，奢侈品业务代表扮演着至关重要的角色。作为品牌与高端客户之间的桥梁，他们不仅负责维护现有客户的忠诚度，还需不断吸引新客户加入，通过提供卓越的服务体验来巩固品牌形象。这一职位是企业实现长期增长和市场扩张的…</x:v>
      </x:c>
      <x:c r="L278" s="26" t="str">
        <x:v>1. 识别潜在高净值客户群体，运用专业技巧进行有效跟进与转化，确保年度销售额达到预定目标。 2. 定期拜访重要客户，建立稳固关系，定期举办专属活动以加深情感联系，从而提高客户粘性与复购率。 3. 分析销售数据，识别市场趋…</x:v>
      </x:c>
    </x:row>
    <x:row r="279" ht="72" customHeight="1">
      <x:c r="A279" s="25" t="n">
        <x:v>11171</x:v>
      </x:c>
      <x:c r="B279" s="25" t="str">
        <x:v>IC-L3-428</x:v>
      </x:c>
      <x:c r="C279" s="25" t="str">
        <x:v>导购管理</x:v>
      </x:c>
      <x:c r="D279" s="25" t="str">
        <x:v>4-01-02-03</x:v>
      </x:c>
      <x:c r="E279" s="25" t="str">
        <x:v>商品营业员</x:v>
      </x:c>
      <x:c r="F279" s="28" t="n">
        <x:f>COUNTIF('岗位-产业节点关系'!$C$4:$C$709,B279)</x:f>
        <x:v>0</x:v>
      </x:c>
      <x:c r="G279" s="26" t="str">
        <x:f>IF(F279=0,"未匹配（现有产业链范围未覆盖或证据不足）",IF(COUNTIFS('岗位-产业节点关系'!$C$4:$C$709,B279,'岗位-产业节点关系'!$M$4:$M$709,"低")&gt;0,"已匹配，建议复核","已匹配"))</x:f>
        <x:v>未匹配（现有产业链范围未覆盖或证据不足）</x:v>
      </x:c>
      <x:c r="H279" s="26" t="str">
        <x:v>-</x:v>
      </x:c>
      <x:c r="I279" s="26" t="str"/>
      <x:c r="J279" s="26" t="str"/>
      <x:c r="K279" s="26" t="str">
        <x:v>导购管理是销售/客服领域中一个至关重要的角色，尤其在服务业销售中扮演着桥梁的角色，连接公司与消费者，通过优化购物体验来提升顾客满意度和忠诚度。该职位不仅负责一线销售工作，还是品牌形象的直接代表，其核心目标在于通过高效的顾…</x:v>
      </x:c>
      <x:c r="L279" s="26" t="str">
        <x:v>1. 负责店内导购人员的日常管理和培训，确保每位员工都能提供高质量的服务，以增强顾客的购物体验，最终促进销售转化率的提高。 2. 定期分析销售数据，识别潜在问题和改进机会，据此调整销售策略或产品布局，以最大化销售额和利润…</x:v>
      </x:c>
    </x:row>
    <x:row r="280" ht="72" customHeight="1">
      <x:c r="A280" s="25" t="n">
        <x:v>11172</x:v>
      </x:c>
      <x:c r="B280" s="25" t="str">
        <x:v>IC-L3-429</x:v>
      </x:c>
      <x:c r="C280" s="25" t="str">
        <x:v>旅游顾问</x:v>
      </x:c>
      <x:c r="D280" s="25" t="str">
        <x:v>4-07-01-01</x:v>
      </x:c>
      <x:c r="E280" s="25" t="str">
        <x:v>租赁业务员</x:v>
      </x:c>
      <x:c r="F280" s="28" t="n">
        <x:f>COUNTIF('岗位-产业节点关系'!$C$4:$C$709,B280)</x:f>
        <x:v>0</x:v>
      </x:c>
      <x:c r="G280" s="26" t="str">
        <x:f>IF(F280=0,"未匹配（现有产业链范围未覆盖或证据不足）",IF(COUNTIFS('岗位-产业节点关系'!$C$4:$C$709,B280,'岗位-产业节点关系'!$M$4:$M$709,"低")&gt;0,"已匹配，建议复核","已匹配"))</x:f>
        <x:v>未匹配（现有产业链范围未覆盖或证据不足）</x:v>
      </x:c>
      <x:c r="H280" s="26" t="str">
        <x:v>-</x:v>
      </x:c>
      <x:c r="I280" s="26" t="str"/>
      <x:c r="J280" s="26" t="str"/>
      <x:c r="K280" s="26" t="str">
        <x:v>旅游顾问是销售/客服行业中不可或缺的角色，在服务业销售领域尤其重要。作为旅游顾问，您将成为连接公司与客户之间的桥梁，通过提供专业的旅行建议和服务，帮助客户规划完美的旅行体验。您将利用自己的专业知识和热情，确保每位客户的旅…</x:v>
      </x:c>
      <x:c r="L280" s="26" t="str">
        <x:v>1. 通过电话、邮件、社交媒体等多种渠道，积极主动地与潜在及现有客户沟通，了解他们的旅行偏好和需求，为其推荐合适的旅游线路和产品。 2. 根据客户需求定制个性化行程方案，包括但不限于景点选择、交通安排、住宿预订等，确保行…</x:v>
      </x:c>
    </x:row>
    <x:row r="281" ht="72" customHeight="1">
      <x:c r="A281" s="25" t="n">
        <x:v>11173</x:v>
      </x:c>
      <x:c r="B281" s="25" t="str">
        <x:v>IC-L3-430</x:v>
      </x:c>
      <x:c r="C281" s="25" t="str">
        <x:v>珠宝销售顾问</x:v>
      </x:c>
      <x:c r="D281" s="25" t="str">
        <x:v>4-01-02-01</x:v>
      </x:c>
      <x:c r="E281" s="25" t="str">
        <x:v>营销员</x:v>
      </x:c>
      <x:c r="F281" s="28" t="n">
        <x:f>COUNTIF('岗位-产业节点关系'!$C$4:$C$709,B281)</x:f>
        <x:v>0</x:v>
      </x:c>
      <x:c r="G281" s="26" t="str">
        <x:f>IF(F281=0,"未匹配（现有产业链范围未覆盖或证据不足）",IF(COUNTIFS('岗位-产业节点关系'!$C$4:$C$709,B281,'岗位-产业节点关系'!$M$4:$M$709,"低")&gt;0,"已匹配，建议复核","已匹配"))</x:f>
        <x:v>未匹配（现有产业链范围未覆盖或证据不足）</x:v>
      </x:c>
      <x:c r="H281" s="26" t="str">
        <x:v>-</x:v>
      </x:c>
      <x:c r="I281" s="26" t="str"/>
      <x:c r="J281" s="26" t="str"/>
      <x:c r="K281" s="26" t="str">
        <x:v>珠宝销售顾问是销售/客服行业中不可或缺的角色，特别是在服务业销售领域，他们不仅代表着公司的形象，更是连接顾客与品牌的桥梁。通过专业的知识和服务，他们能够准确地理解客户需求，提供个性化的产品推荐，从而促进销售增长，提升客户…</x:v>
      </x:c>
      <x:c r="L281" s="26" t="str">
        <x:v>1. 主动迎接并接待每一位到店顾客，运用专业知识为顾客介绍各类珠宝首饰的特点及保养方法，确保顾客获得满意的购物体验。 2. 通过观察和询问了解顾客的需求偏好，精准推荐符合其风格和预算的商品，努力实现销售目标。 3. 定期…</x:v>
      </x:c>
    </x:row>
    <x:row r="282" ht="72" customHeight="1">
      <x:c r="A282" s="25" t="n">
        <x:v>11174</x:v>
      </x:c>
      <x:c r="B282" s="25" t="str">
        <x:v>IC-L3-431</x:v>
      </x:c>
      <x:c r="C282" s="25" t="str">
        <x:v>美容顾问</x:v>
      </x:c>
      <x:c r="D282" s="25" t="str">
        <x:v>4-10-03-01</x:v>
      </x:c>
      <x:c r="E282" s="25" t="str">
        <x:v>美容师</x:v>
      </x:c>
      <x:c r="F282" s="28" t="n">
        <x:f>COUNTIF('岗位-产业节点关系'!$C$4:$C$709,B282)</x:f>
        <x:v>0</x:v>
      </x:c>
      <x:c r="G282" s="26" t="str">
        <x:f>IF(F282=0,"未匹配（现有产业链范围未覆盖或证据不足）",IF(COUNTIFS('岗位-产业节点关系'!$C$4:$C$709,B282,'岗位-产业节点关系'!$M$4:$M$709,"低")&gt;0,"已匹配，建议复核","已匹配"))</x:f>
        <x:v>未匹配（现有产业链范围未覆盖或证据不足）</x:v>
      </x:c>
      <x:c r="H282" s="26" t="str">
        <x:v>-</x:v>
      </x:c>
      <x:c r="I282" s="26" t="str"/>
      <x:c r="J282" s="26" t="str"/>
      <x:c r="K282" s="26" t="str">
        <x:v>美容顾问在销售与客服行业中扮演着至关重要的角色，尤其在服务业销售领域，他们是连接客户与品牌的桥梁。通过提供个性化的护肤建议和服务，美容顾问不仅能够满足顾客的需求，还能有效提升品牌形象和顾客忠诚度。作为美容顾问，其核心目标…</x:v>
      </x:c>
      <x:c r="L282" s="26" t="str">
        <x:v>1. 为顾客提供专业的皮肤护理咨询及产品使用指导，确保每位顾客都能获得最适合自己的个性化解决方案。 2. 定期参加品牌培训，掌握最新美容知识和技术，以便更好地服务于顾客并推广新产品。 3. 负责维护客户关系管理系统，记录…</x:v>
      </x:c>
    </x:row>
    <x:row r="283" ht="72" customHeight="1">
      <x:c r="A283" s="25" t="n">
        <x:v>11175</x:v>
      </x:c>
      <x:c r="B283" s="25" t="str">
        <x:v>IC-L3-432</x:v>
      </x:c>
      <x:c r="C283" s="25" t="str">
        <x:v>汽车服务顾问</x:v>
      </x:c>
      <x:c r="D283" s="25" t="str">
        <x:v>2-02-07-11</x:v>
      </x:c>
      <x:c r="E283" s="25" t="str">
        <x:v>汽车工程技术人员</x:v>
      </x:c>
      <x:c r="F283" s="28" t="n">
        <x:f>COUNTIF('岗位-产业节点关系'!$C$4:$C$709,B283)</x:f>
        <x:v>1</x:v>
      </x:c>
      <x:c r="G283" s="26" t="str">
        <x:f>IF(F283=0,"未匹配（现有产业链范围未覆盖或证据不足）",IF(COUNTIFS('岗位-产业节点关系'!$C$4:$C$709,B283,'岗位-产业节点关系'!$M$4:$M$709,"低")&gt;0,"已匹配，建议复核","已匹配"))</x:f>
        <x:v>已匹配</x:v>
      </x:c>
      <x:c r="H283" s="26" t="str">
        <x:v>中</x:v>
      </x:c>
      <x:c r="I283" s="26" t="str">
        <x:v>ICN023</x:v>
      </x:c>
      <x:c r="J283" s="26" t="str">
        <x:v>汽车与智能网联汽车产业链/中游/整车制造与智能网联系统集成</x:v>
      </x:c>
      <x:c r="K283" s="26" t="str">
        <x:v>汽车服务顾问是汽车销售行业中不可或缺的角色之一，他们不仅代表了公司的形象，还是连接客户与企业的桥梁。通过提供专业的咨询和服务，帮助顾客做出满意的购车决策，从而提升品牌形象和市场竞争力。作为汽车服务顾问，其核心目标在于建立…</x:v>
      </x:c>
      <x:c r="L283" s="26" t="str">
        <x:v>1. 为来访客户提供专业的产品介绍及咨询服务，解答客户关于车型、配置、价格等方面的问题，以促成交易。 2. 负责收集潜在客户的资料信息，定期跟进客户需求变化，制定个性化的营销方案，提高转化率。 3. 协助完成售前准备工作…</x:v>
      </x:c>
    </x:row>
    <x:row r="284" ht="72" customHeight="1">
      <x:c r="A284" s="25" t="n">
        <x:v>11176</x:v>
      </x:c>
      <x:c r="B284" s="25" t="str">
        <x:v>IC-L3-433</x:v>
      </x:c>
      <x:c r="C284" s="25" t="str">
        <x:v>汽车销售/经纪人</x:v>
      </x:c>
      <x:c r="D284" s="25" t="str">
        <x:v>2-02-07-11</x:v>
      </x:c>
      <x:c r="E284" s="25" t="str">
        <x:v>汽车工程技术人员</x:v>
      </x:c>
      <x:c r="F284" s="28" t="n">
        <x:f>COUNTIF('岗位-产业节点关系'!$C$4:$C$709,B284)</x:f>
        <x:v>1</x:v>
      </x:c>
      <x:c r="G284" s="26" t="str">
        <x:f>IF(F284=0,"未匹配（现有产业链范围未覆盖或证据不足）",IF(COUNTIFS('岗位-产业节点关系'!$C$4:$C$709,B284,'岗位-产业节点关系'!$M$4:$M$709,"低")&gt;0,"已匹配，建议复核","已匹配"))</x:f>
        <x:v>已匹配</x:v>
      </x:c>
      <x:c r="H284" s="26" t="str">
        <x:v>高</x:v>
      </x:c>
      <x:c r="I284" s="26" t="str">
        <x:v>ICN024</x:v>
      </x:c>
      <x:c r="J284" s="26" t="str">
        <x:v>汽车与智能网联汽车产业链/下游/出行服务、后市场与自动驾驶应用</x:v>
      </x:c>
      <x:c r="K284" s="26" t="str">
        <x:v>汽车销售/经纪人在汽车行业扮演着至关重要的角色，他们不仅是连接客户与企业的桥梁，还负责将公司的产品和服务以最有效的方式传达给潜在买家。通过精准的市场分析和高效的沟通技巧，该职位致力于提升客户满意度和品牌忠诚度，是推动公司…</x:v>
      </x:c>
      <x:c r="L284" s="26" t="str">
        <x:v>1. 主动寻找并接触潜在客户，了解客户需求，提供专业的购车咨询及建议，目标是提高客户转化率。 2. 熟练掌握公司旗下所有车型的特点与优势，准确无误地向顾客介绍产品信息，确保顾客能够全面理解所选车辆的性能。 3. 协助客户…</x:v>
      </x:c>
    </x:row>
    <x:row r="285" ht="72" customHeight="1">
      <x:c r="A285" s="25" t="n">
        <x:v>11177</x:v>
      </x:c>
      <x:c r="B285" s="25" t="str">
        <x:v>IC-L3-434</x:v>
      </x:c>
      <x:c r="C285" s="25" t="str">
        <x:v>总装工程师</x:v>
      </x:c>
      <x:c r="D285" s="25" t="str">
        <x:v>2-02-07-11</x:v>
      </x:c>
      <x:c r="E285" s="25" t="str">
        <x:v>汽车工程技术人员</x:v>
      </x:c>
      <x:c r="F285" s="28" t="n">
        <x:f>COUNTIF('岗位-产业节点关系'!$C$4:$C$709,B285)</x:f>
        <x:v>0</x:v>
      </x:c>
      <x:c r="G285" s="26" t="str">
        <x:f>IF(F285=0,"未匹配（现有产业链范围未覆盖或证据不足）",IF(COUNTIFS('岗位-产业节点关系'!$C$4:$C$709,B285,'岗位-产业节点关系'!$M$4:$M$709,"低")&gt;0,"已匹配，建议复核","已匹配"))</x:f>
        <x:v>未匹配（现有产业链范围未覆盖或证据不足）</x:v>
      </x:c>
      <x:c r="H285" s="26" t="str">
        <x:v>-</x:v>
      </x:c>
      <x:c r="I285" s="26" t="str"/>
      <x:c r="J285" s="26" t="str"/>
      <x:c r="K285" s="26" t="str">
        <x:v>总装工程师是专门从事汽车总装工艺设计与优化的专业人员。该职位的核心目标是通过高效的总装流程管理，实现产品质量提升和生产效率优化。在日常工作中，需要进行装配工艺设计、生产线问题解决、装配标准制定以及跨部门协调等工作。</x:v>
      </x:c>
      <x:c r="L285" s="26" t="str">
        <x:v>1. 制定装配工艺流程 2. 监督总装生产线运行 3. 优化装配效率质量 4. 解决生产现场问题 5. 协调零部件供应衔接 6. 培训装配操作人员</x:v>
      </x:c>
    </x:row>
    <x:row r="286" ht="72" customHeight="1">
      <x:c r="A286" s="25" t="n">
        <x:v>11178</x:v>
      </x:c>
      <x:c r="B286" s="25" t="str">
        <x:v>IC-L3-435</x:v>
      </x:c>
      <x:c r="C286" s="25" t="str">
        <x:v>区域销售代表</x:v>
      </x:c>
      <x:c r="D286" s="25" t="str">
        <x:v>4-01-02-01</x:v>
      </x:c>
      <x:c r="E286" s="25" t="str">
        <x:v>营销员</x:v>
      </x:c>
      <x:c r="F286" s="28" t="n">
        <x:f>COUNTIF('岗位-产业节点关系'!$C$4:$C$709,B286)</x:f>
        <x:v>0</x:v>
      </x:c>
      <x:c r="G286" s="26" t="str">
        <x:f>IF(F286=0,"未匹配（现有产业链范围未覆盖或证据不足）",IF(COUNTIFS('岗位-产业节点关系'!$C$4:$C$709,B286,'岗位-产业节点关系'!$M$4:$M$709,"低")&gt;0,"已匹配，建议复核","已匹配"))</x:f>
        <x:v>未匹配（现有产业链范围未覆盖或证据不足）</x:v>
      </x:c>
      <x:c r="H286" s="26" t="str">
        <x:v>-</x:v>
      </x:c>
      <x:c r="I286" s="26" t="str"/>
      <x:c r="J286" s="26" t="str"/>
      <x:c r="K286" s="26" t="str">
        <x:v>区域销售代表是销售/客服行业中不可或缺的角色，他们负责在特定地理区域内推动产品或服务的销售，通过建立和维护与潜在及现有客户的良好关系，为公司创造收入。作为公司的前线战士，区域销售代表不仅需要具备出色的沟通技巧和市场洞察力…</x:v>
      </x:c>
      <x:c r="L286" s="26" t="str">
        <x:v>1. 负责所辖区域内的市场开发工作，定期拜访客户，了解其需求并提供相应的解决方案，以达成年度销售目标。 2. 通过电话、邮件等方式主动跟进潜在客户，积极推广公司产品或服务，提高品牌知名度和影响力。 3. 收集市场信息和竞…</x:v>
      </x:c>
    </x:row>
    <x:row r="287" ht="72" customHeight="1">
      <x:c r="A287" s="25" t="n">
        <x:v>11179</x:v>
      </x:c>
      <x:c r="B287" s="25" t="str">
        <x:v>IC-L3-436</x:v>
      </x:c>
      <x:c r="C287" s="25" t="str">
        <x:v>医学顾问</x:v>
      </x:c>
      <x:c r="D287" s="25" t="str">
        <x:v>4-01-02-01</x:v>
      </x:c>
      <x:c r="E287" s="25" t="str">
        <x:v>营销员</x:v>
      </x:c>
      <x:c r="F287" s="28" t="n">
        <x:f>COUNTIF('岗位-产业节点关系'!$C$4:$C$709,B287)</x:f>
        <x:v>0</x:v>
      </x:c>
      <x:c r="G287" s="26" t="str">
        <x:f>IF(F287=0,"未匹配（现有产业链范围未覆盖或证据不足）",IF(COUNTIFS('岗位-产业节点关系'!$C$4:$C$709,B287,'岗位-产业节点关系'!$M$4:$M$709,"低")&gt;0,"已匹配，建议复核","已匹配"))</x:f>
        <x:v>未匹配（现有产业链范围未覆盖或证据不足）</x:v>
      </x:c>
      <x:c r="H287" s="26" t="str">
        <x:v>-</x:v>
      </x:c>
      <x:c r="I287" s="26" t="str"/>
      <x:c r="J287" s="26" t="str"/>
      <x:c r="K287" s="26" t="str">
        <x:v>医学顾问是销售与客服行业中不可或缺的专业角色，他们不仅在医疗产品和服务的推广中扮演着关键角色，而且通过提供专业的医学知识支持，帮助企业建立良好的客户关系。作为公司与医疗机构之间的桥梁，医学顾问的核心目标在于深入了解客户需…</x:v>
      </x:c>
      <x:c r="L287" s="26" t="str">
        <x:v>1. 与潜在客户进行沟通，了解其需求并提供专业的医学建议，旨在提升客户满意度及忠诚度。 2. 定期拜访医院、诊所等医疗机构，介绍公司最新产品特点与优势，扩大市场份额。 3. 参与制定并执行销售计划，完成个人及团队设定的业…</x:v>
      </x:c>
    </x:row>
    <x:row r="288" ht="72" customHeight="1">
      <x:c r="A288" s="25" t="n">
        <x:v>11180</x:v>
      </x:c>
      <x:c r="B288" s="25" t="str">
        <x:v>IC-L3-437</x:v>
      </x:c>
      <x:c r="C288" s="25" t="str">
        <x:v>医美咨询</x:v>
      </x:c>
      <x:c r="D288" s="25" t="str">
        <x:v>4-01-02-01</x:v>
      </x:c>
      <x:c r="E288" s="25" t="str">
        <x:v>营销员</x:v>
      </x:c>
      <x:c r="F288" s="28" t="n">
        <x:f>COUNTIF('岗位-产业节点关系'!$C$4:$C$709,B288)</x:f>
        <x:v>0</x:v>
      </x:c>
      <x:c r="G288" s="26" t="str">
        <x:f>IF(F288=0,"未匹配（现有产业链范围未覆盖或证据不足）",IF(COUNTIFS('岗位-产业节点关系'!$C$4:$C$709,B288,'岗位-产业节点关系'!$M$4:$M$709,"低")&gt;0,"已匹配，建议复核","已匹配"))</x:f>
        <x:v>未匹配（现有产业链范围未覆盖或证据不足）</x:v>
      </x:c>
      <x:c r="H288" s="26" t="str">
        <x:v>-</x:v>
      </x:c>
      <x:c r="I288" s="26" t="str"/>
      <x:c r="J288" s="26" t="str"/>
      <x:c r="K288" s="26" t="str">
        <x:v>医美咨询师作为销售/客服领域中不可或缺的角色，在医疗美容行业中占据着至关重要的位置。通过专业的咨询服务，不仅能够帮助客户了解并选择适合自己的项目，同时也能有效提升品牌形象与市场竞争力。作为公司与顾客之间的桥梁，医美咨询师…</x:v>
      </x:c>
      <x:c r="L288" s="26" t="str">
        <x:v>1. 通过电话、网络或现场接待等方式，向潜在客户提供全面的产品介绍与咨询服务，确保客户充分理解服务内容及效果预期。 2. 根据客户需求分析，量身定制个性化的治疗方案，协助客户做出合理决策，提高转化率。 3. 跟进客户术后…</x:v>
      </x:c>
    </x:row>
    <x:row r="289" ht="72" customHeight="1">
      <x:c r="A289" s="25" t="n">
        <x:v>11181</x:v>
      </x:c>
      <x:c r="B289" s="25" t="str">
        <x:v>IC-L3-438</x:v>
      </x:c>
      <x:c r="C289" s="25" t="str">
        <x:v>大客户销售</x:v>
      </x:c>
      <x:c r="D289" s="25" t="str">
        <x:v>4-01-02-01</x:v>
      </x:c>
      <x:c r="E289" s="25" t="str">
        <x:v>营销员</x:v>
      </x:c>
      <x:c r="F289" s="28" t="n">
        <x:f>COUNTIF('岗位-产业节点关系'!$C$4:$C$709,B289)</x:f>
        <x:v>0</x:v>
      </x:c>
      <x:c r="G289" s="26" t="str">
        <x:f>IF(F289=0,"未匹配（现有产业链范围未覆盖或证据不足）",IF(COUNTIFS('岗位-产业节点关系'!$C$4:$C$709,B289,'岗位-产业节点关系'!$M$4:$M$709,"低")&gt;0,"已匹配，建议复核","已匹配"))</x:f>
        <x:v>未匹配（现有产业链范围未覆盖或证据不足）</x:v>
      </x:c>
      <x:c r="H289" s="26" t="str">
        <x:v>-</x:v>
      </x:c>
      <x:c r="I289" s="26" t="str"/>
      <x:c r="J289" s="26" t="str"/>
      <x:c r="K289" s="26" t="str">
        <x:v>大客户销售是销售/客服行业中不可或缺的关键角色，负责与企业最重要的客户建立和维护长期合作关系，通过提供高质量的产品和服务，确保客户的满意度和忠诚度。该职位的核心目标是通过精准的市场分析和客户需求洞察，制定并执行有效的销售…</x:v>
      </x:c>
      <x:c r="L289" s="26" t="str">
        <x:v>1. 负责开发新客户，定期拜访潜在客户，了解其需求，推荐适合的产品或服务方案，促进销售机会的转化。 2. 维护现有大客户关系，定期跟进客户反馈，解决客户遇到的问题，提高客户满意度和复购率。 3. 制定并实施个人年度销售计…</x:v>
      </x:c>
    </x:row>
    <x:row r="290" ht="72" customHeight="1">
      <x:c r="A290" s="25" t="n">
        <x:v>11182</x:v>
      </x:c>
      <x:c r="B290" s="25" t="str">
        <x:v>IC-L3-439</x:v>
      </x:c>
      <x:c r="C290" s="25" t="str">
        <x:v>旅游顾问</x:v>
      </x:c>
      <x:c r="D290" s="25" t="str">
        <x:v>4-07-01-01</x:v>
      </x:c>
      <x:c r="E290" s="25" t="str">
        <x:v>租赁业务员</x:v>
      </x:c>
      <x:c r="F290" s="28" t="n">
        <x:f>COUNTIF('岗位-产业节点关系'!$C$4:$C$709,B290)</x:f>
        <x:v>0</x:v>
      </x:c>
      <x:c r="G290" s="26" t="str">
        <x:f>IF(F290=0,"未匹配（现有产业链范围未覆盖或证据不足）",IF(COUNTIFS('岗位-产业节点关系'!$C$4:$C$709,B290,'岗位-产业节点关系'!$M$4:$M$709,"低")&gt;0,"已匹配，建议复核","已匹配"))</x:f>
        <x:v>未匹配（现有产业链范围未覆盖或证据不足）</x:v>
      </x:c>
      <x:c r="H290" s="26" t="str">
        <x:v>-</x:v>
      </x:c>
      <x:c r="I290" s="26" t="str"/>
      <x:c r="J290" s="26" t="str"/>
      <x:c r="K290" s="26" t="str">
        <x:v>旅游顾问是销售/客服行业中不可或缺的角色之一，通过提供专业的旅游咨询服务，帮助客户选择最合适的旅行方案，不仅能够提升客户的旅行体验，还能增强公司品牌形象。作为旅游顾问，核心目标在于深入了解客户需求，结合市场上的旅游资源，…</x:v>
      </x:c>
      <x:c r="L290" s="26" t="str">
        <x:v>1. 通过电话、邮件或面对面的方式，积极主动地与潜在客户沟通，了解其旅行偏好及预算限制，推荐适合的旅游产品和服务。 2. 根据客户需求，制定详细的行程安排，包括交通、住宿、餐饮、景点游览等各个环节，确保整个旅程顺畅无阻。…</x:v>
      </x:c>
    </x:row>
    <x:row r="291" ht="72" customHeight="1">
      <x:c r="A291" s="25" t="n">
        <x:v>11183</x:v>
      </x:c>
      <x:c r="B291" s="25" t="str">
        <x:v>IC-L3-440</x:v>
      </x:c>
      <x:c r="C291" s="25" t="str">
        <x:v>海外销售</x:v>
      </x:c>
      <x:c r="D291" s="25" t="str">
        <x:v>4-01-02-01</x:v>
      </x:c>
      <x:c r="E291" s="25" t="str">
        <x:v>营销员</x:v>
      </x:c>
      <x:c r="F291" s="28" t="n">
        <x:f>COUNTIF('岗位-产业节点关系'!$C$4:$C$709,B291)</x:f>
        <x:v>0</x:v>
      </x:c>
      <x:c r="G291" s="26" t="str">
        <x:f>IF(F291=0,"未匹配（现有产业链范围未覆盖或证据不足）",IF(COUNTIFS('岗位-产业节点关系'!$C$4:$C$709,B291,'岗位-产业节点关系'!$M$4:$M$709,"低")&gt;0,"已匹配，建议复核","已匹配"))</x:f>
        <x:v>未匹配（现有产业链范围未覆盖或证据不足）</x:v>
      </x:c>
      <x:c r="H291" s="26" t="str">
        <x:v>-</x:v>
      </x:c>
      <x:c r="I291" s="26" t="str"/>
      <x:c r="J291" s="26" t="str"/>
      <x:c r="K291" s="26" t="str">
        <x:v>海外销售是销售/客服行业中至关重要的角色，它不仅代表了公司与国际市场之间的桥梁，还直接影响着企业的全球市场份额和品牌影响力。通过积极开拓海外市场，建立并维护良好的客户关系，该职位能够有效促进产品或服务的国际推广，实现销售…</x:v>
      </x:c>
      <x:c r="L291" s="26" t="str">
        <x:v>1. 负责制定并执行所辖区域的销售策略，定期分析市场趋势，确保完成年度销售目标。 2. 主动寻找潜在客户，通过电话、邮件等方式进行初步沟通，了解客户需求，提供专业的解决方案，促成订单签订。 3. 定期拜访现有客户，收集反…</x:v>
      </x:c>
    </x:row>
    <x:row r="292" ht="72" customHeight="1">
      <x:c r="A292" s="25" t="n">
        <x:v>11184</x:v>
      </x:c>
      <x:c r="B292" s="25" t="str">
        <x:v>IC-L3-441</x:v>
      </x:c>
      <x:c r="C292" s="25" t="str">
        <x:v>直播销售</x:v>
      </x:c>
      <x:c r="D292" s="25" t="str">
        <x:v>4-01-02-01</x:v>
      </x:c>
      <x:c r="E292" s="25" t="str">
        <x:v>营销员</x:v>
      </x:c>
      <x:c r="F292" s="28" t="n">
        <x:f>COUNTIF('岗位-产业节点关系'!$C$4:$C$709,B292)</x:f>
        <x:v>1</x:v>
      </x:c>
      <x:c r="G292" s="26" t="str">
        <x:f>IF(F292=0,"未匹配（现有产业链范围未覆盖或证据不足）",IF(COUNTIFS('岗位-产业节点关系'!$C$4:$C$709,B292,'岗位-产业节点关系'!$M$4:$M$709,"低")&gt;0,"已匹配，建议复核","已匹配"))</x:f>
        <x:v>已匹配</x:v>
      </x:c>
      <x:c r="H292" s="26" t="str">
        <x:v>中</x:v>
      </x:c>
      <x:c r="I292" s="26" t="str">
        <x:v>ICN003</x:v>
      </x:c>
      <x:c r="J292" s="26" t="str">
        <x:v>数据要素与数字经济产业链/下游/数字经济场景应用与内容创意</x:v>
      </x:c>
      <x:c r="K292" s="26" t="str">
        <x:v>随着互联网技术的发展和消费者习惯的变化，直播销售已成为销售/客服行业中不可或缺的一部分。作为连接品牌与消费者的桥梁，直播销售人员不仅能够实时解答客户疑问，还能通过生动有趣的互动方式提高产品的吸引力，增强品牌的市场竞争力。…</x:v>
      </x:c>
      <x:c r="L292" s="26" t="str">
        <x:v>1. 负责策划并执行线上直播活动，利用专业知识向观众介绍产品特点及优势，激发潜在客户的购买欲望。 2. 在直播过程中积极回应观众提问，提供专业咨询，解决顾客疑虑，确保直播氛围活跃且正面。 3. 定期分析直播数据，评估效果…</x:v>
      </x:c>
    </x:row>
    <x:row r="293" ht="72" customHeight="1">
      <x:c r="A293" s="25" t="n">
        <x:v>11185</x:v>
      </x:c>
      <x:c r="B293" s="25" t="str">
        <x:v>IC-L3-442</x:v>
      </x:c>
      <x:c r="C293" s="25" t="str">
        <x:v>经销商</x:v>
      </x:c>
      <x:c r="D293" s="25" t="str">
        <x:v>4-01-02-01</x:v>
      </x:c>
      <x:c r="E293" s="25" t="str">
        <x:v>营销员</x:v>
      </x:c>
      <x:c r="F293" s="28" t="n">
        <x:f>COUNTIF('岗位-产业节点关系'!$C$4:$C$709,B293)</x:f>
        <x:v>0</x:v>
      </x:c>
      <x:c r="G293" s="26" t="str">
        <x:f>IF(F293=0,"未匹配（现有产业链范围未覆盖或证据不足）",IF(COUNTIFS('岗位-产业节点关系'!$C$4:$C$709,B293,'岗位-产业节点关系'!$M$4:$M$709,"低")&gt;0,"已匹配，建议复核","已匹配"))</x:f>
        <x:v>未匹配（现有产业链范围未覆盖或证据不足）</x:v>
      </x:c>
      <x:c r="H293" s="26" t="str">
        <x:v>-</x:v>
      </x:c>
      <x:c r="I293" s="26" t="str"/>
      <x:c r="J293" s="26" t="str"/>
      <x:c r="K293" s="26" t="str">
        <x:v>作为销售领域的关键角色，经销商在推动产品和服务的市场渗透方面发挥着至关重要的作用。通过建立和维护与潜在客户及现有客户的良好关系，经销商不仅能够促进销售增长，还能够确保客户满意度，从而为企业创造长期价值。此外，经销商还需与…</x:v>
      </x:c>
      <x:c r="L293" s="26" t="str">
        <x:v>1. 开发新客户资源，积极寻找并接触潜在买家，扩大市场份额，确保完成公司设定的月度、季度及年度销售目标。 2. 与现有客户保持定期沟通，了解其需求变化，提供定制化解决方案，提高复购率，增强客户粘性。 3. 收集并分析市场…</x:v>
      </x:c>
    </x:row>
    <x:row r="294" ht="72" customHeight="1">
      <x:c r="A294" s="25" t="n">
        <x:v>11186</x:v>
      </x:c>
      <x:c r="B294" s="25" t="str">
        <x:v>IC-L3-443</x:v>
      </x:c>
      <x:c r="C294" s="25" t="str">
        <x:v>网络销售/在线销售</x:v>
      </x:c>
      <x:c r="D294" s="25" t="str">
        <x:v>4-01-02-01</x:v>
      </x:c>
      <x:c r="E294" s="25" t="str">
        <x:v>营销员</x:v>
      </x:c>
      <x:c r="F294" s="28" t="n">
        <x:f>COUNTIF('岗位-产业节点关系'!$C$4:$C$709,B294)</x:f>
        <x:v>1</x:v>
      </x:c>
      <x:c r="G294" s="26" t="str">
        <x:f>IF(F294=0,"未匹配（现有产业链范围未覆盖或证据不足）",IF(COUNTIFS('岗位-产业节点关系'!$C$4:$C$709,B294,'岗位-产业节点关系'!$M$4:$M$709,"低")&gt;0,"已匹配，建议复核","已匹配"))</x:f>
        <x:v>已匹配</x:v>
      </x:c>
      <x:c r="H294" s="26" t="str">
        <x:v>高</x:v>
      </x:c>
      <x:c r="I294" s="26" t="str">
        <x:v>ICN003</x:v>
      </x:c>
      <x:c r="J294" s="26" t="str">
        <x:v>数据要素与数字经济产业链/下游/数字经济场景应用与内容创意</x:v>
      </x:c>
      <x:c r="K294" s="26" t="str">
        <x:v>在网络销售/在线销售这一职位中，销售人员扮演着连接公司与客户的桥梁角色，是推动企业业绩增长的关键力量。随着互联网技术的发展，线上销售渠道的重要性日益凸显，优秀的网络销售人员能够帮助企业迅速适应市场变化，把握商业机会。 该…</x:v>
      </x:c>
      <x:c r="L294" s="26" t="str">
        <x:v>1. 利用各种在线平台主动寻找潜在客户，了解其需求并通过有效沟通促成订单。 2. 定期跟进已成交客户，收集反馈意见，及时解决他们在购买过程中遇到的问题，提高客户满意度。 3. 分析市场趋势和竞争对手动态，结合公司战略调整…</x:v>
      </x:c>
    </x:row>
    <x:row r="295" ht="72" customHeight="1">
      <x:c r="A295" s="25" t="n">
        <x:v>11187</x:v>
      </x:c>
      <x:c r="B295" s="25" t="str">
        <x:v>IC-L3-444</x:v>
      </x:c>
      <x:c r="C295" s="25" t="str">
        <x:v>销售代表</x:v>
      </x:c>
      <x:c r="D295" s="25" t="str">
        <x:v>4-01-02-01</x:v>
      </x:c>
      <x:c r="E295" s="25" t="str">
        <x:v>营销员</x:v>
      </x:c>
      <x:c r="F295" s="28" t="n">
        <x:f>COUNTIF('岗位-产业节点关系'!$C$4:$C$709,B295)</x:f>
        <x:v>0</x:v>
      </x:c>
      <x:c r="G295" s="26" t="str">
        <x:f>IF(F295=0,"未匹配（现有产业链范围未覆盖或证据不足）",IF(COUNTIFS('岗位-产业节点关系'!$C$4:$C$709,B295,'岗位-产业节点关系'!$M$4:$M$709,"低")&gt;0,"已匹配，建议复核","已匹配"))</x:f>
        <x:v>未匹配（现有产业链范围未覆盖或证据不足）</x:v>
      </x:c>
      <x:c r="H295" s="26" t="str">
        <x:v>-</x:v>
      </x:c>
      <x:c r="I295" s="26" t="str"/>
      <x:c r="J295" s="26" t="str"/>
      <x:c r="K295" s="26" t="str">
        <x:v>销售代表是销售/客服行业中不可或缺的角色之一，他们通过与客户建立良好的关系，推动产品或服务的销售，对于公司业务的增长和发展起着至关重要的作用。作为连接企业与市场的桥梁，销售代表不仅需要具备出色的沟通技巧和服务意识，还需要…</x:v>
      </x:c>
      <x:c r="L295" s="26" t="str">
        <x:v>1. 负责开发新客户资源，通过电话拜访、线上交流等方式主动接触潜在客户，了解客户需求，提供个性化的产品解决方案。 2. 定期跟进现有客户，维护良好关系，及时反馈客户意见和建议，确保客户满意并促进复购率。 3. 分析市场动…</x:v>
      </x:c>
    </x:row>
    <x:row r="296" ht="72" customHeight="1">
      <x:c r="A296" s="25" t="n">
        <x:v>11188</x:v>
      </x:c>
      <x:c r="B296" s="25" t="str">
        <x:v>IC-L3-445</x:v>
      </x:c>
      <x:c r="C296" s="25" t="str">
        <x:v>销售工程师</x:v>
      </x:c>
      <x:c r="D296" s="25" t="str">
        <x:v>4-04-05-01</x:v>
      </x:c>
      <x:c r="E296" s="25" t="str">
        <x:v>计算机程序设计员</x:v>
      </x:c>
      <x:c r="F296" s="28" t="n">
        <x:f>COUNTIF('岗位-产业节点关系'!$C$4:$C$709,B296)</x:f>
        <x:v>0</x:v>
      </x:c>
      <x:c r="G296" s="26" t="str">
        <x:f>IF(F296=0,"未匹配（现有产业链范围未覆盖或证据不足）",IF(COUNTIFS('岗位-产业节点关系'!$C$4:$C$709,B296,'岗位-产业节点关系'!$M$4:$M$709,"低")&gt;0,"已匹配，建议复核","已匹配"))</x:f>
        <x:v>未匹配（现有产业链范围未覆盖或证据不足）</x:v>
      </x:c>
      <x:c r="H296" s="26" t="str">
        <x:v>-</x:v>
      </x:c>
      <x:c r="I296" s="26" t="str"/>
      <x:c r="J296" s="26" t="str"/>
      <x:c r="K296" s="26" t="str">
        <x:v>销售工程师在销售/客服行业中扮演着至关重要的角色，他们不仅是公司与客户之间沟通的桥梁，也是技术与市场信息传递的关键节点。通过深入了解客户需求并提供定制化的解决方案，销售工程师能够有效促进产品或服务的销售，提升公司在目标市…</x:v>
      </x:c>
      <x:c r="L296" s="26" t="str">
        <x:v>1. 负责开发新客户资源，维护现有客户关系，定期拜访客户，了解其需求变化，及时反馈至相关部门，以提高客户满意度和忠诚度。 2. 根据公司年度销售计划，制定个人月度及季度销售目标，通过有效沟通技巧和谈判策略，完成既定业绩指…</x:v>
      </x:c>
    </x:row>
    <x:row r="297" ht="72" customHeight="1">
      <x:c r="A297" s="25" t="n">
        <x:v>11189</x:v>
      </x:c>
      <x:c r="B297" s="25" t="str">
        <x:v>IC-L3-446</x:v>
      </x:c>
      <x:c r="C297" s="25" t="str">
        <x:v>门店销售</x:v>
      </x:c>
      <x:c r="D297" s="25" t="str">
        <x:v>4-01-02-01</x:v>
      </x:c>
      <x:c r="E297" s="25" t="str">
        <x:v>营销员</x:v>
      </x:c>
      <x:c r="F297" s="28" t="n">
        <x:f>COUNTIF('岗位-产业节点关系'!$C$4:$C$709,B297)</x:f>
        <x:v>0</x:v>
      </x:c>
      <x:c r="G297" s="26" t="str">
        <x:f>IF(F297=0,"未匹配（现有产业链范围未覆盖或证据不足）",IF(COUNTIFS('岗位-产业节点关系'!$C$4:$C$709,B297,'岗位-产业节点关系'!$M$4:$M$709,"低")&gt;0,"已匹配，建议复核","已匹配"))</x:f>
        <x:v>未匹配（现有产业链范围未覆盖或证据不足）</x:v>
      </x:c>
      <x:c r="H297" s="26" t="str">
        <x:v>-</x:v>
      </x:c>
      <x:c r="I297" s="26" t="str"/>
      <x:c r="J297" s="26" t="str"/>
      <x:c r="K297" s="26" t="str">
        <x:v>门店销售是销售/客服行业中至关重要的一环，作为与客户直接接触的第一线，其不仅代表了企业的形象，也是连接产品与消费者的关键桥梁。通过专业的销售技巧和服务态度，门店销售人员能够有效提升顾客满意度，促进产品销售，从而为企业创造…</x:v>
      </x:c>
      <x:c r="L297" s="26" t="str">
        <x:v>1. 以热情友好的态度接待每一位进店顾客，详细介绍公司产品特点及优势，解答客户疑问，激发购买兴趣，提高成交率。 2. 定期参加内部培训，不断提升自身专业知识水平和服务技能，确保能够准确把握客户需求并提供个性化推荐方案。 …</x:v>
      </x:c>
    </x:row>
    <x:row r="298" ht="72" customHeight="1">
      <x:c r="A298" s="25" t="n">
        <x:v>11190</x:v>
      </x:c>
      <x:c r="B298" s="25" t="str">
        <x:v>IC-L3-447</x:v>
      </x:c>
      <x:c r="C298" s="25" t="str">
        <x:v>销售经理</x:v>
      </x:c>
      <x:c r="D298" s="25" t="str">
        <x:v>4-01-02-01</x:v>
      </x:c>
      <x:c r="E298" s="25" t="str">
        <x:v>营销员</x:v>
      </x:c>
      <x:c r="F298" s="28" t="n">
        <x:f>COUNTIF('岗位-产业节点关系'!$C$4:$C$709,B298)</x:f>
        <x:v>0</x:v>
      </x:c>
      <x:c r="G298" s="26" t="str">
        <x:f>IF(F298=0,"未匹配（现有产业链范围未覆盖或证据不足）",IF(COUNTIFS('岗位-产业节点关系'!$C$4:$C$709,B298,'岗位-产业节点关系'!$M$4:$M$709,"低")&gt;0,"已匹配，建议复核","已匹配"))</x:f>
        <x:v>未匹配（现有产业链范围未覆盖或证据不足）</x:v>
      </x:c>
      <x:c r="H298" s="26" t="str">
        <x:v>-</x:v>
      </x:c>
      <x:c r="I298" s="26" t="str"/>
      <x:c r="J298" s="26" t="str"/>
      <x:c r="K298" s="26" t="str">
        <x:v>销售经理是专门从事销售团队管理与业务拓展的专业人员。该职位的核心目标是通过制定销售策略和领导销售团队，实现公司业绩目标与市场份额增长。在日常工作中，需要进行客户开发、销售计划制定、团队绩效管理及市场分析等工作。</x:v>
      </x:c>
      <x:c r="L298" s="26" t="str">
        <x:v>1. 制定销售策略 2. 管理销售团队 3. 开拓新客户资源 4. 维护重要客户关系 5. 完成销售目标 6. 分析市场趋势</x:v>
      </x:c>
    </x:row>
    <x:row r="299" ht="72" customHeight="1">
      <x:c r="A299" s="25" t="n">
        <x:v>11191</x:v>
      </x:c>
      <x:c r="B299" s="25" t="str">
        <x:v>IC-L3-448</x:v>
      </x:c>
      <x:c r="C299" s="25" t="str">
        <x:v>区域销售经理</x:v>
      </x:c>
      <x:c r="D299" s="25" t="str">
        <x:v>4-01-02-01</x:v>
      </x:c>
      <x:c r="E299" s="25" t="str">
        <x:v>营销员</x:v>
      </x:c>
      <x:c r="F299" s="28" t="n">
        <x:f>COUNTIF('岗位-产业节点关系'!$C$4:$C$709,B299)</x:f>
        <x:v>0</x:v>
      </x:c>
      <x:c r="G299" s="26" t="str">
        <x:f>IF(F299=0,"未匹配（现有产业链范围未覆盖或证据不足）",IF(COUNTIFS('岗位-产业节点关系'!$C$4:$C$709,B299,'岗位-产业节点关系'!$M$4:$M$709,"低")&gt;0,"已匹配，建议复核","已匹配"))</x:f>
        <x:v>未匹配（现有产业链范围未覆盖或证据不足）</x:v>
      </x:c>
      <x:c r="H299" s="26" t="str">
        <x:v>-</x:v>
      </x:c>
      <x:c r="I299" s="26" t="str"/>
      <x:c r="J299" s="26" t="str"/>
      <x:c r="K299" s="26" t="str">
        <x:v>区域销售经理是专门负责特定区域市场开发与管理的专业销售人员。该职位的核心目标是通过制定区域销售策略，实现销售目标并扩大市场份额。在日常工作中，需要进行客户开发与维护、销售团队管理、市场数据分析以及销售业绩跟踪等工作。</x:v>
      </x:c>
      <x:c r="L299" s="26" t="str">
        <x:v>1. 制定销售目标 2. 开拓区域市场 3. 维护客户关系 4. 管理销售团队 5. 分析市场数据 6. 完成业绩指标</x:v>
      </x:c>
    </x:row>
    <x:row r="300" ht="72" customHeight="1">
      <x:c r="A300" s="25" t="n">
        <x:v>11192</x:v>
      </x:c>
      <x:c r="B300" s="25" t="str">
        <x:v>IC-L3-449</x:v>
      </x:c>
      <x:c r="C300" s="25" t="str">
        <x:v>销售总监</x:v>
      </x:c>
      <x:c r="D300" s="25" t="str">
        <x:v>4-01-02-01</x:v>
      </x:c>
      <x:c r="E300" s="25" t="str">
        <x:v>营销员</x:v>
      </x:c>
      <x:c r="F300" s="28" t="n">
        <x:f>COUNTIF('岗位-产业节点关系'!$C$4:$C$709,B300)</x:f>
        <x:v>0</x:v>
      </x:c>
      <x:c r="G300" s="26" t="str">
        <x:f>IF(F300=0,"未匹配（现有产业链范围未覆盖或证据不足）",IF(COUNTIFS('岗位-产业节点关系'!$C$4:$C$709,B300,'岗位-产业节点关系'!$M$4:$M$709,"低")&gt;0,"已匹配，建议复核","已匹配"))</x:f>
        <x:v>未匹配（现有产业链范围未覆盖或证据不足）</x:v>
      </x:c>
      <x:c r="H300" s="26" t="str">
        <x:v>-</x:v>
      </x:c>
      <x:c r="I300" s="26" t="str"/>
      <x:c r="J300" s="26" t="str"/>
      <x:c r="K300" s="26" t="str">
        <x:v>销售总监是专门负责企业销售战略规划与执行的高级管理人员。该职位的核心目标是通过制定销售策略、优化销售流程，实现公司业绩目标与市场份额增长。在日常工作中，需要进行销售团队管理、市场分析、客户关系维护及销售目标达成等工作。</x:v>
      </x:c>
      <x:c r="L300" s="26" t="str">
        <x:v>1. 制定销售战略 2. 管理销售团队 3. 达成业绩目标 4. 开拓市场渠道 5. 维护客户关系 6. 分析销售数据</x:v>
      </x:c>
    </x:row>
    <x:row r="301" ht="72" customHeight="1">
      <x:c r="A301" s="25" t="n">
        <x:v>11193</x:v>
      </x:c>
      <x:c r="B301" s="25" t="str">
        <x:v>IC-L3-450</x:v>
      </x:c>
      <x:c r="C301" s="25" t="str">
        <x:v>销售助理</x:v>
      </x:c>
      <x:c r="D301" s="25" t="str">
        <x:v>4-01-02-01</x:v>
      </x:c>
      <x:c r="E301" s="25" t="str">
        <x:v>营销员</x:v>
      </x:c>
      <x:c r="F301" s="28" t="n">
        <x:f>COUNTIF('岗位-产业节点关系'!$C$4:$C$709,B301)</x:f>
        <x:v>0</x:v>
      </x:c>
      <x:c r="G301" s="26" t="str">
        <x:f>IF(F301=0,"未匹配（现有产业链范围未覆盖或证据不足）",IF(COUNTIFS('岗位-产业节点关系'!$C$4:$C$709,B301,'岗位-产业节点关系'!$M$4:$M$709,"低")&gt;0,"已匹配，建议复核","已匹配"))</x:f>
        <x:v>未匹配（现有产业链范围未覆盖或证据不足）</x:v>
      </x:c>
      <x:c r="H301" s="26" t="str">
        <x:v>-</x:v>
      </x:c>
      <x:c r="I301" s="26" t="str"/>
      <x:c r="J301" s="26" t="str"/>
      <x:c r="K301" s="26" t="str">
        <x:v>销售助理是专门从事销售支持工作的专业人员。该职位的核心目标是通过高效的后勤保障和客户服务，协助销售团队提升业绩。在日常工作中，需要进行订单处理、客户资料管理、销售数据统计及部门协调等工作。</x:v>
      </x:c>
      <x:c r="L301" s="26" t="str">
        <x:v>1. 协助销售团队工作 2. 处理销售订单流程 3. 维护客户资料信息 4. 准备销售数据报表 5. 跟进客户售后服务 6. 协调部门沟通对接</x:v>
      </x:c>
    </x:row>
    <x:row r="302" ht="72" customHeight="1">
      <x:c r="A302" s="25" t="n">
        <x:v>11194</x:v>
      </x:c>
      <x:c r="B302" s="25" t="str">
        <x:v>IC-L3-451</x:v>
      </x:c>
      <x:c r="C302" s="25" t="str">
        <x:v>通信销售工程师</x:v>
      </x:c>
      <x:c r="D302" s="25" t="str">
        <x:v>4-04-05-01</x:v>
      </x:c>
      <x:c r="E302" s="25" t="str">
        <x:v>计算机程序设计员</x:v>
      </x:c>
      <x:c r="F302" s="28" t="n">
        <x:f>COUNTIF('岗位-产业节点关系'!$C$4:$C$709,B302)</x:f>
        <x:v>1</x:v>
      </x:c>
      <x:c r="G302" s="26" t="str">
        <x:f>IF(F302=0,"未匹配（现有产业链范围未覆盖或证据不足）",IF(COUNTIFS('岗位-产业节点关系'!$C$4:$C$709,B302,'岗位-产业节点关系'!$M$4:$M$709,"低")&gt;0,"已匹配，建议复核","已匹配"))</x:f>
        <x:v>已匹配</x:v>
      </x:c>
      <x:c r="H302" s="26" t="str">
        <x:v>中</x:v>
      </x:c>
      <x:c r="I302" s="26" t="str">
        <x:v>ICN030</x:v>
      </x:c>
      <x:c r="J302" s="26" t="str">
        <x:v>新一代信息基础设施产业链/下游/云网算服务与行业数字化支撑</x:v>
      </x:c>
      <x:c r="K302" s="26" t="str">
        <x:v>通信销售工程师是专门从事通信产品及解决方案销售的专业人员。该职位的核心目标是通过客户需求分析和技术销售，实现通信产品销售业绩增长。在日常工作中，需要进行客户拜访、技术方案演示、商务谈判及合同签订等工作。</x:v>
      </x:c>
      <x:c r="L302" s="26" t="str">
        <x:v>1. 开发通信行业客户 2. 推广公司通信产品 3. 维护重点客户关系 4. 完成销售业绩指标 5. 跟踪通信项目进展 6. 收集市场竞品信息</x:v>
      </x:c>
    </x:row>
    <x:row r="303" ht="72" customHeight="1">
      <x:c r="A303" s="25" t="n">
        <x:v>11195</x:v>
      </x:c>
      <x:c r="B303" s="25" t="str">
        <x:v>IC-L3-452</x:v>
      </x:c>
      <x:c r="C303" s="25" t="str">
        <x:v>售前技术支持工程师</x:v>
      </x:c>
      <x:c r="D303" s="25" t="str">
        <x:v>4-04-05-01</x:v>
      </x:c>
      <x:c r="E303" s="25" t="str">
        <x:v>计算机程序设计员</x:v>
      </x:c>
      <x:c r="F303" s="28" t="n">
        <x:f>COUNTIF('岗位-产业节点关系'!$C$4:$C$709,B303)</x:f>
        <x:v>0</x:v>
      </x:c>
      <x:c r="G303" s="26" t="str">
        <x:f>IF(F303=0,"未匹配（现有产业链范围未覆盖或证据不足）",IF(COUNTIFS('岗位-产业节点关系'!$C$4:$C$709,B303,'岗位-产业节点关系'!$M$4:$M$709,"低")&gt;0,"已匹配，建议复核","已匹配"))</x:f>
        <x:v>未匹配（现有产业链范围未覆盖或证据不足）</x:v>
      </x:c>
      <x:c r="H303" s="26" t="str">
        <x:v>-</x:v>
      </x:c>
      <x:c r="I303" s="26" t="str"/>
      <x:c r="J303" s="26" t="str"/>
      <x:c r="K303" s="26" t="str">
        <x:v>售前技术支持工程师是销售/客服行业中不可或缺的角色，主要负责在销售过程中提供技术层面的支持与服务，确保客户获得准确的产品信息和技术解决方案。这一职位不仅要求具备扎实的技术背景，还需要拥有良好的沟通技巧和项目管理能力，以便…</x:v>
      </x:c>
      <x:c r="L303" s="26" t="str">
        <x:v>1. 负责收集并分析潜在客户的业务需求，评估其技术可行性，提供专业的技术咨询和服务。 2. 协助销售团队准备技术文档、提案及报价单，确保资料的准确性与完整性。 3. 参与客户现场交流会议，展示公司产品或解决方案的优势，解…</x:v>
      </x:c>
    </x:row>
    <x:row r="304" ht="72" customHeight="1">
      <x:c r="A304" s="25" t="n">
        <x:v>11196</x:v>
      </x:c>
      <x:c r="B304" s="25" t="str">
        <x:v>IC-L3-453</x:v>
      </x:c>
      <x:c r="C304" s="25" t="str">
        <x:v>售前技术支持经理/主管</x:v>
      </x:c>
      <x:c r="D304" s="25" t="str">
        <x:v>4-04-05-01</x:v>
      </x:c>
      <x:c r="E304" s="25" t="str">
        <x:v>计算机程序设计员</x:v>
      </x:c>
      <x:c r="F304" s="28" t="n">
        <x:f>COUNTIF('岗位-产业节点关系'!$C$4:$C$709,B304)</x:f>
        <x:v>0</x:v>
      </x:c>
      <x:c r="G304" s="26" t="str">
        <x:f>IF(F304=0,"未匹配（现有产业链范围未覆盖或证据不足）",IF(COUNTIFS('岗位-产业节点关系'!$C$4:$C$709,B304,'岗位-产业节点关系'!$M$4:$M$709,"低")&gt;0,"已匹配，建议复核","已匹配"))</x:f>
        <x:v>未匹配（现有产业链范围未覆盖或证据不足）</x:v>
      </x:c>
      <x:c r="H304" s="26" t="str">
        <x:v>-</x:v>
      </x:c>
      <x:c r="I304" s="26" t="str"/>
      <x:c r="J304" s="26" t="str"/>
      <x:c r="K304" s="26" t="str">
        <x:v>售前技术支持经理/主管是销售与技术之间的桥梁，在销售/客服行业中扮演着至关重要的角色。通过将复杂的技术概念转化为易于理解的信息，帮助客户做出明智的决策，从而促进销售过程。这一职位不仅能够提升客户的满意度，还能显著提高销售…</x:v>
      </x:c>
      <x:c r="L304" s="26" t="str">
        <x:v>1. 与销售团队密切配合，参与客户沟通会议，了解客户需求并提供专业的技术咨询，以支持销售活动的顺利开展。 2. 根据客户需求制定详细的技术解决方案，包括但不限于产品选型建议、系统架构设计等，确保方案的可行性及竞争力。 3…</x:v>
      </x:c>
    </x:row>
    <x:row r="305" ht="72" customHeight="1">
      <x:c r="A305" s="25" t="n">
        <x:v>11197</x:v>
      </x:c>
      <x:c r="B305" s="25" t="str">
        <x:v>IC-L3-454</x:v>
      </x:c>
      <x:c r="C305" s="25" t="str">
        <x:v>售后技术支持工程师</x:v>
      </x:c>
      <x:c r="D305" s="25" t="str">
        <x:v>4-04-05-01</x:v>
      </x:c>
      <x:c r="E305" s="25" t="str">
        <x:v>计算机程序设计员</x:v>
      </x:c>
      <x:c r="F305" s="28" t="n">
        <x:f>COUNTIF('岗位-产业节点关系'!$C$4:$C$709,B305)</x:f>
        <x:v>0</x:v>
      </x:c>
      <x:c r="G305" s="26" t="str">
        <x:f>IF(F305=0,"未匹配（现有产业链范围未覆盖或证据不足）",IF(COUNTIFS('岗位-产业节点关系'!$C$4:$C$709,B305,'岗位-产业节点关系'!$M$4:$M$709,"低")&gt;0,"已匹配，建议复核","已匹配"))</x:f>
        <x:v>未匹配（现有产业链范围未覆盖或证据不足）</x:v>
      </x:c>
      <x:c r="H305" s="26" t="str">
        <x:v>-</x:v>
      </x:c>
      <x:c r="I305" s="26" t="str"/>
      <x:c r="J305" s="26" t="str"/>
      <x:c r="K305" s="26" t="str">
        <x:v>售后技术支持工程师是销售/客服行业中不可或缺的角色，他们通过提供专业的技术支持服务，确保客户能够顺利使用公司产品或服务，从而提高客户满意度和忠诚度。在企业中，售后技术支持工程师的主要目标是解决客户在使用过程中遇到的技术问…</x:v>
      </x:c>
      <x:c r="L305" s="26" t="str">
        <x:v>1. 负责解答客户关于产品功能、操作方法等方面的技术咨询，确保客户获得及时有效的解决方案，提升客户体验。 2. 对客户反馈的产品故障进行远程诊断或现场排查，快速定位问题原因并实施修复措施，缩短故障处理时间。 3. 定期收…</x:v>
      </x:c>
    </x:row>
    <x:row r="306" ht="72" customHeight="1">
      <x:c r="A306" s="25" t="n">
        <x:v>11198</x:v>
      </x:c>
      <x:c r="B306" s="25" t="str">
        <x:v>IC-L3-455</x:v>
      </x:c>
      <x:c r="C306" s="25" t="str">
        <x:v>解决方案经理</x:v>
      </x:c>
      <x:c r="D306" s="25" t="str">
        <x:v>4-01-02-01</x:v>
      </x:c>
      <x:c r="E306" s="25" t="str">
        <x:v>营销员</x:v>
      </x:c>
      <x:c r="F306" s="28" t="n">
        <x:f>COUNTIF('岗位-产业节点关系'!$C$4:$C$709,B306)</x:f>
        <x:v>0</x:v>
      </x:c>
      <x:c r="G306" s="26" t="str">
        <x:f>IF(F306=0,"未匹配（现有产业链范围未覆盖或证据不足）",IF(COUNTIFS('岗位-产业节点关系'!$C$4:$C$709,B306,'岗位-产业节点关系'!$M$4:$M$709,"低")&gt;0,"已匹配，建议复核","已匹配"))</x:f>
        <x:v>未匹配（现有产业链范围未覆盖或证据不足）</x:v>
      </x:c>
      <x:c r="H306" s="26" t="str">
        <x:v>-</x:v>
      </x:c>
      <x:c r="I306" s="26" t="str"/>
      <x:c r="J306" s="26" t="str"/>
      <x:c r="K306" s="26" t="str">
        <x:v>解决方案经理是销售/客服行业中不可或缺的角色，负责将技术与客户需求相结合，提供定制化的解决方案。这一职位不仅要求具备深厚的技术背景，还需要出色的沟通能力和市场洞察力，以确保所提供的方案能够满足客户的需求并推动销售增长。作…</x:v>
      </x:c>
      <x:c r="L306" s="26" t="str">
        <x:v>1. 负责与潜在客户进行初步接触，准确把握其业务需求和技术要求，提出合理化建议。 2. 与产品开发团队合作，根据客户需求定制解决方案，包括但不限于技术方案撰写、成本预算编制等工作。 3. 在项目执行过程中，持续跟踪项目进…</x:v>
      </x:c>
    </x:row>
    <x:row r="307" ht="72" customHeight="1">
      <x:c r="A307" s="25" t="n">
        <x:v>11199</x:v>
      </x:c>
      <x:c r="B307" s="25" t="str">
        <x:v>IC-L3-456</x:v>
      </x:c>
      <x:c r="C307" s="25" t="str">
        <x:v>业务分析专员/助理</x:v>
      </x:c>
      <x:c r="D307" s="25" t="str">
        <x:v>3-01-02-02</x:v>
      </x:c>
      <x:c r="E307" s="25" t="str">
        <x:v>秘书</x:v>
      </x:c>
      <x:c r="F307" s="28" t="n">
        <x:f>COUNTIF('岗位-产业节点关系'!$C$4:$C$709,B307)</x:f>
        <x:v>0</x:v>
      </x:c>
      <x:c r="G307" s="26" t="str">
        <x:f>IF(F307=0,"未匹配（现有产业链范围未覆盖或证据不足）",IF(COUNTIFS('岗位-产业节点关系'!$C$4:$C$709,B307,'岗位-产业节点关系'!$M$4:$M$709,"低")&gt;0,"已匹配，建议复核","已匹配"))</x:f>
        <x:v>未匹配（现有产业链范围未覆盖或证据不足）</x:v>
      </x:c>
      <x:c r="H307" s="26" t="str">
        <x:v>-</x:v>
      </x:c>
      <x:c r="I307" s="26" t="str"/>
      <x:c r="J307" s="26" t="str"/>
      <x:c r="K307" s="26" t="str">
        <x:v>业务分析专员/助理在销售与客服行业中扮演着至关重要的角色。通过数据分析，他们能够洞察市场趋势、客户行为以及内部流程效率，为企业决策提供科学依据。此职位不仅促进了销售策略的有效实施，还提高了客户服务的质量和满意度，是连接前…</x:v>
      </x:c>
      <x:c r="L307" s="26" t="str">
        <x:v>1. 收集并整理来自不同渠道的数据，运用统计工具进行深度分析，以识别销售模式、客户需求变化及潜在问题，为优化销售流程提供建议。 2. 定期编制业务报告，包括但不限于销售额、市场份额、客户反馈等关键指标，确保管理层及时了解…</x:v>
      </x:c>
    </x:row>
    <x:row r="308" ht="72" customHeight="1">
      <x:c r="A308" s="25" t="n">
        <x:v>11200</x:v>
      </x:c>
      <x:c r="B308" s="25" t="str">
        <x:v>IC-L3-457</x:v>
      </x:c>
      <x:c r="C308" s="25" t="str">
        <x:v>业务分析经理/主管</x:v>
      </x:c>
      <x:c r="D308" s="25" t="str">
        <x:v>3-01-02-02</x:v>
      </x:c>
      <x:c r="E308" s="25" t="str">
        <x:v>秘书</x:v>
      </x:c>
      <x:c r="F308" s="28" t="n">
        <x:f>COUNTIF('岗位-产业节点关系'!$C$4:$C$709,B308)</x:f>
        <x:v>0</x:v>
      </x:c>
      <x:c r="G308" s="26" t="str">
        <x:f>IF(F308=0,"未匹配（现有产业链范围未覆盖或证据不足）",IF(COUNTIFS('岗位-产业节点关系'!$C$4:$C$709,B308,'岗位-产业节点关系'!$M$4:$M$709,"低")&gt;0,"已匹配，建议复核","已匹配"))</x:f>
        <x:v>未匹配（现有产业链范围未覆盖或证据不足）</x:v>
      </x:c>
      <x:c r="H308" s="26" t="str">
        <x:v>-</x:v>
      </x:c>
      <x:c r="I308" s="26" t="str"/>
      <x:c r="J308" s="26" t="str"/>
      <x:c r="K308" s="26" t="str">
        <x:v>业务分析经理/主管在销售/客服行业中扮演着至关重要的角色。通过深入分析市场动态、竞争对手情况以及内部运营数据，他们为企业提供战略性的洞察与建议，帮助公司在竞争激烈的市场环境中保持领先地位。此外，该职位还负责监控关键业务指…</x:v>
      </x:c>
      <x:c r="L308" s="26" t="str">
        <x:v>1. 负责收集、整理并分析来自多个渠道的销售数据，定期编制详细的业务报告，为管理层提供准确的数据支持。 2. 与销售团队密切合作，运用先进的分析工具和技术评估销售活动的效果，提出改进建议以提高转化率和客户忠诚度。 3. …</x:v>
      </x:c>
    </x:row>
    <x:row r="309" ht="72" customHeight="1">
      <x:c r="A309" s="25" t="n">
        <x:v>11201</x:v>
      </x:c>
      <x:c r="B309" s="25" t="str">
        <x:v>IC-L3-458</x:v>
      </x:c>
      <x:c r="C309" s="25" t="str">
        <x:v>商务专员</x:v>
      </x:c>
      <x:c r="D309" s="25" t="str">
        <x:v>4-01-02-01</x:v>
      </x:c>
      <x:c r="E309" s="25" t="str">
        <x:v>营销员</x:v>
      </x:c>
      <x:c r="F309" s="28" t="n">
        <x:f>COUNTIF('岗位-产业节点关系'!$C$4:$C$709,B309)</x:f>
        <x:v>0</x:v>
      </x:c>
      <x:c r="G309" s="26" t="str">
        <x:f>IF(F309=0,"未匹配（现有产业链范围未覆盖或证据不足）",IF(COUNTIFS('岗位-产业节点关系'!$C$4:$C$709,B309,'岗位-产业节点关系'!$M$4:$M$709,"低")&gt;0,"已匹配，建议复核","已匹配"))</x:f>
        <x:v>未匹配（现有产业链范围未覆盖或证据不足）</x:v>
      </x:c>
      <x:c r="H309" s="26" t="str">
        <x:v>-</x:v>
      </x:c>
      <x:c r="I309" s="26" t="str"/>
      <x:c r="J309" s="26" t="str"/>
      <x:c r="K309" s="26" t="str">
        <x:v>商务专员是销售行政及商务方向中的关键角色，其在企业与客户之间搭建了沟通的桥梁，确保双方信息的准确传达和有效合作。该职位不仅需要具备出色的沟通协调能力，还需要熟悉行业动态和市场趋势，以便更好地服务于客户并推动业务发展。 该…</x:v>
      </x:c>
      <x:c r="L309" s="26" t="str">
        <x:v>1. 负责客户关系维护，定期跟进客户需求，及时反馈并解决问题，提高客户满意度。 2. 协助销售团队完成合同签订、价格谈判等工作，确保合同条款合理合法，保障公司利益。 3. 管理订单执行情况，跟踪生产进度，协调物流配送，保…</x:v>
      </x:c>
    </x:row>
    <x:row r="310" ht="72" customHeight="1">
      <x:c r="A310" s="25" t="n">
        <x:v>11202</x:v>
      </x:c>
      <x:c r="B310" s="25" t="str">
        <x:v>IC-L3-459</x:v>
      </x:c>
      <x:c r="C310" s="25" t="str">
        <x:v>商务主管</x:v>
      </x:c>
      <x:c r="D310" s="25" t="str">
        <x:v>4-01-02-01</x:v>
      </x:c>
      <x:c r="E310" s="25" t="str">
        <x:v>营销员</x:v>
      </x:c>
      <x:c r="F310" s="28" t="n">
        <x:f>COUNTIF('岗位-产业节点关系'!$C$4:$C$709,B310)</x:f>
        <x:v>0</x:v>
      </x:c>
      <x:c r="G310" s="26" t="str">
        <x:f>IF(F310=0,"未匹配（现有产业链范围未覆盖或证据不足）",IF(COUNTIFS('岗位-产业节点关系'!$C$4:$C$709,B310,'岗位-产业节点关系'!$M$4:$M$709,"低")&gt;0,"已匹配，建议复核","已匹配"))</x:f>
        <x:v>未匹配（现有产业链范围未覆盖或证据不足）</x:v>
      </x:c>
      <x:c r="H310" s="26" t="str">
        <x:v>-</x:v>
      </x:c>
      <x:c r="I310" s="26" t="str"/>
      <x:c r="J310" s="26" t="str"/>
      <x:c r="K310" s="26" t="str">
        <x:v>商务主管是销售/客服行业中不可或缺的角色，主要负责协调公司内部资源与外部客户之间的沟通桥梁，确保商务活动顺利进行。通过有效的商务管理，能够提升客户满意度和忠诚度，同时为企业创造更多的商业机会。 该职位的核心目标在于优化业…</x:v>
      </x:c>
      <x:c r="L310" s="26" t="str">
        <x:v>1. 负责维护和拓展公司与客户的合作关系，定期拜访重点客户，了解其需求变化，及时调整服务方案，以提高客户满意度。 2. 制定并执行年度销售计划，监督销售团队完成销售任务，分析销售数据，为决策提供依据。 3. 组织并参与商…</x:v>
      </x:c>
    </x:row>
    <x:row r="311" ht="72" customHeight="1">
      <x:c r="A311" s="25" t="n">
        <x:v>11203</x:v>
      </x:c>
      <x:c r="B311" s="25" t="str">
        <x:v>IC-L3-460</x:v>
      </x:c>
      <x:c r="C311" s="25" t="str">
        <x:v>商务助理</x:v>
      </x:c>
      <x:c r="D311" s="25" t="str">
        <x:v>4-01-02-01</x:v>
      </x:c>
      <x:c r="E311" s="25" t="str">
        <x:v>营销员</x:v>
      </x:c>
      <x:c r="F311" s="28" t="n">
        <x:f>COUNTIF('岗位-产业节点关系'!$C$4:$C$709,B311)</x:f>
        <x:v>0</x:v>
      </x:c>
      <x:c r="G311" s="26" t="str">
        <x:f>IF(F311=0,"未匹配（现有产业链范围未覆盖或证据不足）",IF(COUNTIFS('岗位-产业节点关系'!$C$4:$C$709,B311,'岗位-产业节点关系'!$M$4:$M$709,"低")&gt;0,"已匹配，建议复核","已匹配"))</x:f>
        <x:v>未匹配（现有产业链范围未覆盖或证据不足）</x:v>
      </x:c>
      <x:c r="H311" s="26" t="str">
        <x:v>-</x:v>
      </x:c>
      <x:c r="I311" s="26" t="str"/>
      <x:c r="J311" s="26" t="str"/>
      <x:c r="K311" s="26" t="str">
        <x:v>商务助理在销售/客服行业中扮演着至关重要的角色，是企业与客户之间沟通的桥梁。通过维护良好的客户关系、支持销售团队完成交易以及处理日常行政事务，商务助理能够确保业务流程顺畅，提升客户满意度。同时，该职位还负责协调内部资源，…</x:v>
      </x:c>
      <x:c r="L311" s="26" t="str">
        <x:v>1. 协助销售团队进行客户拜访，记录会议纪要，跟踪后续行动，确保销售机会得到有效跟进。 2. 负责整理并分析销售数据，定期编制销售报告，为管理层决策提供准确依据。 3. 管理合同签订过程，包括草拟合同条款、审核合同内容以…</x:v>
      </x:c>
    </x:row>
    <x:row r="312" ht="72" customHeight="1">
      <x:c r="A312" s="25" t="n">
        <x:v>11204</x:v>
      </x:c>
      <x:c r="B312" s="25" t="str">
        <x:v>IC-L3-461</x:v>
      </x:c>
      <x:c r="C312" s="25" t="str">
        <x:v>商务经理</x:v>
      </x:c>
      <x:c r="D312" s="25" t="str">
        <x:v>4-01-02-01</x:v>
      </x:c>
      <x:c r="E312" s="25" t="str">
        <x:v>营销员</x:v>
      </x:c>
      <x:c r="F312" s="28" t="n">
        <x:f>COUNTIF('岗位-产业节点关系'!$C$4:$C$709,B312)</x:f>
        <x:v>0</x:v>
      </x:c>
      <x:c r="G312" s="26" t="str">
        <x:f>IF(F312=0,"未匹配（现有产业链范围未覆盖或证据不足）",IF(COUNTIFS('岗位-产业节点关系'!$C$4:$C$709,B312,'岗位-产业节点关系'!$M$4:$M$709,"低")&gt;0,"已匹配，建议复核","已匹配"))</x:f>
        <x:v>未匹配（现有产业链范围未覆盖或证据不足）</x:v>
      </x:c>
      <x:c r="H312" s="26" t="str">
        <x:v>-</x:v>
      </x:c>
      <x:c r="I312" s="26" t="str"/>
      <x:c r="J312" s="26" t="str"/>
      <x:c r="K312" s="26" t="str">
        <x:v>商务经理在销售与客服行业中扮演着至关重要的角色，负责协调公司内部资源与外部客户关系，确保业务流程顺畅高效。通过精准把握市场需求，制定并执行有效的销售策略，推动业绩增长。同时，作为企业与客户之间的桥梁，商务经理需具备出色的…</x:v>
      </x:c>
      <x:c r="L312" s="26" t="str">
        <x:v>1. 负责制定年度销售计划，分解销售目标至各区域/渠道，确保按时完成业绩指标。 2. 组织实施市场调研，收集竞品信息，为产品定价及推广策略提供数据支持。 3. 协调跨部门工作，整合内外部资源，促进项目顺利推进。 4. 定…</x:v>
      </x:c>
    </x:row>
    <x:row r="313" ht="72" customHeight="1">
      <x:c r="A313" s="25" t="n">
        <x:v>11205</x:v>
      </x:c>
      <x:c r="B313" s="25" t="str">
        <x:v>IC-L3-462</x:v>
      </x:c>
      <x:c r="C313" s="25" t="str">
        <x:v>房地产项目招投标</x:v>
      </x:c>
      <x:c r="D313" s="25" t="str">
        <x:v>3-01-02-02</x:v>
      </x:c>
      <x:c r="E313" s="25" t="str">
        <x:v>秘书</x:v>
      </x:c>
      <x:c r="F313" s="28" t="n">
        <x:f>COUNTIF('岗位-产业节点关系'!$C$4:$C$709,B313)</x:f>
        <x:v>1</x:v>
      </x:c>
      <x:c r="G313" s="26" t="str">
        <x:f>IF(F313=0,"未匹配（现有产业链范围未覆盖或证据不足）",IF(COUNTIFS('岗位-产业节点关系'!$C$4:$C$709,B313,'岗位-产业节点关系'!$M$4:$M$709,"低")&gt;0,"已匹配，建议复核","已匹配"))</x:f>
        <x:v>已匹配，建议复核</x:v>
      </x:c>
      <x:c r="H313" s="26" t="str">
        <x:v>低</x:v>
      </x:c>
      <x:c r="I313" s="26" t="str">
        <x:v>ICN008</x:v>
      </x:c>
      <x:c r="J313" s="26" t="str">
        <x:v>基础设施与城市建设产业链/中游/基础设施建设与房地产开发</x:v>
      </x:c>
      <x:c r="K313" s="26" t="str">
        <x:v>房地产项目招投标专员是销售行政及商务方向的重要角色，主要负责公司房地产项目的招投标工作。此职位在行业中扮演着关键的角色，通过有效的项目管理和谈判技巧，确保公司在激烈的市场竞争中获得优势地位。该职位的核心目标在于提高项目中…</x:v>
      </x:c>
      <x:c r="L313" s="26" t="str">
        <x:v>1. 负责收集并分析房地产市场的招投标信息，制定详细的投标计划，以确保及时响应市场需求。 2. 编制高质量的投标文件，包括但不限于技术方案、报价单、商务条款等，确保符合招标要求，提高中标几率。 3. 协调内外部资源，组织…</x:v>
      </x:c>
    </x:row>
    <x:row r="314" ht="72" customHeight="1">
      <x:c r="A314" s="25" t="n">
        <x:v>11206</x:v>
      </x:c>
      <x:c r="B314" s="25" t="str">
        <x:v>IC-L3-463</x:v>
      </x:c>
      <x:c r="C314" s="25" t="str">
        <x:v>招投标管理</x:v>
      </x:c>
      <x:c r="D314" s="25" t="str">
        <x:v>3-01-02-02</x:v>
      </x:c>
      <x:c r="E314" s="25" t="str">
        <x:v>秘书</x:v>
      </x:c>
      <x:c r="F314" s="28" t="n">
        <x:f>COUNTIF('岗位-产业节点关系'!$C$4:$C$709,B314)</x:f>
        <x:v>0</x:v>
      </x:c>
      <x:c r="G314" s="26" t="str">
        <x:f>IF(F314=0,"未匹配（现有产业链范围未覆盖或证据不足）",IF(COUNTIFS('岗位-产业节点关系'!$C$4:$C$709,B314,'岗位-产业节点关系'!$M$4:$M$709,"低")&gt;0,"已匹配，建议复核","已匹配"))</x:f>
        <x:v>未匹配（现有产业链范围未覆盖或证据不足）</x:v>
      </x:c>
      <x:c r="H314" s="26" t="str">
        <x:v>-</x:v>
      </x:c>
      <x:c r="I314" s="26" t="str"/>
      <x:c r="J314" s="26" t="str"/>
      <x:c r="K314" s="26" t="str">
        <x:v>招投标管理是销售行政及商务领域中的关键角色，它不仅负责确保公司参与的所有投标活动都符合法律法规要求，还对提高公司在市场上的竞争力起着至关重要的作用。通过高效地准备和提交投标文件，本职位能够帮助公司赢得更多业务机会，同时通…</x:v>
      </x:c>
      <x:c r="L314" s="26" t="str">
        <x:v>1. 负责收集并分析招标信息，评估项目可行性，制定详细的投标计划，确保按时高质量完成投标工作。 2. 协调内部资源，组织跨部门会议，明确各部门在投标过程中的任务分工，保证投标文件的专业性和完整性。 3. 编制技术方案、商…</x:v>
      </x:c>
    </x:row>
    <x:row r="315" ht="72" customHeight="1">
      <x:c r="A315" s="25" t="n">
        <x:v>11207</x:v>
      </x:c>
      <x:c r="B315" s="25" t="str">
        <x:v>IC-L3-464</x:v>
      </x:c>
      <x:c r="C315" s="25" t="str">
        <x:v>销售助理</x:v>
      </x:c>
      <x:c r="D315" s="25" t="str">
        <x:v>4-01-02-01</x:v>
      </x:c>
      <x:c r="E315" s="25" t="str">
        <x:v>营销员</x:v>
      </x:c>
      <x:c r="F315" s="28" t="n">
        <x:f>COUNTIF('岗位-产业节点关系'!$C$4:$C$709,B315)</x:f>
        <x:v>0</x:v>
      </x:c>
      <x:c r="G315" s="26" t="str">
        <x:f>IF(F315=0,"未匹配（现有产业链范围未覆盖或证据不足）",IF(COUNTIFS('岗位-产业节点关系'!$C$4:$C$709,B315,'岗位-产业节点关系'!$M$4:$M$709,"低")&gt;0,"已匹配，建议复核","已匹配"))</x:f>
        <x:v>未匹配（现有产业链范围未覆盖或证据不足）</x:v>
      </x:c>
      <x:c r="H315" s="26" t="str">
        <x:v>-</x:v>
      </x:c>
      <x:c r="I315" s="26" t="str"/>
      <x:c r="J315" s="26" t="str"/>
      <x:c r="K315" s="26" t="str">
        <x:v>销售助理是销售与客服行业中不可或缺的角色，主要负责协助销售团队完成日常行政事务及客户关系维护工作，确保销售流程顺畅运行。该职位不仅要求具备良好的沟通技巧和服务意识，还需要有较强的组织协调能力和解决问题的能力，以适应快节奏…</x:v>
      </x:c>
      <x:c r="L315" s="26" t="str">
        <x:v>1. 负责收集并录入客户资料，建立和完善客户档案系统，确保信息准确无误。 2. 协助销售人员准备报价单、合同等文件，跟踪订单状态直至完成交付，保证业务流程顺利进行。 3. 定期回访客户，了解其需求变化，及时解决客户遇到的…</x:v>
      </x:c>
    </x:row>
    <x:row r="316" ht="72" customHeight="1">
      <x:c r="A316" s="25" t="n">
        <x:v>11208</x:v>
      </x:c>
      <x:c r="B316" s="25" t="str">
        <x:v>IC-L3-465</x:v>
      </x:c>
      <x:c r="C316" s="25" t="str">
        <x:v>销售行政专员</x:v>
      </x:c>
      <x:c r="D316" s="25" t="str">
        <x:v>4-01-02-01</x:v>
      </x:c>
      <x:c r="E316" s="25" t="str">
        <x:v>营销员</x:v>
      </x:c>
      <x:c r="F316" s="28" t="n">
        <x:f>COUNTIF('岗位-产业节点关系'!$C$4:$C$709,B316)</x:f>
        <x:v>0</x:v>
      </x:c>
      <x:c r="G316" s="26" t="str">
        <x:f>IF(F316=0,"未匹配（现有产业链范围未覆盖或证据不足）",IF(COUNTIFS('岗位-产业节点关系'!$C$4:$C$709,B316,'岗位-产业节点关系'!$M$4:$M$709,"低")&gt;0,"已匹配，建议复核","已匹配"))</x:f>
        <x:v>未匹配（现有产业链范围未覆盖或证据不足）</x:v>
      </x:c>
      <x:c r="H316" s="26" t="str">
        <x:v>-</x:v>
      </x:c>
      <x:c r="I316" s="26" t="str"/>
      <x:c r="J316" s="26" t="str"/>
      <x:c r="K316" s="26" t="str">
        <x:v>销售行政专员是销售部门与公司其他职能部门之间的重要桥梁，负责确保销售流程的顺畅运行和行政支持的高效提供。通过协调内部资源和外部合作伙伴，该职位对于维护良好的客户关系和促进销售业绩的增长起着至关重要的作用。 该职位的核心目…</x:v>
      </x:c>
      <x:c r="L316" s="26" t="str">
        <x:v>1. 负责销售合同及其他相关文件的准备、归档和管理工作，确保所有文档准确无误并符合公司规定。 2. 协助销售团队进行客户信息的录入和更新，建立和完善客户数据库，为销售活动提供可靠的数据支持。 3. 组织策划各类市场推广活…</x:v>
      </x:c>
    </x:row>
    <x:row r="317" ht="72" customHeight="1">
      <x:c r="A317" s="25" t="n">
        <x:v>11209</x:v>
      </x:c>
      <x:c r="B317" s="25" t="str">
        <x:v>IC-L3-466</x:v>
      </x:c>
      <x:c r="C317" s="25" t="str">
        <x:v>销售行政助理</x:v>
      </x:c>
      <x:c r="D317" s="25" t="str">
        <x:v>4-01-02-01</x:v>
      </x:c>
      <x:c r="E317" s="25" t="str">
        <x:v>营销员</x:v>
      </x:c>
      <x:c r="F317" s="28" t="n">
        <x:f>COUNTIF('岗位-产业节点关系'!$C$4:$C$709,B317)</x:f>
        <x:v>0</x:v>
      </x:c>
      <x:c r="G317" s="26" t="str">
        <x:f>IF(F317=0,"未匹配（现有产业链范围未覆盖或证据不足）",IF(COUNTIFS('岗位-产业节点关系'!$C$4:$C$709,B317,'岗位-产业节点关系'!$M$4:$M$709,"低")&gt;0,"已匹配，建议复核","已匹配"))</x:f>
        <x:v>未匹配（现有产业链范围未覆盖或证据不足）</x:v>
      </x:c>
      <x:c r="H317" s="26" t="str">
        <x:v>-</x:v>
      </x:c>
      <x:c r="I317" s="26" t="str"/>
      <x:c r="J317" s="26" t="str"/>
      <x:c r="K317" s="26" t="str">
        <x:v>销售行政助理是销售与客服行业中不可或缺的角色，通过提供高效的支持服务，确保销售团队能够专注于核心业务活动，从而提高整体销售效率和客户满意度。作为连接销售部门与其他部门之间的桥梁，该职位的核心目标在于优化内部流程，减少销售…</x:v>
      </x:c>
      <x:c r="L317" s="26" t="str">
        <x:v>1. 负责销售数据的收集、整理与分析，定期编制销售报告，为管理层决策提供准确的数据支持。 2. 协助组织销售会议及培训活动，确保各项活动顺利进行，提升团队凝聚力和专业能力。 3. 管理客户资料库，更新维护客户信息，确保数…</x:v>
      </x:c>
    </x:row>
    <x:row r="318" ht="72" customHeight="1">
      <x:c r="A318" s="25" t="n">
        <x:v>11210</x:v>
      </x:c>
      <x:c r="B318" s="25" t="str">
        <x:v>IC-L3-467</x:v>
      </x:c>
      <x:c r="C318" s="25" t="str">
        <x:v>销售行政经理/主管</x:v>
      </x:c>
      <x:c r="D318" s="25" t="str">
        <x:v>4-01-02-01</x:v>
      </x:c>
      <x:c r="E318" s="25" t="str">
        <x:v>营销员</x:v>
      </x:c>
      <x:c r="F318" s="28" t="n">
        <x:f>COUNTIF('岗位-产业节点关系'!$C$4:$C$709,B318)</x:f>
        <x:v>0</x:v>
      </x:c>
      <x:c r="G318" s="26" t="str">
        <x:f>IF(F318=0,"未匹配（现有产业链范围未覆盖或证据不足）",IF(COUNTIFS('岗位-产业节点关系'!$C$4:$C$709,B318,'岗位-产业节点关系'!$M$4:$M$709,"低")&gt;0,"已匹配，建议复核","已匹配"))</x:f>
        <x:v>未匹配（现有产业链范围未覆盖或证据不足）</x:v>
      </x:c>
      <x:c r="H318" s="26" t="str">
        <x:v>-</x:v>
      </x:c>
      <x:c r="I318" s="26" t="str"/>
      <x:c r="J318" s="26" t="str"/>
      <x:c r="K318" s="26" t="str">
        <x:v>销售行政经理/主管是销售与客服行业中不可或缺的角色，负责协调销售团队的日常运营与管理，确保销售流程顺畅高效，同时支持公司整体业务战略的实施。该职位不仅是销售团队的后盾，也是公司文化和政策向一线员工传达的重要桥梁。 作为销…</x:v>
      </x:c>
      <x:c r="L318" s="26" t="str">
        <x:v>1. 负责销售团队的日常行政管理工作，包括但不限于办公环境维护、物资采购、文档管理和会议安排等，以保障销售活动的顺利开展。 2. 制定并完善销售支持流程，简化操作程序，减少非生产性时间消耗，提升销售团队的工作效率。 3.…</x:v>
      </x:c>
    </x:row>
    <x:row r="319" ht="72" customHeight="1">
      <x:c r="A319" s="25" t="n">
        <x:v>11211</x:v>
      </x:c>
      <x:c r="B319" s="25" t="str">
        <x:v>IC-L3-468</x:v>
      </x:c>
      <x:c r="C319" s="25" t="str">
        <x:v>销售总监</x:v>
      </x:c>
      <x:c r="D319" s="25" t="str">
        <x:v>4-01-02-01</x:v>
      </x:c>
      <x:c r="E319" s="25" t="str">
        <x:v>营销员</x:v>
      </x:c>
      <x:c r="F319" s="28" t="n">
        <x:f>COUNTIF('岗位-产业节点关系'!$C$4:$C$709,B319)</x:f>
        <x:v>0</x:v>
      </x:c>
      <x:c r="G319" s="26" t="str">
        <x:f>IF(F319=0,"未匹配（现有产业链范围未覆盖或证据不足）",IF(COUNTIFS('岗位-产业节点关系'!$C$4:$C$709,B319,'岗位-产业节点关系'!$M$4:$M$709,"低")&gt;0,"已匹配，建议复核","已匹配"))</x:f>
        <x:v>未匹配（现有产业链范围未覆盖或证据不足）</x:v>
      </x:c>
      <x:c r="H319" s="26" t="str">
        <x:v>-</x:v>
      </x:c>
      <x:c r="I319" s="26" t="str"/>
      <x:c r="J319" s="26" t="str"/>
      <x:c r="K319" s="26" t="str">
        <x:v>销售总监是专门从事销售战略规划与团队管理的专业人员。该职位的核心目标是通过制定销售策略、拓展市场渠道，实现公司业绩持续增长。在日常工作中，需要进行销售团队建设、客户关系维护、业务数据分析及销售目标分解等工作。</x:v>
      </x:c>
      <x:c r="L319" s="26" t="str">
        <x:v>1. 制定销售战略规划 2. 达成年度业绩目标 3. 管理销售团队运营 4. 维护重点客户关系 5. 优化销售业务流程 6. 分析市场数据报告</x:v>
      </x:c>
    </x:row>
    <x:row r="320" ht="72" customHeight="1">
      <x:c r="A320" s="25" t="n">
        <x:v>11212</x:v>
      </x:c>
      <x:c r="B320" s="25" t="str">
        <x:v>IC-L3-469</x:v>
      </x:c>
      <x:c r="C320" s="25" t="str">
        <x:v>前台接待/总机/接待生</x:v>
      </x:c>
      <x:c r="D320" s="25" t="str">
        <x:v>3-01-02-02</x:v>
      </x:c>
      <x:c r="E320" s="25" t="str">
        <x:v>秘书</x:v>
      </x:c>
      <x:c r="F320" s="28" t="n">
        <x:f>COUNTIF('岗位-产业节点关系'!$C$4:$C$709,B320)</x:f>
        <x:v>0</x:v>
      </x:c>
      <x:c r="G320" s="26" t="str">
        <x:f>IF(F320=0,"未匹配（现有产业链范围未覆盖或证据不足）",IF(COUNTIFS('岗位-产业节点关系'!$C$4:$C$709,B320,'岗位-产业节点关系'!$M$4:$M$709,"低")&gt;0,"已匹配，建议复核","已匹配"))</x:f>
        <x:v>未匹配（现有产业链范围未覆盖或证据不足）</x:v>
      </x:c>
      <x:c r="H320" s="26" t="str">
        <x:v>-</x:v>
      </x:c>
      <x:c r="I320" s="26" t="str"/>
      <x:c r="J320" s="26" t="str"/>
      <x:c r="K320" s="26" t="str">
        <x:v>前台接待/总机/接待生是专门从事客户接待与行政支持的专业人员。该职位的核心目标是通过提供优质的前台服务，塑造企业专业形象并提升客户满意度。在日常工作中，需要进行来访接待、电话转接、信息登记、会议协调及基础行政支持等工作。</x:v>
      </x:c>
      <x:c r="L320" s="26" t="str">
        <x:v>1. 接待来访客户 2. 接听转接电话 3. 登记访客信息 4. 收发快递文件 5. 维护前台整洁 6. 协助行政事务</x:v>
      </x:c>
    </x:row>
    <x:row r="321" ht="72" customHeight="1">
      <x:c r="A321" s="25" t="n">
        <x:v>11213</x:v>
      </x:c>
      <x:c r="B321" s="25" t="str">
        <x:v>IC-L3-470</x:v>
      </x:c>
      <x:c r="C321" s="25" t="str">
        <x:v>行长/副行长</x:v>
      </x:c>
      <x:c r="D321" s="25" t="str">
        <x:v>3-01-02-02</x:v>
      </x:c>
      <x:c r="E321" s="25" t="str">
        <x:v>秘书</x:v>
      </x:c>
      <x:c r="F321" s="28" t="n">
        <x:f>COUNTIF('岗位-产业节点关系'!$C$4:$C$709,B321)</x:f>
        <x:v>0</x:v>
      </x:c>
      <x:c r="G321" s="26" t="str">
        <x:f>IF(F321=0,"未匹配（现有产业链范围未覆盖或证据不足）",IF(COUNTIFS('岗位-产业节点关系'!$C$4:$C$709,B321,'岗位-产业节点关系'!$M$4:$M$709,"低")&gt;0,"已匹配，建议复核","已匹配"))</x:f>
        <x:v>未匹配（现有产业链范围未覆盖或证据不足）</x:v>
      </x:c>
      <x:c r="H321" s="26" t="str">
        <x:v>-</x:v>
      </x:c>
      <x:c r="I321" s="26" t="str"/>
      <x:c r="J321" s="26" t="str"/>
      <x:c r="K321" s="26" t="str">
        <x:v>行长/副行长是专门从事银行高层管理及战略决策的专业人员。该职位的核心目标是通过制定业务发展战略，实现银行业务增长与风险控制的平衡。在日常工作中，需要进行经营决策、团队管理、客户关系维护及市场拓展等工作。</x:v>
      </x:c>
      <x:c r="L321" s="26" t="str">
        <x:v>1. 制定业务发展战略 2. 统筹银行经营管理 3. 监督财务指标完成 4. 拓展商业客户资源 5. 优化业务流程体系 6. 维护政企合作关系</x:v>
      </x:c>
    </x:row>
    <x:row r="322" ht="72" customHeight="1">
      <x:c r="A322" s="25" t="n">
        <x:v>11214</x:v>
      </x:c>
      <x:c r="B322" s="25" t="str">
        <x:v>IC-L3-471</x:v>
      </x:c>
      <x:c r="C322" s="25" t="str">
        <x:v>业务拓展经理/主管</x:v>
      </x:c>
      <x:c r="D322" s="25" t="str">
        <x:v>2-06-07-01</x:v>
      </x:c>
      <x:c r="E322" s="25" t="str">
        <x:v>国际商务专业人员</x:v>
      </x:c>
      <x:c r="F322" s="28" t="n">
        <x:f>COUNTIF('岗位-产业节点关系'!$C$4:$C$709,B322)</x:f>
        <x:v>0</x:v>
      </x:c>
      <x:c r="G322" s="26" t="str">
        <x:f>IF(F322=0,"未匹配（现有产业链范围未覆盖或证据不足）",IF(COUNTIFS('岗位-产业节点关系'!$C$4:$C$709,B322,'岗位-产业节点关系'!$M$4:$M$709,"低")&gt;0,"已匹配，建议复核","已匹配"))</x:f>
        <x:v>未匹配（现有产业链范围未覆盖或证据不足）</x:v>
      </x:c>
      <x:c r="H322" s="26" t="str">
        <x:v>-</x:v>
      </x:c>
      <x:c r="I322" s="26" t="str"/>
      <x:c r="J322" s="26" t="str"/>
      <x:c r="K322" s="26" t="str">
        <x:v>业务拓展经理/主管是销售/客服行业中至关重要的高级管理职位，主要负责推动公司产品或服务在市场上的增长与渗透。通过制定并执行有效的市场策略，该职位不仅能够帮助公司在竞争激烈的市场环境中站稳脚跟，而且还能促进品牌形象的提升及…</x:v>
      </x:c>
      <x:c r="L322" s="26" t="str">
        <x:v>1. 制定并实施全面的业务发展计划，包括但不限于市场调研、竞争对手分析等，以发现新的商业机遇。 2. 负责关键客户的谈判与签约工作，建立长期合作关系，确保公司销售额稳步提升。 3. 监控销售流程的各个环节，定期评估业绩表…</x:v>
      </x:c>
    </x:row>
    <x:row r="323" ht="72" customHeight="1">
      <x:c r="A323" s="25" t="n">
        <x:v>11215</x:v>
      </x:c>
      <x:c r="B323" s="25" t="str">
        <x:v>IC-L3-472</x:v>
      </x:c>
      <x:c r="C323" s="25" t="str">
        <x:v>区域销售主管</x:v>
      </x:c>
      <x:c r="D323" s="25" t="str">
        <x:v>4-01-02-01</x:v>
      </x:c>
      <x:c r="E323" s="25" t="str">
        <x:v>营销员</x:v>
      </x:c>
      <x:c r="F323" s="28" t="n">
        <x:f>COUNTIF('岗位-产业节点关系'!$C$4:$C$709,B323)</x:f>
        <x:v>0</x:v>
      </x:c>
      <x:c r="G323" s="26" t="str">
        <x:f>IF(F323=0,"未匹配（现有产业链范围未覆盖或证据不足）",IF(COUNTIFS('岗位-产业节点关系'!$C$4:$C$709,B323,'岗位-产业节点关系'!$M$4:$M$709,"低")&gt;0,"已匹配，建议复核","已匹配"))</x:f>
        <x:v>未匹配（现有产业链范围未覆盖或证据不足）</x:v>
      </x:c>
      <x:c r="H323" s="26" t="str">
        <x:v>-</x:v>
      </x:c>
      <x:c r="I323" s="26" t="str"/>
      <x:c r="J323" s="26" t="str"/>
      <x:c r="K323" s="26" t="str">
        <x:v>区域销售主管是销售/客服行业中不可或缺的关键角色，负责领导特定地区的销售团队实现业务目标，通过高效管理和策略执行推动公司产品或服务的市场占有率提升。该职位不仅要求具备卓越的销售技巧，更需要有强大的领导力和战略思维能力，以…</x:v>
      </x:c>
      <x:c r="L323" s="26" t="str">
        <x:v>1. 负责制定并执行区域内的销售计划，确保完成或超越既定的销售目标。 2. 定期收集并分析市场数据，识别潜在商机，指导团队成员优化销售方法。 3. 建立和维护与关键客户的良好关系，通过提供优质的客户服务增强客户忠诚度。 …</x:v>
      </x:c>
    </x:row>
    <x:row r="324" ht="72" customHeight="1">
      <x:c r="A324" s="25" t="n">
        <x:v>11216</x:v>
      </x:c>
      <x:c r="B324" s="25" t="str">
        <x:v>IC-L3-473</x:v>
      </x:c>
      <x:c r="C324" s="25" t="str">
        <x:v>区域销售总监</x:v>
      </x:c>
      <x:c r="D324" s="25" t="str">
        <x:v>4-01-02-01</x:v>
      </x:c>
      <x:c r="E324" s="25" t="str">
        <x:v>营销员</x:v>
      </x:c>
      <x:c r="F324" s="28" t="n">
        <x:f>COUNTIF('岗位-产业节点关系'!$C$4:$C$709,B324)</x:f>
        <x:v>0</x:v>
      </x:c>
      <x:c r="G324" s="26" t="str">
        <x:f>IF(F324=0,"未匹配（现有产业链范围未覆盖或证据不足）",IF(COUNTIFS('岗位-产业节点关系'!$C$4:$C$709,B324,'岗位-产业节点关系'!$M$4:$M$709,"低")&gt;0,"已匹配，建议复核","已匹配"))</x:f>
        <x:v>未匹配（现有产业链范围未覆盖或证据不足）</x:v>
      </x:c>
      <x:c r="H324" s="26" t="str">
        <x:v>-</x:v>
      </x:c>
      <x:c r="I324" s="26" t="str"/>
      <x:c r="J324" s="26" t="str"/>
      <x:c r="K324" s="26" t="str">
        <x:v>区域销售总监是销售/客服行业中不可或缺的关键角色，负责推动公司产品或服务在特定区域市场的销售增长，确保业务目标的实现。该职位不仅需要具备出色的市场洞察力和销售技巧，还需要拥有强大的领导能力和战略规划能力，以引领团队达成甚…</x:v>
      </x:c>
      <x:c r="L324" s="26" t="str">
        <x:v>1. 制定并实施区域销售计划，确保完成年度销售目标，定期分析销售数据，调整销售策略以应对市场变化。 2. 管理和指导销售团队，通过培训、激励等方式提升团队成员的专业技能和服务水平，建立高效协同的工作氛围。 3. 与潜在客…</x:v>
      </x:c>
    </x:row>
    <x:row r="325" ht="72" customHeight="1">
      <x:c r="A325" s="25" t="n">
        <x:v>11217</x:v>
      </x:c>
      <x:c r="B325" s="25" t="str">
        <x:v>IC-L3-474</x:v>
      </x:c>
      <x:c r="C325" s="25" t="str">
        <x:v>区域销售经理</x:v>
      </x:c>
      <x:c r="D325" s="25" t="str">
        <x:v>4-01-02-01</x:v>
      </x:c>
      <x:c r="E325" s="25" t="str">
        <x:v>营销员</x:v>
      </x:c>
      <x:c r="F325" s="28" t="n">
        <x:f>COUNTIF('岗位-产业节点关系'!$C$4:$C$709,B325)</x:f>
        <x:v>0</x:v>
      </x:c>
      <x:c r="G325" s="26" t="str">
        <x:f>IF(F325=0,"未匹配（现有产业链范围未覆盖或证据不足）",IF(COUNTIFS('岗位-产业节点关系'!$C$4:$C$709,B325,'岗位-产业节点关系'!$M$4:$M$709,"低")&gt;0,"已匹配，建议复核","已匹配"))</x:f>
        <x:v>未匹配（现有产业链范围未覆盖或证据不足）</x:v>
      </x:c>
      <x:c r="H325" s="26" t="str">
        <x:v>-</x:v>
      </x:c>
      <x:c r="I325" s="26" t="str"/>
      <x:c r="J325" s="26" t="str"/>
      <x:c r="K325" s="26" t="str">
        <x:v>区域销售经理是销售/客服行业中极为重要的角色，主要负责特定区域内的销售业绩提升及客户关系维护。作为连接公司与市场的关键桥梁，他们不仅需要具备出色的销售技巧，还应拥有敏锐的市场洞察力，能够及时捕捉市场动态，为公司制定有效的…</x:v>
      </x:c>
      <x:c r="L325" s="26" t="str">
        <x:v>1. 制定并执行所辖区域的年度销售计划，确保团队成员明确任务要求，按时保质完成各项销售指标。 2. 负责区域内重点客户的开发与维护，建立稳定的合作关系，提高客户满意度和忠诚度。 3. 定期组织销售培训会议，分享行业最新资…</x:v>
      </x:c>
    </x:row>
    <x:row r="326" ht="72" customHeight="1">
      <x:c r="A326" s="25" t="n">
        <x:v>11218</x:v>
      </x:c>
      <x:c r="B326" s="25" t="str">
        <x:v>IC-L3-475</x:v>
      </x:c>
      <x:c r="C326" s="25" t="str">
        <x:v>医疗器械销售经理/主管</x:v>
      </x:c>
      <x:c r="D326" s="25" t="str">
        <x:v>4-01-02-01</x:v>
      </x:c>
      <x:c r="E326" s="25" t="str">
        <x:v>营销员</x:v>
      </x:c>
      <x:c r="F326" s="28" t="n">
        <x:f>COUNTIF('岗位-产业节点关系'!$C$4:$C$709,B326)</x:f>
        <x:v>1</x:v>
      </x:c>
      <x:c r="G326" s="26" t="str">
        <x:f>IF(F326=0,"未匹配（现有产业链范围未覆盖或证据不足）",IF(COUNTIFS('岗位-产业节点关系'!$C$4:$C$709,B326,'岗位-产业节点关系'!$M$4:$M$709,"低")&gt;0,"已匹配，建议复核","已匹配"))</x:f>
        <x:v>已匹配</x:v>
      </x:c>
      <x:c r="H326" s="26" t="str">
        <x:v>高</x:v>
      </x:c>
      <x:c r="I326" s="26" t="str">
        <x:v>ICN011</x:v>
      </x:c>
      <x:c r="J326" s="26" t="str">
        <x:v>医药生物与医疗健康产业链/中游/药械生产、医疗装备与数字平台</x:v>
      </x:c>
      <x:c r="K326" s="26" t="str">
        <x:v>医疗器械销售经理/主管是销售与客服行业中不可或缺的角色，其主要职责在于推动公司医疗器械产品的市场销售，确保销售目标的实现。该职位不仅需要具备出色的销售技巧，还需拥有良好的市场分析能力和客户服务意识，以满足不同客户的需求，…</x:v>
      </x:c>
      <x:c r="L326" s="26" t="str">
        <x:v>1. 制定并实施年度销售计划，确保团队按时完成既定销售指标，同时关注市场变化趋势，灵活调整销售策略。 2. 负责建立和维护长期稳定的客户关系，积极开拓潜在客户群体，提高客户满意度及忠诚度。 3. 定期组织销售培训会议，分…</x:v>
      </x:c>
    </x:row>
    <x:row r="327" ht="72" customHeight="1">
      <x:c r="A327" s="25" t="n">
        <x:v>11219</x:v>
      </x:c>
      <x:c r="B327" s="25" t="str">
        <x:v>IC-L3-476</x:v>
      </x:c>
      <x:c r="C327" s="25" t="str">
        <x:v>医药销售经理/主管</x:v>
      </x:c>
      <x:c r="D327" s="25" t="str">
        <x:v>2-06-07-07</x:v>
      </x:c>
      <x:c r="E327" s="25" t="str">
        <x:v>医药代表</x:v>
      </x:c>
      <x:c r="F327" s="28" t="n">
        <x:f>COUNTIF('岗位-产业节点关系'!$C$4:$C$709,B327)</x:f>
        <x:v>1</x:v>
      </x:c>
      <x:c r="G327" s="26" t="str">
        <x:f>IF(F327=0,"未匹配（现有产业链范围未覆盖或证据不足）",IF(COUNTIFS('岗位-产业节点关系'!$C$4:$C$709,B327,'岗位-产业节点关系'!$M$4:$M$709,"低")&gt;0,"已匹配，建议复核","已匹配"))</x:f>
        <x:v>已匹配</x:v>
      </x:c>
      <x:c r="H327" s="26" t="str">
        <x:v>中</x:v>
      </x:c>
      <x:c r="I327" s="26" t="str">
        <x:v>ICN012</x:v>
      </x:c>
      <x:c r="J327" s="26" t="str">
        <x:v>医药生物与医疗健康产业链/下游/医疗服务、临床应用与健康管理</x:v>
      </x:c>
      <x:c r="K327" s="26" t="str">
        <x:v>医药销售经理/主管是销售/客服行业中不可或缺的关键角色，他们不仅负责推动公司产品在医疗领域的市场渗透，还承担着建立并维护与医疗机构良好关系的重要任务。作为连接公司与市场的桥梁，该职位对于实现企业的商业目标至关重要，通过制…</x:v>
      </x:c>
      <x:c r="L327" s="26" t="str">
        <x:v>医药销售经理/主管的主要职责包括：制定并执行销售策略，达成销售目标；管理销售团队，提升团队业绩；维护和拓展客户关系，开发新客户资源；收集市场信息，分析竞争对手动态；组织销售培训，提升团队专业能力；协调内部资源，确保销售流…</x:v>
      </x:c>
    </x:row>
    <x:row r="328" ht="72" customHeight="1">
      <x:c r="A328" s="25" t="n">
        <x:v>11220</x:v>
      </x:c>
      <x:c r="B328" s="25" t="str">
        <x:v>IC-L3-477</x:v>
      </x:c>
      <x:c r="C328" s="25" t="str">
        <x:v>城市经理</x:v>
      </x:c>
      <x:c r="D328" s="25" t="str">
        <x:v>2-06-07-01</x:v>
      </x:c>
      <x:c r="E328" s="25" t="str">
        <x:v>国际商务专业人员</x:v>
      </x:c>
      <x:c r="F328" s="28" t="n">
        <x:f>COUNTIF('岗位-产业节点关系'!$C$4:$C$709,B328)</x:f>
        <x:v>0</x:v>
      </x:c>
      <x:c r="G328" s="26" t="str">
        <x:f>IF(F328=0,"未匹配（现有产业链范围未覆盖或证据不足）",IF(COUNTIFS('岗位-产业节点关系'!$C$4:$C$709,B328,'岗位-产业节点关系'!$M$4:$M$709,"低")&gt;0,"已匹配，建议复核","已匹配"))</x:f>
        <x:v>未匹配（现有产业链范围未覆盖或证据不足）</x:v>
      </x:c>
      <x:c r="H328" s="26" t="str">
        <x:v>-</x:v>
      </x:c>
      <x:c r="I328" s="26" t="str"/>
      <x:c r="J328" s="26" t="str"/>
      <x:c r="K328" s="26" t="str">
        <x:v>城市经理是销售/客服行业中不可或缺的角色，他们负责领导和管理特定城市或地区的销售活动，确保公司产品和服务能够有效地覆盖市场并满足客户需求。作为高级管理层的一员，城市经理对于推动公司业务增长、提升品牌影响力具有至关重要的作…</x:v>
      </x:c>
      <x:c r="L328" s="26" t="str">
        <x:v>1. 制定并实施所在城市的销售策略，确保完成或超越年度销售目标。 2. 管理和培训销售团队，提升团队整体绩效，指导团队成员达成个人销售指标。 3. 与相关部门协作，收集市场信息，分析竞争对手情况，为公司战略规划提供数据支…</x:v>
      </x:c>
    </x:row>
    <x:row r="329" ht="72" customHeight="1">
      <x:c r="A329" s="25" t="n">
        <x:v>11221</x:v>
      </x:c>
      <x:c r="B329" s="25" t="str">
        <x:v>IC-L3-478</x:v>
      </x:c>
      <x:c r="C329" s="25" t="str">
        <x:v>大客户管理</x:v>
      </x:c>
      <x:c r="D329" s="25" t="str">
        <x:v>2-06-07-01</x:v>
      </x:c>
      <x:c r="E329" s="25" t="str">
        <x:v>国际商务专业人员</x:v>
      </x:c>
      <x:c r="F329" s="28" t="n">
        <x:f>COUNTIF('岗位-产业节点关系'!$C$4:$C$709,B329)</x:f>
        <x:v>0</x:v>
      </x:c>
      <x:c r="G329" s="26" t="str">
        <x:f>IF(F329=0,"未匹配（现有产业链范围未覆盖或证据不足）",IF(COUNTIFS('岗位-产业节点关系'!$C$4:$C$709,B329,'岗位-产业节点关系'!$M$4:$M$709,"低")&gt;0,"已匹配，建议复核","已匹配"))</x:f>
        <x:v>未匹配（现有产业链范围未覆盖或证据不足）</x:v>
      </x:c>
      <x:c r="H329" s="26" t="str">
        <x:v>-</x:v>
      </x:c>
      <x:c r="I329" s="26" t="str"/>
      <x:c r="J329" s="26" t="str"/>
      <x:c r="K329" s="26" t="str">
        <x:v>大客户管理是销售领域中至关重要的一环，担任这一职位的专业人士负责维护和发展与公司最重要的客户关系。作为大客户的直接联络人，他们不仅代表着公司的形象，还是实现长期合作与增长的关键推手。 该职位的核心目标在于通过高效沟通和定…</x:v>
      </x:c>
      <x:c r="L329" s="26" t="str">
        <x:v>1. 负责建立和维护与大客户之间的良好关系，定期拜访客户，了解其需求变化，及时解决客户问题，提高客户满意度。 2. 制定并执行针对大客户的销售策略及计划，分析销售数据，评估销售效果，确保完成或超越年度销售目标。 3. 与…</x:v>
      </x:c>
    </x:row>
    <x:row r="330" ht="72" customHeight="1">
      <x:c r="A330" s="25" t="n">
        <x:v>11222</x:v>
      </x:c>
      <x:c r="B330" s="25" t="str">
        <x:v>IC-L3-479</x:v>
      </x:c>
      <x:c r="C330" s="25" t="str">
        <x:v>客户经理/主管</x:v>
      </x:c>
      <x:c r="D330" s="25" t="str">
        <x:v>2-06-07-01</x:v>
      </x:c>
      <x:c r="E330" s="25" t="str">
        <x:v>国际商务专业人员</x:v>
      </x:c>
      <x:c r="F330" s="28" t="n">
        <x:f>COUNTIF('岗位-产业节点关系'!$C$4:$C$709,B330)</x:f>
        <x:v>0</x:v>
      </x:c>
      <x:c r="G330" s="26" t="str">
        <x:f>IF(F330=0,"未匹配（现有产业链范围未覆盖或证据不足）",IF(COUNTIFS('岗位-产业节点关系'!$C$4:$C$709,B330,'岗位-产业节点关系'!$M$4:$M$709,"低")&gt;0,"已匹配，建议复核","已匹配"))</x:f>
        <x:v>未匹配（现有产业链范围未覆盖或证据不足）</x:v>
      </x:c>
      <x:c r="H330" s="26" t="str">
        <x:v>-</x:v>
      </x:c>
      <x:c r="I330" s="26" t="str"/>
      <x:c r="J330" s="26" t="str"/>
      <x:c r="K330" s="26" t="str">
        <x:v>客户经理/主管在销售/客服行业中扮演着至关重要的角色。作为连接公司与客户的桥梁，他们不仅负责维护现有客户关系，还承担着开拓新市场的重任，是推动企业持续增长的关键力量。通过精准把握市场动态与客户需求，制定并实施有效的销售策…</x:v>
      </x:c>
      <x:c r="L330" s="26" t="str">
        <x:v>1. 负责区域内重点客户的开发与维护工作，定期拜访客户，深入了解其需求变化，确保客户满意度持续提升。 2. 根据公司战略目标及市场情况，制定详细的销售计划，并带领团队完成月度、季度及年度销售任务。 3. 分析竞争对手状况…</x:v>
      </x:c>
    </x:row>
    <x:row r="331" ht="72" customHeight="1">
      <x:c r="A331" s="25" t="n">
        <x:v>11223</x:v>
      </x:c>
      <x:c r="B331" s="25" t="str">
        <x:v>IC-L3-480</x:v>
      </x:c>
      <x:c r="C331" s="25" t="str">
        <x:v>房地产销售经理/主管</x:v>
      </x:c>
      <x:c r="D331" s="25" t="str">
        <x:v>4-01-02-01</x:v>
      </x:c>
      <x:c r="E331" s="25" t="str">
        <x:v>营销员</x:v>
      </x:c>
      <x:c r="F331" s="28" t="n">
        <x:f>COUNTIF('岗位-产业节点关系'!$C$4:$C$709,B331)</x:f>
        <x:v>1</x:v>
      </x:c>
      <x:c r="G331" s="26" t="str">
        <x:f>IF(F331=0,"未匹配（现有产业链范围未覆盖或证据不足）",IF(COUNTIFS('岗位-产业节点关系'!$C$4:$C$709,B331,'岗位-产业节点关系'!$M$4:$M$709,"低")&gt;0,"已匹配，建议复核","已匹配"))</x:f>
        <x:v>已匹配</x:v>
      </x:c>
      <x:c r="H331" s="26" t="str">
        <x:v>中</x:v>
      </x:c>
      <x:c r="I331" s="26" t="str">
        <x:v>ICN009</x:v>
      </x:c>
      <x:c r="J331" s="26" t="str">
        <x:v>基础设施与城市建设产业链/下游/城市运营、公用事业与物业服务</x:v>
      </x:c>
      <x:c r="K331" s="26" t="str">
        <x:v>房地产销售经理/主管是销售/客服行业中至关重要的角色，负责推动房地产项目的销售业绩，确保公司业务目标的实现。该职位不仅需要具备出色的市场洞察力和销售技巧，还需拥有强大的团队管理和领导能力，以激发团队潜能，提升整体销售效率…</x:v>
      </x:c>
      <x:c r="L331" s="26" t="str">
        <x:v>房地产销售经理/主管的主要职责包括：制定并执行销售策略和计划，达成销售目标；管理销售团队，进行销售培训和业绩考核；维护客户关系，处理客户咨询和投诉；分析市场动态，提供市场反馈；协调内部资源，确保销售流程顺畅；参与项目推广…</x:v>
      </x:c>
    </x:row>
    <x:row r="332" ht="72" customHeight="1">
      <x:c r="A332" s="25" t="n">
        <x:v>11224</x:v>
      </x:c>
      <x:c r="B332" s="25" t="str">
        <x:v>IC-L3-481</x:v>
      </x:c>
      <x:c r="C332" s="25" t="str">
        <x:v>销售主管</x:v>
      </x:c>
      <x:c r="D332" s="25" t="str">
        <x:v>4-01-02-01</x:v>
      </x:c>
      <x:c r="E332" s="25" t="str">
        <x:v>营销员</x:v>
      </x:c>
      <x:c r="F332" s="28" t="n">
        <x:f>COUNTIF('岗位-产业节点关系'!$C$4:$C$709,B332)</x:f>
        <x:v>0</x:v>
      </x:c>
      <x:c r="G332" s="26" t="str">
        <x:f>IF(F332=0,"未匹配（现有产业链范围未覆盖或证据不足）",IF(COUNTIFS('岗位-产业节点关系'!$C$4:$C$709,B332,'岗位-产业节点关系'!$M$4:$M$709,"低")&gt;0,"已匹配，建议复核","已匹配"))</x:f>
        <x:v>未匹配（现有产业链范围未覆盖或证据不足）</x:v>
      </x:c>
      <x:c r="H332" s="26" t="str">
        <x:v>-</x:v>
      </x:c>
      <x:c r="I332" s="26" t="str"/>
      <x:c r="J332" s="26" t="str"/>
      <x:c r="K332" s="26" t="str">
        <x:v>销售主管是销售/客服行业中至关重要的角色，他们负责监督和指导销售团队，确保公司产品或服务的成功推广与销售。作为连接一线销售人员与公司管理层的关键桥梁，销售主管不仅需要具备出色的销售技巧，还需拥有强大的领导力和战略思维能力…</x:v>
      </x:c>
      <x:c r="L332" s="26" t="str">
        <x:v>1. 制定年度销售计划及预算，分解销售目标至各区域或个人，确保团队按时完成任务。 2. 监控销售数据，定期进行业绩评估，识别潜在问题并采取相应措施改善销售表现。 3. 组织开展各类培训活动，提高销售团队的专业知识和服务水…</x:v>
      </x:c>
    </x:row>
    <x:row r="333" ht="72" customHeight="1">
      <x:c r="A333" s="25" t="n">
        <x:v>11225</x:v>
      </x:c>
      <x:c r="B333" s="25" t="str">
        <x:v>IC-L3-482</x:v>
      </x:c>
      <x:c r="C333" s="25" t="str">
        <x:v>销售总监</x:v>
      </x:c>
      <x:c r="D333" s="25" t="str">
        <x:v>4-01-02-01</x:v>
      </x:c>
      <x:c r="E333" s="25" t="str">
        <x:v>营销员</x:v>
      </x:c>
      <x:c r="F333" s="28" t="n">
        <x:f>COUNTIF('岗位-产业节点关系'!$C$4:$C$709,B333)</x:f>
        <x:v>0</x:v>
      </x:c>
      <x:c r="G333" s="26" t="str">
        <x:f>IF(F333=0,"未匹配（现有产业链范围未覆盖或证据不足）",IF(COUNTIFS('岗位-产业节点关系'!$C$4:$C$709,B333,'岗位-产业节点关系'!$M$4:$M$709,"低")&gt;0,"已匹配，建议复核","已匹配"))</x:f>
        <x:v>未匹配（现有产业链范围未覆盖或证据不足）</x:v>
      </x:c>
      <x:c r="H333" s="26" t="str">
        <x:v>-</x:v>
      </x:c>
      <x:c r="I333" s="26" t="str"/>
      <x:c r="J333" s="26" t="str"/>
      <x:c r="K333" s="26" t="str">
        <x:v>销售总监是销售/客服行业中不可或缺的关键角色，负责引领销售团队实现业绩目标，推动公司业务增长。作为高级管理层的一员，销售总监不仅需要具备卓越的领导力和战略眼光，还需拥有丰富的市场洞察力和客户关系管理经验，以确保公司在竞争…</x:v>
      </x:c>
      <x:c r="L333" s="26" t="str">
        <x:v>1. 制定并实施全面的销售计划，设定短期与长期的销售目标，带领团队完成既定任务。 2. 分析市场趋势，识别潜在机会与挑战，调整销售策略以适应不断变化的市场需求。 3. 管理销售团队，包括招聘、培训、绩效评估及激励机制的设…</x:v>
      </x:c>
    </x:row>
    <x:row r="334" ht="72" customHeight="1">
      <x:c r="A334" s="25" t="n">
        <x:v>11226</x:v>
      </x:c>
      <x:c r="B334" s="25" t="str">
        <x:v>IC-L3-483</x:v>
      </x:c>
      <x:c r="C334" s="25" t="str">
        <x:v>销售经理</x:v>
      </x:c>
      <x:c r="D334" s="25" t="str">
        <x:v>4-01-02-01</x:v>
      </x:c>
      <x:c r="E334" s="25" t="str">
        <x:v>营销员</x:v>
      </x:c>
      <x:c r="F334" s="28" t="n">
        <x:f>COUNTIF('岗位-产业节点关系'!$C$4:$C$709,B334)</x:f>
        <x:v>0</x:v>
      </x:c>
      <x:c r="G334" s="26" t="str">
        <x:f>IF(F334=0,"未匹配（现有产业链范围未覆盖或证据不足）",IF(COUNTIFS('岗位-产业节点关系'!$C$4:$C$709,B334,'岗位-产业节点关系'!$M$4:$M$709,"低")&gt;0,"已匹配，建议复核","已匹配"))</x:f>
        <x:v>未匹配（现有产业链范围未覆盖或证据不足）</x:v>
      </x:c>
      <x:c r="H334" s="26" t="str">
        <x:v>-</x:v>
      </x:c>
      <x:c r="I334" s="26" t="str"/>
      <x:c r="J334" s="26" t="str"/>
      <x:c r="K334" s="26" t="str">
        <x:v>销售经理是销售/客服行业中至关重要的高级管理职位，负责领导销售团队实现公司设定的业绩目标。作为销售部门的灵魂人物，他们不仅需要具备卓越的市场洞察力和战略规划能力，还需拥有出色的沟通技巧与谈判艺术，以确保公司产品或服务能够…</x:v>
      </x:c>
      <x:c r="L334" s="26" t="str">
        <x:v>1. 制定并实施销售计划，确保完成公司下达的各项销售任务，定期向高层汇报业绩进展。 2. 管理和培训销售团队，提高团队整体的专业水平和服务质量，建立高效的工作流程。 3. 分析市场数据，识别潜在商机，调整销售策略以适应不…</x:v>
      </x:c>
    </x:row>
    <x:row r="335" ht="72" customHeight="1">
      <x:c r="A335" s="25" t="n">
        <x:v>11227</x:v>
      </x:c>
      <x:c r="B335" s="25" t="str">
        <x:v>IC-L3-484</x:v>
      </x:c>
      <x:c r="C335" s="25" t="str">
        <x:v>大客户销售</x:v>
      </x:c>
      <x:c r="D335" s="25" t="str">
        <x:v>4-01-02-01</x:v>
      </x:c>
      <x:c r="E335" s="25" t="str">
        <x:v>营销员</x:v>
      </x:c>
      <x:c r="F335" s="28" t="n">
        <x:f>COUNTIF('岗位-产业节点关系'!$C$4:$C$709,B335)</x:f>
        <x:v>0</x:v>
      </x:c>
      <x:c r="G335" s="26" t="str">
        <x:f>IF(F335=0,"未匹配（现有产业链范围未覆盖或证据不足）",IF(COUNTIFS('岗位-产业节点关系'!$C$4:$C$709,B335,'岗位-产业节点关系'!$M$4:$M$709,"低")&gt;0,"已匹配，建议复核","已匹配"))</x:f>
        <x:v>未匹配（现有产业链范围未覆盖或证据不足）</x:v>
      </x:c>
      <x:c r="H335" s="26" t="str">
        <x:v>-</x:v>
      </x:c>
      <x:c r="I335" s="26" t="str"/>
      <x:c r="J335" s="26" t="str"/>
      <x:c r="K335" s="26" t="str">
        <x:v>大客户销售是专门负责维护和拓展高价值客户关系的专业人员。该职位的核心目标是通过深入了解客户需求，制定个性化解决方案，实现销售业绩持续增长。在日常工作中，需要进行客户需求分析、商务谈判、合同签订及关系维护等工作。</x:v>
      </x:c>
      <x:c r="L335" s="26" t="str">
        <x:v>1. 开发大客户资源 2. 维护重点客户关系 3. 制定销售策略方案 4. 达成年度销售目标 5. 协调跨部门协作 6. 分析市场动态数据</x:v>
      </x:c>
    </x:row>
    <x:row r="336" ht="72" customHeight="1">
      <x:c r="A336" s="25" t="n">
        <x:v>11228</x:v>
      </x:c>
      <x:c r="B336" s="25" t="str">
        <x:v>IC-L3-485</x:v>
      </x:c>
      <x:c r="C336" s="25" t="str">
        <x:v>专业培训师</x:v>
      </x:c>
      <x:c r="D336" s="25" t="str">
        <x:v>4-07-03-05</x:v>
      </x:c>
      <x:c r="E336" s="25" t="str">
        <x:v>职业培训师</x:v>
      </x:c>
      <x:c r="F336" s="28" t="n">
        <x:f>COUNTIF('岗位-产业节点关系'!$C$4:$C$709,B336)</x:f>
        <x:v>0</x:v>
      </x:c>
      <x:c r="G336" s="26" t="str">
        <x:f>IF(F336=0,"未匹配（现有产业链范围未覆盖或证据不足）",IF(COUNTIFS('岗位-产业节点关系'!$C$4:$C$709,B336,'岗位-产业节点关系'!$M$4:$M$709,"低")&gt;0,"已匹配，建议复核","已匹配"))</x:f>
        <x:v>未匹配（现有产业链范围未覆盖或证据不足）</x:v>
      </x:c>
      <x:c r="H336" s="26" t="str">
        <x:v>-</x:v>
      </x:c>
      <x:c r="I336" s="26" t="str"/>
      <x:c r="J336" s="26" t="str"/>
      <x:c r="K336" s="26" t="str">
        <x:v>专业培训师在咨询/法律/翻译行业中扮演着至关重要的角色，他们不仅负责提升员工的专业技能和服务质量，还承担着推动企业文化建设与传播的重要使命。作为公司内部知识传递的关键人物，专业培训师通过设计并实施各类培训项目，帮助员工快…</x:v>
      </x:c>
      <x:c r="L336" s="26" t="str">
        <x:v>1. 根据公司战略目标及业务需求，制定年度培训计划，确保培训活动的有效性和针对性。 2. 开发和优化培训课程体系，包括但不限于专业知识、沟通技巧、团队协作等，以满足不同层级员工的需求。 3. 组织并主持各类培训活动，采用…</x:v>
      </x:c>
    </x:row>
    <x:row r="337" ht="72" customHeight="1">
      <x:c r="A337" s="25" t="n">
        <x:v>11229</x:v>
      </x:c>
      <x:c r="B337" s="25" t="str">
        <x:v>IC-L3-486</x:v>
      </x:c>
      <x:c r="C337" s="25" t="str">
        <x:v>专业顾问</x:v>
      </x:c>
      <x:c r="D337" s="25" t="str">
        <x:v>2-06-07-01</x:v>
      </x:c>
      <x:c r="E337" s="25" t="str">
        <x:v>国际商务专业人员</x:v>
      </x:c>
      <x:c r="F337" s="28" t="n">
        <x:f>COUNTIF('岗位-产业节点关系'!$C$4:$C$709,B337)</x:f>
        <x:v>0</x:v>
      </x:c>
      <x:c r="G337" s="26" t="str">
        <x:f>IF(F337=0,"未匹配（现有产业链范围未覆盖或证据不足）",IF(COUNTIFS('岗位-产业节点关系'!$C$4:$C$709,B337,'岗位-产业节点关系'!$M$4:$M$709,"低")&gt;0,"已匹配，建议复核","已匹配"))</x:f>
        <x:v>未匹配（现有产业链范围未覆盖或证据不足）</x:v>
      </x:c>
      <x:c r="H337" s="26" t="str">
        <x:v>-</x:v>
      </x:c>
      <x:c r="I337" s="26" t="str"/>
      <x:c r="J337" s="26" t="str"/>
      <x:c r="K337" s="26" t="str">
        <x:v>专业顾问在咨询行业中扮演着至关重要的角色，他们是客户与公司之间沟通的桥梁，通过提供专业的建议和支持来帮助客户解决复杂的问题或优化业务流程。作为咨询团队中的核心成员，专业顾问不仅需要具备深厚的专业知识和技能，还需要拥有出色…</x:v>
      </x:c>
      <x:c r="L337" s="26" t="str">
        <x:v>1. 与潜在客户进行初步接触，了解其需求，评估项目可行性，制定合理的咨询方案。 2. 对客户的具体问题进行深入研究，运用专业知识提出建设性的意见，撰写高质量的报告及建议书。 3. 协调内部资源，组织跨部门团队合作，确保咨…</x:v>
      </x:c>
    </x:row>
    <x:row r="338" ht="72" customHeight="1">
      <x:c r="A338" s="25" t="n">
        <x:v>11230</x:v>
      </x:c>
      <x:c r="B338" s="25" t="str">
        <x:v>IC-L3-487</x:v>
      </x:c>
      <x:c r="C338" s="25" t="str">
        <x:v>咨询员</x:v>
      </x:c>
      <x:c r="D338" s="25" t="str">
        <x:v>2-06-07-01</x:v>
      </x:c>
      <x:c r="E338" s="25" t="str">
        <x:v>国际商务专业人员</x:v>
      </x:c>
      <x:c r="F338" s="28" t="n">
        <x:f>COUNTIF('岗位-产业节点关系'!$C$4:$C$709,B338)</x:f>
        <x:v>0</x:v>
      </x:c>
      <x:c r="G338" s="26" t="str">
        <x:f>IF(F338=0,"未匹配（现有产业链范围未覆盖或证据不足）",IF(COUNTIFS('岗位-产业节点关系'!$C$4:$C$709,B338,'岗位-产业节点关系'!$M$4:$M$709,"低")&gt;0,"已匹配，建议复核","已匹配"))</x:f>
        <x:v>未匹配（现有产业链范围未覆盖或证据不足）</x:v>
      </x:c>
      <x:c r="H338" s="26" t="str">
        <x:v>-</x:v>
      </x:c>
      <x:c r="I338" s="26" t="str"/>
      <x:c r="J338" s="26" t="str"/>
      <x:c r="K338" s="26" t="str">
        <x:v>咨询员是咨询行业中不可或缺的角色，他们通过专业知识和技能为企业提供策略建议和支持，帮助企业在复杂的市场环境中做出明智决策。咨询员不仅能够深入理解客户的业务需求，还能够结合市场趋势和最佳实践，提出创新性的解决方案，从而提高…</x:v>
      </x:c>
      <x:c r="L338" s="26" t="str">
        <x:v>1. 与客户进行沟通，了解其业务需求并制定相应的咨询服务方案，确保方案符合客户需求及预期效果。 2. 进行行业研究和数据分析，识别市场趋势和潜在机会，为客户提供精准的战略建议。 3. 协调内部资源，组织跨部门团队共同完成…</x:v>
      </x:c>
    </x:row>
    <x:row r="339" ht="72" customHeight="1">
      <x:c r="A339" s="25" t="n">
        <x:v>11231</x:v>
      </x:c>
      <x:c r="B339" s="25" t="str">
        <x:v>IC-L3-488</x:v>
      </x:c>
      <x:c r="C339" s="25" t="str">
        <x:v>咨询总监</x:v>
      </x:c>
      <x:c r="D339" s="25" t="str">
        <x:v>2-06-07-01</x:v>
      </x:c>
      <x:c r="E339" s="25" t="str">
        <x:v>国际商务专业人员</x:v>
      </x:c>
      <x:c r="F339" s="28" t="n">
        <x:f>COUNTIF('岗位-产业节点关系'!$C$4:$C$709,B339)</x:f>
        <x:v>0</x:v>
      </x:c>
      <x:c r="G339" s="26" t="str">
        <x:f>IF(F339=0,"未匹配（现有产业链范围未覆盖或证据不足）",IF(COUNTIFS('岗位-产业节点关系'!$C$4:$C$709,B339,'岗位-产业节点关系'!$M$4:$M$709,"低")&gt;0,"已匹配，建议复核","已匹配"))</x:f>
        <x:v>未匹配（现有产业链范围未覆盖或证据不足）</x:v>
      </x:c>
      <x:c r="H339" s="26" t="str">
        <x:v>-</x:v>
      </x:c>
      <x:c r="I339" s="26" t="str"/>
      <x:c r="J339" s="26" t="str"/>
      <x:c r="K339" s="26" t="str">
        <x:v>咨询总监是咨询/法律/翻译行业中至关重要的高级管理职位，主要负责指导和实施战略咨询服务，帮助客户解决复杂的问题并实现业务目标。作为公司与客户之间的桥梁，咨询总监不仅需要具备深厚的专业知识和敏锐的市场洞察力，还需拥有卓越的…</x:v>
      </x:c>
      <x:c r="L339" s="26" t="str">
        <x:v>1. 负责制定并执行全面的咨询服务策略，确保服务方案满足客户需求，提高客户满意度及忠诚度。 2. 管理和培训咨询团队，通过设定清晰的目标和期望，激发团队成员潜能，提升整体工作效率和服务质量。 3. 与关键客户建立长期合作…</x:v>
      </x:c>
    </x:row>
    <x:row r="340" ht="72" customHeight="1">
      <x:c r="A340" s="25" t="n">
        <x:v>11232</x:v>
      </x:c>
      <x:c r="B340" s="25" t="str">
        <x:v>IC-L3-489</x:v>
      </x:c>
      <x:c r="C340" s="25" t="str">
        <x:v>咨询经理</x:v>
      </x:c>
      <x:c r="D340" s="25" t="str">
        <x:v>2-06-07-01</x:v>
      </x:c>
      <x:c r="E340" s="25" t="str">
        <x:v>国际商务专业人员</x:v>
      </x:c>
      <x:c r="F340" s="28" t="n">
        <x:f>COUNTIF('岗位-产业节点关系'!$C$4:$C$709,B340)</x:f>
        <x:v>0</x:v>
      </x:c>
      <x:c r="G340" s="26" t="str">
        <x:f>IF(F340=0,"未匹配（现有产业链范围未覆盖或证据不足）",IF(COUNTIFS('岗位-产业节点关系'!$C$4:$C$709,B340,'岗位-产业节点关系'!$M$4:$M$709,"低")&gt;0,"已匹配，建议复核","已匹配"))</x:f>
        <x:v>未匹配（现有产业链范围未覆盖或证据不足）</x:v>
      </x:c>
      <x:c r="H340" s="26" t="str">
        <x:v>-</x:v>
      </x:c>
      <x:c r="I340" s="26" t="str"/>
      <x:c r="J340" s="26" t="str"/>
      <x:c r="K340" s="26" t="str">
        <x:v>咨询经理是咨询行业中不可或缺的角色，他们通过提供专业的建议和支持来帮助企业解决复杂的问题，优化业务流程并提高效率。这一职位不仅要求深厚的专业知识，还需要卓越的人际交往能力和项目管理技能，以确保客户能够获得最高质量的服务体…</x:v>
      </x:c>
      <x:c r="L340" s="26" t="str">
        <x:v>1. 负责与客户进行初步接触，明确客户需求，评估项目可行性，并设计相应的咨询服务方案。 2. 组织并指导项目团队开展调研工作，收集相关数据资料，进行深入分析，形成专业报告。 3. 与客户保持定期沟通，汇报项目进展，解答疑…</x:v>
      </x:c>
    </x:row>
    <x:row r="341" ht="72" customHeight="1">
      <x:c r="A341" s="25" t="n">
        <x:v>11233</x:v>
      </x:c>
      <x:c r="B341" s="25" t="str">
        <x:v>IC-L3-490</x:v>
      </x:c>
      <x:c r="C341" s="25" t="str">
        <x:v>情报信息分析人员</x:v>
      </x:c>
      <x:c r="D341" s="25" t="str">
        <x:v>2-06-07-01</x:v>
      </x:c>
      <x:c r="E341" s="25" t="str">
        <x:v>国际商务专业人员</x:v>
      </x:c>
      <x:c r="F341" s="28" t="n">
        <x:f>COUNTIF('岗位-产业节点关系'!$C$4:$C$709,B341)</x:f>
        <x:v>1</x:v>
      </x:c>
      <x:c r="G341" s="26" t="str">
        <x:f>IF(F341=0,"未匹配（现有产业链范围未覆盖或证据不足）",IF(COUNTIFS('岗位-产业节点关系'!$C$4:$C$709,B341,'岗位-产业节点关系'!$M$4:$M$709,"低")&gt;0,"已匹配，建议复核","已匹配"))</x:f>
        <x:v>已匹配，建议复核</x:v>
      </x:c>
      <x:c r="H341" s="26" t="str">
        <x:v>低</x:v>
      </x:c>
      <x:c r="I341" s="26" t="str">
        <x:v>ICN002</x:v>
      </x:c>
      <x:c r="J341" s="26" t="str">
        <x:v>数据要素与数字经济产业链/中游/数据治理、流通与服务</x:v>
      </x:c>
      <x:c r="K341" s="26" t="str">
        <x:v>情报信息分析人员是咨询、法律及翻译行业中不可或缺的专业人才，他们通过对大量数据和信息的深入挖掘与分析，为企业决策提供强有力的支持。作为情报信息分析人员，其工作不仅限于收集信息，更重要的是能够从复杂的信息中提炼出有价值的情…</x:v>
      </x:c>
      <x:c r="L341" s="26" t="str">
        <x:v>1. 收集、整理并分析来自不同渠道的数据资料，包括但不限于公开报告、新闻报道、行业动态等，以识别市场趋势、客户偏好及竞争对手策略。 2. 运用统计学方法和数据分析工具，对收集到的信息进行深度解析，形成结构化的研究报告，为…</x:v>
      </x:c>
    </x:row>
    <x:row r="342" ht="72" customHeight="1">
      <x:c r="A342" s="25" t="n">
        <x:v>11234</x:v>
      </x:c>
      <x:c r="B342" s="25" t="str">
        <x:v>IC-L3-491</x:v>
      </x:c>
      <x:c r="C342" s="25" t="str">
        <x:v>猎头/人才中介</x:v>
      </x:c>
      <x:c r="D342" s="25" t="str">
        <x:v>2-06-07-01</x:v>
      </x:c>
      <x:c r="E342" s="25" t="str">
        <x:v>国际商务专业人员</x:v>
      </x:c>
      <x:c r="F342" s="28" t="n">
        <x:f>COUNTIF('岗位-产业节点关系'!$C$4:$C$709,B342)</x:f>
        <x:v>0</x:v>
      </x:c>
      <x:c r="G342" s="26" t="str">
        <x:f>IF(F342=0,"未匹配（现有产业链范围未覆盖或证据不足）",IF(COUNTIFS('岗位-产业节点关系'!$C$4:$C$709,B342,'岗位-产业节点关系'!$M$4:$M$709,"低")&gt;0,"已匹配，建议复核","已匹配"))</x:f>
        <x:v>未匹配（现有产业链范围未覆盖或证据不足）</x:v>
      </x:c>
      <x:c r="H342" s="26" t="str">
        <x:v>-</x:v>
      </x:c>
      <x:c r="I342" s="26" t="str"/>
      <x:c r="J342" s="26" t="str"/>
      <x:c r="K342" s="26" t="str">
        <x:v>猎头/人才中介是咨询行业中不可或缺的角色，他们通过专业的招聘技巧和服务，为企业寻找最合适的高端人才，同时也为求职者提供职业发展的机会。猎头顾问在企业和人才之间架起了一座桥梁，促进双方的高效匹配。 猎头顾问的核心目标在于深…</x:v>
      </x:c>
      <x:c r="L342" s="26" t="str">
        <x:v>1. 与客户进行深入沟通，明确客户的招聘需求，包括但不限于职位描述、薪资待遇、工作地点等关键信息。 2. 利用各种渠道搜寻并筛选符合条件的候选人，建立并维护高质量的人才库。 3. 安排候选人面试，协助双方完成初步交流，跟…</x:v>
      </x:c>
    </x:row>
    <x:row r="343" ht="72" customHeight="1">
      <x:c r="A343" s="25" t="n">
        <x:v>11235</x:v>
      </x:c>
      <x:c r="B343" s="25" t="str">
        <x:v>IC-L3-492</x:v>
      </x:c>
      <x:c r="C343" s="25" t="str">
        <x:v>管理咨询师</x:v>
      </x:c>
      <x:c r="D343" s="25" t="str">
        <x:v>2-06-07-01</x:v>
      </x:c>
      <x:c r="E343" s="25" t="str">
        <x:v>国际商务专业人员</x:v>
      </x:c>
      <x:c r="F343" s="28" t="n">
        <x:f>COUNTIF('岗位-产业节点关系'!$C$4:$C$709,B343)</x:f>
        <x:v>0</x:v>
      </x:c>
      <x:c r="G343" s="26" t="str">
        <x:f>IF(F343=0,"未匹配（现有产业链范围未覆盖或证据不足）",IF(COUNTIFS('岗位-产业节点关系'!$C$4:$C$709,B343,'岗位-产业节点关系'!$M$4:$M$709,"低")&gt;0,"已匹配，建议复核","已匹配"))</x:f>
        <x:v>未匹配（现有产业链范围未覆盖或证据不足）</x:v>
      </x:c>
      <x:c r="H343" s="26" t="str">
        <x:v>-</x:v>
      </x:c>
      <x:c r="I343" s="26" t="str"/>
      <x:c r="J343" s="26" t="str"/>
      <x:c r="K343" s="26" t="str">
        <x:v>管理咨询师在咨询行业中扮演着至关重要的角色，他们通过提供专业的业务策略、运营改进以及组织发展建议，帮助企业解决复杂问题并实现其战略目标。作为企业与市场之间的桥梁，管理咨询师不仅需要具备深厚的理论知识，还应拥有丰富的实践经…</x:v>
      </x:c>
      <x:c r="L343" s="26" t="str">
        <x:v>1. 与客户进行沟通，深入了解客户需求，明确咨询项目的范围和目标。 2. 收集并分析相关数据，运用专业知识评估企业现状，识别存在的问题点。 3. 设计并制定优化方案，指导客户执行改进措施，确保项目成果达到预期效果。 4.…</x:v>
      </x:c>
    </x:row>
    <x:row r="344" ht="72" customHeight="1">
      <x:c r="A344" s="25" t="n">
        <x:v>11236</x:v>
      </x:c>
      <x:c r="B344" s="25" t="str">
        <x:v>IC-L3-493</x:v>
      </x:c>
      <x:c r="C344" s="25" t="str">
        <x:v>行业研究员</x:v>
      </x:c>
      <x:c r="D344" s="25" t="str">
        <x:v>2-01-06-03</x:v>
      </x:c>
      <x:c r="E344" s="25" t="str">
        <x:v>化学研究人员</x:v>
      </x:c>
      <x:c r="F344" s="28" t="n">
        <x:f>COUNTIF('岗位-产业节点关系'!$C$4:$C$709,B344)</x:f>
        <x:v>0</x:v>
      </x:c>
      <x:c r="G344" s="26" t="str">
        <x:f>IF(F344=0,"未匹配（现有产业链范围未覆盖或证据不足）",IF(COUNTIFS('岗位-产业节点关系'!$C$4:$C$709,B344,'岗位-产业节点关系'!$M$4:$M$709,"低")&gt;0,"已匹配，建议复核","已匹配"))</x:f>
        <x:v>未匹配（现有产业链范围未覆盖或证据不足）</x:v>
      </x:c>
      <x:c r="H344" s="26" t="str">
        <x:v>-</x:v>
      </x:c>
      <x:c r="I344" s="26" t="str"/>
      <x:c r="J344" s="26" t="str"/>
      <x:c r="K344" s="26" t="str">
        <x:v>行业研究员是咨询/法律/翻译行业中不可或缺的专业人才，他们通过对特定领域的深入研究与分析，为企业提供精准的市场洞察和战略建议。该职位不仅要求具备扎实的专业知识背景，还需拥有敏锐的市场嗅觉和良好的数据分析能力，以确保研究成…</x:v>
      </x:c>
      <x:c r="L344" s="26" t="str">
        <x:v>1. 负责收集并分析国内外相关行业的最新动态，定期撰写行业研究报告，为公司决策层提供科学依据。 2. 针对公司业务需求，开展专项课题研究，挖掘潜在市场机会，评估投资可行性，提出建设性意见。 3. 与客户及合作伙伴保持良好…</x:v>
      </x:c>
    </x:row>
    <x:row r="345" ht="72" customHeight="1">
      <x:c r="A345" s="25" t="n">
        <x:v>11237</x:v>
      </x:c>
      <x:c r="B345" s="25" t="str">
        <x:v>IC-L3-494</x:v>
      </x:c>
      <x:c r="C345" s="25" t="str">
        <x:v>调研员</x:v>
      </x:c>
      <x:c r="D345" s="25" t="str">
        <x:v>2-06-07-01</x:v>
      </x:c>
      <x:c r="E345" s="25" t="str">
        <x:v>国际商务专业人员</x:v>
      </x:c>
      <x:c r="F345" s="28" t="n">
        <x:f>COUNTIF('岗位-产业节点关系'!$C$4:$C$709,B345)</x:f>
        <x:v>0</x:v>
      </x:c>
      <x:c r="G345" s="26" t="str">
        <x:f>IF(F345=0,"未匹配（现有产业链范围未覆盖或证据不足）",IF(COUNTIFS('岗位-产业节点关系'!$C$4:$C$709,B345,'岗位-产业节点关系'!$M$4:$M$709,"低")&gt;0,"已匹配，建议复核","已匹配"))</x:f>
        <x:v>未匹配（现有产业链范围未覆盖或证据不足）</x:v>
      </x:c>
      <x:c r="H345" s="26" t="str">
        <x:v>-</x:v>
      </x:c>
      <x:c r="I345" s="26" t="str"/>
      <x:c r="J345" s="26" t="str"/>
      <x:c r="K345" s="26" t="str">
        <x:v>调研员是咨询行业中不可或缺的角色，他们通过深入研究市场趋势、客户需求以及竞争对手情况，为企业提供科学的数据支持和决策依据。这一职位不仅要求具备敏锐的洞察力和严谨的分析能力，还需要能够快速适应不断变化的市场环境，确保企业战…</x:v>
      </x:c>
      <x:c r="L345" s="26" t="str">
        <x:v>1. 负责定期收集和整理市场信息，包括但不限于行业报告、政策法规变动及客户反馈意见，确保信息的时效性和准确性。 2. 运用统计学方法和数据分析工具对收集到的信息进行系统性分析，提炼出有价值的见解和建议，形成书面报告提交给…</x:v>
      </x:c>
    </x:row>
    <x:row r="346" ht="72" customHeight="1">
      <x:c r="A346" s="25" t="n">
        <x:v>11238</x:v>
      </x:c>
      <x:c r="B346" s="25" t="str">
        <x:v>IC-L3-495</x:v>
      </x:c>
      <x:c r="C346" s="25" t="str">
        <x:v>专利律师</x:v>
      </x:c>
      <x:c r="D346" s="25" t="str">
        <x:v>2-07-04-00</x:v>
      </x:c>
      <x:c r="E346" s="25" t="str">
        <x:v>律师</x:v>
      </x:c>
      <x:c r="F346" s="28" t="n">
        <x:f>COUNTIF('岗位-产业节点关系'!$C$4:$C$709,B346)</x:f>
        <x:v>0</x:v>
      </x:c>
      <x:c r="G346" s="26" t="str">
        <x:f>IF(F346=0,"未匹配（现有产业链范围未覆盖或证据不足）",IF(COUNTIFS('岗位-产业节点关系'!$C$4:$C$709,B346,'岗位-产业节点关系'!$M$4:$M$709,"低")&gt;0,"已匹配，建议复核","已匹配"))</x:f>
        <x:v>未匹配（现有产业链范围未覆盖或证据不足）</x:v>
      </x:c>
      <x:c r="H346" s="26" t="str">
        <x:v>-</x:v>
      </x:c>
      <x:c r="I346" s="26" t="str"/>
      <x:c r="J346" s="26" t="str"/>
      <x:c r="K346" s="26" t="str">
        <x:v>专利律师是咨询/法律领域中不可或缺的专业人才，他们专注于知识产权法，特别是专利法方面的工作。这一角色不仅帮助客户保护其创新成果，防止未经授权的使用或复制，还通过法律手段维护客户的合法权益，在促进技术创新与市场公平竞争中发…</x:v>
      </x:c>
      <x:c r="L346" s="26" t="str">
        <x:v>1. 负责为客户的新产品或新技术提供全面的专利保护策略建议，确保其符合国内外相关法律法规要求。 2. 精准撰写专利申请书，准确表达技术方案的特点及优势，提高专利授权的成功率。 3. 对现有专利文献进行深入研究，分析竞争对…</x:v>
      </x:c>
    </x:row>
    <x:row r="347" ht="72" customHeight="1">
      <x:c r="A347" s="25" t="n">
        <x:v>11239</x:v>
      </x:c>
      <x:c r="B347" s="25" t="str">
        <x:v>IC-L3-496</x:v>
      </x:c>
      <x:c r="C347" s="25" t="str">
        <x:v>书记员</x:v>
      </x:c>
      <x:c r="D347" s="25" t="str">
        <x:v>2-07-04-00</x:v>
      </x:c>
      <x:c r="E347" s="25" t="str">
        <x:v>律师</x:v>
      </x:c>
      <x:c r="F347" s="28" t="n">
        <x:f>COUNTIF('岗位-产业节点关系'!$C$4:$C$709,B347)</x:f>
        <x:v>0</x:v>
      </x:c>
      <x:c r="G347" s="26" t="str">
        <x:f>IF(F347=0,"未匹配（现有产业链范围未覆盖或证据不足）",IF(COUNTIFS('岗位-产业节点关系'!$C$4:$C$709,B347,'岗位-产业节点关系'!$M$4:$M$709,"低")&gt;0,"已匹配，建议复核","已匹配"))</x:f>
        <x:v>未匹配（现有产业链范围未覆盖或证据不足）</x:v>
      </x:c>
      <x:c r="H347" s="26" t="str">
        <x:v>-</x:v>
      </x:c>
      <x:c r="I347" s="26" t="str"/>
      <x:c r="J347" s="26" t="str"/>
      <x:c r="K347" s="26" t="str">
        <x:v>作为律师团队中的关键成员，书记员在咨询、法律与翻译行业中扮演着不可或缺的角色。他们不仅负责确保所有文件的准确无误，还协助律师准备案件材料，保证法律程序的顺利进行。书记员的专业技能和服务态度直接影响到客户对律师事务所的第一…</x:v>
      </x:c>
      <x:c r="L347" s="26" t="str">
        <x:v>1. 负责整理、归档和更新所有案件相关的文件资料，确保信息的完整性和准确性。 2. 协助律师起草法律文书，包括诉状、答辩状、申请书等，确保文稿符合法律规定并及时提交。 3. 安排并记录客户的预约会面，同时跟踪案件进展，定…</x:v>
      </x:c>
    </x:row>
    <x:row r="348" ht="72" customHeight="1">
      <x:c r="A348" s="25" t="n">
        <x:v>11240</x:v>
      </x:c>
      <x:c r="B348" s="25" t="str">
        <x:v>IC-L3-497</x:v>
      </x:c>
      <x:c r="C348" s="25" t="str">
        <x:v>事务所律师</x:v>
      </x:c>
      <x:c r="D348" s="25" t="str">
        <x:v>2-07-04-00</x:v>
      </x:c>
      <x:c r="E348" s="25" t="str">
        <x:v>律师</x:v>
      </x:c>
      <x:c r="F348" s="28" t="n">
        <x:f>COUNTIF('岗位-产业节点关系'!$C$4:$C$709,B348)</x:f>
        <x:v>0</x:v>
      </x:c>
      <x:c r="G348" s="26" t="str">
        <x:f>IF(F348=0,"未匹配（现有产业链范围未覆盖或证据不足）",IF(COUNTIFS('岗位-产业节点关系'!$C$4:$C$709,B348,'岗位-产业节点关系'!$M$4:$M$709,"低")&gt;0,"已匹配，建议复核","已匹配"))</x:f>
        <x:v>未匹配（现有产业链范围未覆盖或证据不足）</x:v>
      </x:c>
      <x:c r="H348" s="26" t="str">
        <x:v>-</x:v>
      </x:c>
      <x:c r="I348" s="26" t="str"/>
      <x:c r="J348" s="26" t="str"/>
      <x:c r="K348" s="26" t="str">
        <x:v>作为事务所律师，您将处于法律服务行业的核心位置，扮演着连接客户与法律体系的重要桥梁。您的专业知识和技能不仅能够帮助客户解决复杂的法律问题，还能够在维护正义的同时促进社会和谐发展。作为公司的一员，您的主要任务是为客户提供高…</x:v>
      </x:c>
      <x:c r="L348" s="26" t="str">
        <x:v>1. 为客户提供专业的法律咨询，涵盖但不限于合同法、知识产权法等领域，确保客户了解其权利与义务。 2. 负责起草、审查及修改各类法律文件，包括但不限于合同、协议书等，以确保其合法性和有效性。 3. 代表客户参与诉讼或仲裁…</x:v>
      </x:c>
    </x:row>
    <x:row r="349" ht="72" customHeight="1">
      <x:c r="A349" s="25" t="n">
        <x:v>11241</x:v>
      </x:c>
      <x:c r="B349" s="25" t="str">
        <x:v>IC-L3-498</x:v>
      </x:c>
      <x:c r="C349" s="25" t="str">
        <x:v>律师助理</x:v>
      </x:c>
      <x:c r="D349" s="25" t="str">
        <x:v>2-07-04-00</x:v>
      </x:c>
      <x:c r="E349" s="25" t="str">
        <x:v>律师</x:v>
      </x:c>
      <x:c r="F349" s="28" t="n">
        <x:f>COUNTIF('岗位-产业节点关系'!$C$4:$C$709,B349)</x:f>
        <x:v>0</x:v>
      </x:c>
      <x:c r="G349" s="26" t="str">
        <x:f>IF(F349=0,"未匹配（现有产业链范围未覆盖或证据不足）",IF(COUNTIFS('岗位-产业节点关系'!$C$4:$C$709,B349,'岗位-产业节点关系'!$M$4:$M$709,"低")&gt;0,"已匹配，建议复核","已匹配"))</x:f>
        <x:v>未匹配（现有产业链范围未覆盖或证据不足）</x:v>
      </x:c>
      <x:c r="H349" s="26" t="str">
        <x:v>-</x:v>
      </x:c>
      <x:c r="I349" s="26" t="str"/>
      <x:c r="J349" s="26" t="str"/>
      <x:c r="K349" s="26" t="str">
        <x:v>律师助理是法律行业中不可或缺的角色，他们作为律师与客户之间的桥梁，负责处理日常行政事务和支持律师进行案件准备。这一职位不仅要求具备扎实的法律知识，还要求有良好的沟通能力和细致入微的工作态度，以确保所有法律程序的顺利进行。…</x:v>
      </x:c>
      <x:c r="L349" s="26" t="str">
        <x:v>1. 负责整理并归档各类法律文书，确保资料完整、准确无误，以便于律师随时查阅。 2. 协助律师开展法律调研，收集相关案例资料，分析法律法规，为案件提供有力支持。 3. 与客户进行初步沟通，了解客户需求，记录重要信息，并及…</x:v>
      </x:c>
    </x:row>
    <x:row r="350" ht="72" customHeight="1">
      <x:c r="A350" s="25" t="n">
        <x:v>11242</x:v>
      </x:c>
      <x:c r="B350" s="25" t="str">
        <x:v>IC-L3-499</x:v>
      </x:c>
      <x:c r="C350" s="25" t="str">
        <x:v>律师合伙人</x:v>
      </x:c>
      <x:c r="D350" s="25" t="str">
        <x:v>2-07-04-00</x:v>
      </x:c>
      <x:c r="E350" s="25" t="str">
        <x:v>律师</x:v>
      </x:c>
      <x:c r="F350" s="28" t="n">
        <x:f>COUNTIF('岗位-产业节点关系'!$C$4:$C$709,B350)</x:f>
        <x:v>0</x:v>
      </x:c>
      <x:c r="G350" s="26" t="str">
        <x:f>IF(F350=0,"未匹配（现有产业链范围未覆盖或证据不足）",IF(COUNTIFS('岗位-产业节点关系'!$C$4:$C$709,B350,'岗位-产业节点关系'!$M$4:$M$709,"低")&gt;0,"已匹配，建议复核","已匹配"))</x:f>
        <x:v>未匹配（现有产业链范围未覆盖或证据不足）</x:v>
      </x:c>
      <x:c r="H350" s="26" t="str">
        <x:v>-</x:v>
      </x:c>
      <x:c r="I350" s="26" t="str"/>
      <x:c r="J350" s="26" t="str"/>
      <x:c r="K350" s="26" t="str">
        <x:v>律师合伙人在咨询/法律行业中扮演着至关重要的角色，他们不仅是法律服务的专业提供者，更是客户信任与依赖的法律战略伙伴。作为律所的核心成员之一，律师合伙人负责引领业务发展，确保法律服务质量达到最高标准，同时促进团队的专业成长…</x:v>
      </x:c>
      <x:c r="L350" s="26" t="str">
        <x:v>1. 负责领导特定领域或行业的法律服务团队，确保向客户提供高质量的法律意见和服务，满足客户的法律需求并超越其期望。 2. 开发和维护长期客户关系，通过深入了解客户需求，设计和实施有效的法律解决方案，提升客户满意度和忠诚度…</x:v>
      </x:c>
    </x:row>
    <x:row r="351" ht="72" customHeight="1">
      <x:c r="A351" s="25" t="n">
        <x:v>11243</x:v>
      </x:c>
      <x:c r="B351" s="25" t="str">
        <x:v>IC-L3-500</x:v>
      </x:c>
      <x:c r="C351" s="25" t="str">
        <x:v>检察官助理</x:v>
      </x:c>
      <x:c r="D351" s="25" t="str">
        <x:v>2-07-03-00</x:v>
      </x:c>
      <x:c r="E351" s="25" t="str">
        <x:v>检察官</x:v>
      </x:c>
      <x:c r="F351" s="28" t="n">
        <x:f>COUNTIF('岗位-产业节点关系'!$C$4:$C$709,B351)</x:f>
        <x:v>0</x:v>
      </x:c>
      <x:c r="G351" s="26" t="str">
        <x:f>IF(F351=0,"未匹配（现有产业链范围未覆盖或证据不足）",IF(COUNTIFS('岗位-产业节点关系'!$C$4:$C$709,B351,'岗位-产业节点关系'!$M$4:$M$709,"低")&gt;0,"已匹配，建议复核","已匹配"))</x:f>
        <x:v>未匹配（现有产业链范围未覆盖或证据不足）</x:v>
      </x:c>
      <x:c r="H351" s="26" t="str">
        <x:v>-</x:v>
      </x:c>
      <x:c r="I351" s="26" t="str"/>
      <x:c r="J351" s="26" t="str"/>
      <x:c r="K351" s="26" t="str">
        <x:v>检察官助理是法律体系中不可或缺的专业人才，主要负责协助检察官处理各类案件，确保司法公正与效率。该职位不仅要求具备扎实的法律知识基础，还需要拥有良好的逻辑思维能力和沟通技巧，能够准确理解法律条款并有效传达给相关人员。 该职…</x:v>
      </x:c>
      <x:c r="L351" s="26" t="str">
        <x:v>1. 协助检察官审查案件材料，分析案情，制定合理的诉讼策略。 2. 收集、整理相关证据资料，确保其完整性和合法性，支持案件审理工作顺利进行。 3. 起草法律文书，如起诉书、答辩状等，确保内容准确无误，符合法律规定。 4.…</x:v>
      </x:c>
    </x:row>
    <x:row r="352" ht="72" customHeight="1">
      <x:c r="A352" s="25" t="n">
        <x:v>11244</x:v>
      </x:c>
      <x:c r="B352" s="25" t="str">
        <x:v>IC-L3-501</x:v>
      </x:c>
      <x:c r="C352" s="25" t="str">
        <x:v>民事律师</x:v>
      </x:c>
      <x:c r="D352" s="25" t="str">
        <x:v>2-07-04-00</x:v>
      </x:c>
      <x:c r="E352" s="25" t="str">
        <x:v>律师</x:v>
      </x:c>
      <x:c r="F352" s="28" t="n">
        <x:f>COUNTIF('岗位-产业节点关系'!$C$4:$C$709,B352)</x:f>
        <x:v>0</x:v>
      </x:c>
      <x:c r="G352" s="26" t="str">
        <x:f>IF(F352=0,"未匹配（现有产业链范围未覆盖或证据不足）",IF(COUNTIFS('岗位-产业节点关系'!$C$4:$C$709,B352,'岗位-产业节点关系'!$M$4:$M$709,"低")&gt;0,"已匹配，建议复核","已匹配"))</x:f>
        <x:v>未匹配（现有产业链范围未覆盖或证据不足）</x:v>
      </x:c>
      <x:c r="H352" s="26" t="str">
        <x:v>-</x:v>
      </x:c>
      <x:c r="I352" s="26" t="str"/>
      <x:c r="J352" s="26" t="str"/>
      <x:c r="K352" s="26" t="str">
        <x:v>民事律师是咨询/法律行业中不可或缺的专业人才，他们通过专业的法律知识和技巧，帮助客户解决个人或商业上的民事纠纷。作为法律体系的重要组成部分，民事律师不仅维护了法律的公正与权威，也为社会稳定和谐作出了贡献。他们通过提供高质…</x:v>
      </x:c>
      <x:c r="L352" s="26" t="str">
        <x:v>1. 为客户提供全面的民事法律咨询服务，包括但不限于合同审查、法律意见书撰写等，确保客户的合法权益得到充分保护。 2. 代表客户参与民事诉讼活动，准备相关法律文件，出庭辩护，力求在法庭上获得最有利的结果。 3. 定期跟踪…</x:v>
      </x:c>
    </x:row>
    <x:row r="353" ht="72" customHeight="1">
      <x:c r="A353" s="25" t="n">
        <x:v>11245</x:v>
      </x:c>
      <x:c r="B353" s="25" t="str">
        <x:v>IC-L3-502</x:v>
      </x:c>
      <x:c r="C353" s="25" t="str">
        <x:v>知识产权律师</x:v>
      </x:c>
      <x:c r="D353" s="25" t="str">
        <x:v>2-07-04-00</x:v>
      </x:c>
      <x:c r="E353" s="25" t="str">
        <x:v>律师</x:v>
      </x:c>
      <x:c r="F353" s="28" t="n">
        <x:f>COUNTIF('岗位-产业节点关系'!$C$4:$C$709,B353)</x:f>
        <x:v>0</x:v>
      </x:c>
      <x:c r="G353" s="26" t="str">
        <x:f>IF(F353=0,"未匹配（现有产业链范围未覆盖或证据不足）",IF(COUNTIFS('岗位-产业节点关系'!$C$4:$C$709,B353,'岗位-产业节点关系'!$M$4:$M$709,"低")&gt;0,"已匹配，建议复核","已匹配"))</x:f>
        <x:v>未匹配（现有产业链范围未覆盖或证据不足）</x:v>
      </x:c>
      <x:c r="H353" s="26" t="str">
        <x:v>-</x:v>
      </x:c>
      <x:c r="I353" s="26" t="str"/>
      <x:c r="J353" s="26" t="str"/>
      <x:c r="K353" s="26" t="str">
        <x:v>知识产权律师是咨询与法律行业中不可或缺的专业人才，他们专注于处理与知识产权相关的法律事务，如专利、商标、版权等，确保客户的知识产权得到有效保护。通过提供专业的法律咨询和服务，知识产权律师不仅帮助公司避免潜在的法律风险，还…</x:v>
      </x:c>
      <x:c r="L353" s="26" t="str">
        <x:v>1. 为客户提供全面的知识产权法律咨询服务，包括但不限于专利申请、商标注册、版权登记等，确保客户权益最大化。 2. 分析并解决复杂的知识产权争议案件，代表客户参与诉讼或仲裁程序，维护其合法权益。 3. 定期跟踪国内外知识…</x:v>
      </x:c>
    </x:row>
    <x:row r="354" ht="72" customHeight="1">
      <x:c r="A354" s="25" t="n">
        <x:v>11246</x:v>
      </x:c>
      <x:c r="B354" s="25" t="str">
        <x:v>IC-L3-503</x:v>
      </x:c>
      <x:c r="C354" s="25" t="str">
        <x:v>诉讼律师</x:v>
      </x:c>
      <x:c r="D354" s="25" t="str">
        <x:v>2-07-04-00</x:v>
      </x:c>
      <x:c r="E354" s="25" t="str">
        <x:v>律师</x:v>
      </x:c>
      <x:c r="F354" s="28" t="n">
        <x:f>COUNTIF('岗位-产业节点关系'!$C$4:$C$709,B354)</x:f>
        <x:v>0</x:v>
      </x:c>
      <x:c r="G354" s="26" t="str">
        <x:f>IF(F354=0,"未匹配（现有产业链范围未覆盖或证据不足）",IF(COUNTIFS('岗位-产业节点关系'!$C$4:$C$709,B354,'岗位-产业节点关系'!$M$4:$M$709,"低")&gt;0,"已匹配，建议复核","已匹配"))</x:f>
        <x:v>未匹配（现有产业链范围未覆盖或证据不足）</x:v>
      </x:c>
      <x:c r="H354" s="26" t="str">
        <x:v>-</x:v>
      </x:c>
      <x:c r="I354" s="26" t="str"/>
      <x:c r="J354" s="26" t="str"/>
      <x:c r="K354" s="26" t="str">
        <x:v>诉讼律师是咨询/法律行业中不可或缺的专业人才，他们在解决争议、维护客户权益方面发挥着至关重要的作用。通过专业的法律知识与技能，他们不仅能够为客户争取到最有利的结果，还能够在复杂多变的法律环境中为公司提供战略支持，降低法律…</x:v>
      </x:c>
      <x:c r="L354" s="26" t="str">
        <x:v>1. 负责处理各类民事、刑事及行政诉讼案件，从接案到结案全程跟进，确保案件高效有序地推进。 2. 对涉案事实进行深入分析，研究相关法律法规，撰写高质量的法律文书，包括起诉状、答辩状、代理词等。 3. 出庭参与庭审，代表当…</x:v>
      </x:c>
    </x:row>
    <x:row r="355" ht="72" customHeight="1">
      <x:c r="A355" s="25" t="n">
        <x:v>11247</x:v>
      </x:c>
      <x:c r="B355" s="25" t="str">
        <x:v>IC-L3-504</x:v>
      </x:c>
      <x:c r="C355" s="25" t="str">
        <x:v>中国方言翻译</x:v>
      </x:c>
      <x:c r="D355" s="25" t="str">
        <x:v>2-10-05-00</x:v>
      </x:c>
      <x:c r="E355" s="25" t="str">
        <x:v>翻译</x:v>
      </x:c>
      <x:c r="F355" s="28" t="n">
        <x:f>COUNTIF('岗位-产业节点关系'!$C$4:$C$709,B355)</x:f>
        <x:v>0</x:v>
      </x:c>
      <x:c r="G355" s="26" t="str">
        <x:f>IF(F355=0,"未匹配（现有产业链范围未覆盖或证据不足）",IF(COUNTIFS('岗位-产业节点关系'!$C$4:$C$709,B355,'岗位-产业节点关系'!$M$4:$M$709,"低")&gt;0,"已匹配，建议复核","已匹配"))</x:f>
        <x:v>未匹配（现有产业链范围未覆盖或证据不足）</x:v>
      </x:c>
      <x:c r="H355" s="26" t="str">
        <x:v>-</x:v>
      </x:c>
      <x:c r="I355" s="26" t="str"/>
      <x:c r="J355" s="26" t="str"/>
      <x:c r="K355" s="26" t="str">
        <x:v>中国方言翻译在咨询、法律及翻译行业中扮演着至关重要的角色。随着全球化进程的加速，不同文化背景下的沟通需求日益增长，尤其是对于中国市场而言，地方方言的准确理解和传达成为了连接企业和当地市场的重要桥梁。本职位旨在通过精准的方…</x:v>
      </x:c>
      <x:c r="L355" s="26" t="str">
        <x:v>1. 负责将中文普通话或其他标准书面材料准确无误地翻译成指定的中国方言，确保译文符合当地习惯用语，传达正确的信息和情感。 2. 与项目团队紧密合作，参与项目初期的需求分析会议，了解客户的具体要求，为客户提供量身定制的方言…</x:v>
      </x:c>
    </x:row>
    <x:row r="356" ht="72" customHeight="1">
      <x:c r="A356" s="25" t="n">
        <x:v>11248</x:v>
      </x:c>
      <x:c r="B356" s="25" t="str">
        <x:v>IC-L3-505</x:v>
      </x:c>
      <x:c r="C356" s="25" t="str">
        <x:v>俄语翻译</x:v>
      </x:c>
      <x:c r="D356" s="25" t="str">
        <x:v>2-10-05-00</x:v>
      </x:c>
      <x:c r="E356" s="25" t="str">
        <x:v>翻译</x:v>
      </x:c>
      <x:c r="F356" s="28" t="n">
        <x:f>COUNTIF('岗位-产业节点关系'!$C$4:$C$709,B356)</x:f>
        <x:v>0</x:v>
      </x:c>
      <x:c r="G356" s="26" t="str">
        <x:f>IF(F356=0,"未匹配（现有产业链范围未覆盖或证据不足）",IF(COUNTIFS('岗位-产业节点关系'!$C$4:$C$709,B356,'岗位-产业节点关系'!$M$4:$M$709,"低")&gt;0,"已匹配，建议复核","已匹配"))</x:f>
        <x:v>未匹配（现有产业链范围未覆盖或证据不足）</x:v>
      </x:c>
      <x:c r="H356" s="26" t="str">
        <x:v>-</x:v>
      </x:c>
      <x:c r="I356" s="26" t="str"/>
      <x:c r="J356" s="26" t="str"/>
      <x:c r="K356" s="26" t="str">
        <x:v>俄语翻译是咨询/法律/翻译行业中不可或缺的专业人才，负责确保跨语言沟通的准确性和流畅性，对于促进国际合作和交流具有重要作用。通过精准的语言转换，俄语翻译能够帮助公司克服语言障碍，加深与俄罗斯及其他俄语国家客户的联系，从而…</x:v>
      </x:c>
      <x:c r="L356" s="26" t="str">
        <x:v>1. 负责公司各类文件、资料的俄语笔译工作，包括但不限于合同、报告、宣传材料等，确保翻译质量符合行业标准和客户需求。 2. 参与商务谈判、会议等场合的口译任务，准确传达双方意图，协助建立良好的商业关系。 3. 定期收集并…</x:v>
      </x:c>
    </x:row>
    <x:row r="357" ht="72" customHeight="1">
      <x:c r="A357" s="25" t="n">
        <x:v>11249</x:v>
      </x:c>
      <x:c r="B357" s="25" t="str">
        <x:v>IC-L3-506</x:v>
      </x:c>
      <x:c r="C357" s="25" t="str">
        <x:v>其他语种翻译</x:v>
      </x:c>
      <x:c r="D357" s="25" t="str">
        <x:v>2-10-05-00</x:v>
      </x:c>
      <x:c r="E357" s="25" t="str">
        <x:v>翻译</x:v>
      </x:c>
      <x:c r="F357" s="28" t="n">
        <x:f>COUNTIF('岗位-产业节点关系'!$C$4:$C$709,B357)</x:f>
        <x:v>0</x:v>
      </x:c>
      <x:c r="G357" s="26" t="str">
        <x:f>IF(F357=0,"未匹配（现有产业链范围未覆盖或证据不足）",IF(COUNTIFS('岗位-产业节点关系'!$C$4:$C$709,B357,'岗位-产业节点关系'!$M$4:$M$709,"低")&gt;0,"已匹配，建议复核","已匹配"))</x:f>
        <x:v>未匹配（现有产业链范围未覆盖或证据不足）</x:v>
      </x:c>
      <x:c r="H357" s="26" t="str">
        <x:v>-</x:v>
      </x:c>
      <x:c r="I357" s="26" t="str"/>
      <x:c r="J357" s="26" t="str"/>
      <x:c r="K357" s="26" t="str">
        <x:v>在咨询、法律及翻译行业中，其他语种翻译作为沟通桥梁，起着至关重要的作用。他们不仅能够促进不同文化背景下的客户与企业之间的有效交流，还能够确保信息传递的准确无误，是推动国际合作与项目进展不可或缺的力量。通过提供高质量的语言…</x:v>
      </x:c>
      <x:c r="L357" s="26" t="str">
        <x:v>1. 负责将指定文件（包括但不限于合同、报告、宣传材料等）从源语言准确无误地翻译为目标语言，确保译文忠实原文并符合行业标准。 2. 与项目团队紧密合作，了解客户需求，及时反馈翻译过程中遇到的问题，提出合理化建议，优化翻译…</x:v>
      </x:c>
    </x:row>
    <x:row r="358" ht="72" customHeight="1">
      <x:c r="A358" s="25" t="n">
        <x:v>11250</x:v>
      </x:c>
      <x:c r="B358" s="25" t="str">
        <x:v>IC-L3-507</x:v>
      </x:c>
      <x:c r="C358" s="25" t="str">
        <x:v>录入校对员</x:v>
      </x:c>
      <x:c r="D358" s="25" t="str">
        <x:v>2-10-03-00</x:v>
      </x:c>
      <x:c r="E358" s="25" t="str">
        <x:v>校对员</x:v>
      </x:c>
      <x:c r="F358" s="28" t="n">
        <x:f>COUNTIF('岗位-产业节点关系'!$C$4:$C$709,B358)</x:f>
        <x:v>0</x:v>
      </x:c>
      <x:c r="G358" s="26" t="str">
        <x:f>IF(F358=0,"未匹配（现有产业链范围未覆盖或证据不足）",IF(COUNTIFS('岗位-产业节点关系'!$C$4:$C$709,B358,'岗位-产业节点关系'!$M$4:$M$709,"低")&gt;0,"已匹配，建议复核","已匹配"))</x:f>
        <x:v>未匹配（现有产业链范围未覆盖或证据不足）</x:v>
      </x:c>
      <x:c r="H358" s="26" t="str">
        <x:v>-</x:v>
      </x:c>
      <x:c r="I358" s="26" t="str"/>
      <x:c r="J358" s="26" t="str"/>
      <x:c r="K358" s="26" t="str">
        <x:v>录入校对员是咨询/法律/翻译行业中不可或缺的角色之一，他们负责确保所有翻译材料的准确性和完整性，对于提升公司服务质量和客户满意度起着关键作用。通过细致入微地检查文档，纠正错误并优化语言表达，录入校对员帮助公司向客户提供最…</x:v>
      </x:c>
      <x:c r="L358" s="26" t="str">
        <x:v>1. 仔细阅读并核对翻译稿件，确保内容无误，符合目标语言的语法规范及行业术语要求。 2. 使用专业软件工具，高效完成文字录入工作，保证数据录入的准确性与时效性。 3. 对比源文件与译文，查找并修正错漏之处，提高文档的整体…</x:v>
      </x:c>
    </x:row>
    <x:row r="359" ht="72" customHeight="1">
      <x:c r="A359" s="25" t="n">
        <x:v>11251</x:v>
      </x:c>
      <x:c r="B359" s="25" t="str">
        <x:v>IC-L3-508</x:v>
      </x:c>
      <x:c r="C359" s="25" t="str">
        <x:v>德语翻译</x:v>
      </x:c>
      <x:c r="D359" s="25" t="str">
        <x:v>2-10-05-00</x:v>
      </x:c>
      <x:c r="E359" s="25" t="str">
        <x:v>翻译</x:v>
      </x:c>
      <x:c r="F359" s="28" t="n">
        <x:f>COUNTIF('岗位-产业节点关系'!$C$4:$C$709,B359)</x:f>
        <x:v>0</x:v>
      </x:c>
      <x:c r="G359" s="26" t="str">
        <x:f>IF(F359=0,"未匹配（现有产业链范围未覆盖或证据不足）",IF(COUNTIFS('岗位-产业节点关系'!$C$4:$C$709,B359,'岗位-产业节点关系'!$M$4:$M$709,"低")&gt;0,"已匹配，建议复核","已匹配"))</x:f>
        <x:v>未匹配（现有产业链范围未覆盖或证据不足）</x:v>
      </x:c>
      <x:c r="H359" s="26" t="str">
        <x:v>-</x:v>
      </x:c>
      <x:c r="I359" s="26" t="str"/>
      <x:c r="J359" s="26" t="str"/>
      <x:c r="K359" s="26" t="str">
        <x:v>德语翻译是咨询/法律/翻译行业中不可或缺的专业人才，通过精准的语言转换，架起国际交流的桥梁，促进不同文化背景下的有效沟通。该职位不仅要求具备深厚的德语功底，还需拥有良好的中文表达能力，以及对相关领域专业知识的理解。 德语…</x:v>
      </x:c>
      <x:c r="L359" s="26" t="str">
        <x:v>1. 负责公司内部及对外所有德文资料的笔译工作，保证翻译质量符合行业标准，满足客户需求。 2. 参与商务谈判、技术交流等场合的口译任务，确保双方沟通顺畅无误，达成预期合作目的。 3. 定期更新并维护公司德语术语库，确保术…</x:v>
      </x:c>
    </x:row>
    <x:row r="360" ht="72" customHeight="1">
      <x:c r="A360" s="25" t="n">
        <x:v>11252</x:v>
      </x:c>
      <x:c r="B360" s="25" t="str">
        <x:v>IC-L3-509</x:v>
      </x:c>
      <x:c r="C360" s="25" t="str">
        <x:v>意大利语翻译</x:v>
      </x:c>
      <x:c r="D360" s="25" t="str">
        <x:v>2-10-05-00</x:v>
      </x:c>
      <x:c r="E360" s="25" t="str">
        <x:v>翻译</x:v>
      </x:c>
      <x:c r="F360" s="28" t="n">
        <x:f>COUNTIF('岗位-产业节点关系'!$C$4:$C$709,B360)</x:f>
        <x:v>0</x:v>
      </x:c>
      <x:c r="G360" s="26" t="str">
        <x:f>IF(F360=0,"未匹配（现有产业链范围未覆盖或证据不足）",IF(COUNTIFS('岗位-产业节点关系'!$C$4:$C$709,B360,'岗位-产业节点关系'!$M$4:$M$709,"低")&gt;0,"已匹配，建议复核","已匹配"))</x:f>
        <x:v>未匹配（现有产业链范围未覆盖或证据不足）</x:v>
      </x:c>
      <x:c r="H360" s="26" t="str">
        <x:v>-</x:v>
      </x:c>
      <x:c r="I360" s="26" t="str"/>
      <x:c r="J360" s="26" t="str"/>
      <x:c r="K360" s="26" t="str">
        <x:v>意大利语翻译是咨询/法律/翻译行业中不可或缺的角色，负责确保跨国业务交流的准确无误，通过专业的语言服务促进国际间的信息流通与合作。此职位不仅是语言的桥梁，更是文化理解与沟通的艺术大师，在维护客户关系及提升企业形象方面发挥…</x:v>
      </x:c>
      <x:c r="L360" s="26" t="str">
        <x:v>1. 负责公司内部及外部各类文档、邮件、合同等材料的意大利语与中文互译工作，保证翻译质量符合行业标准。 2. 参与国际会议或商务谈判，担任现场口译员，准确传达双方意图，协助建立良好的合作伙伴关系。 3. 对接意大利市场相…</x:v>
      </x:c>
    </x:row>
    <x:row r="361" ht="72" customHeight="1">
      <x:c r="A361" s="25" t="n">
        <x:v>11253</x:v>
      </x:c>
      <x:c r="B361" s="25" t="str">
        <x:v>IC-L3-510</x:v>
      </x:c>
      <x:c r="C361" s="25" t="str">
        <x:v>日语翻译</x:v>
      </x:c>
      <x:c r="D361" s="25" t="str">
        <x:v>2-10-05-00</x:v>
      </x:c>
      <x:c r="E361" s="25" t="str">
        <x:v>翻译</x:v>
      </x:c>
      <x:c r="F361" s="28" t="n">
        <x:f>COUNTIF('岗位-产业节点关系'!$C$4:$C$709,B361)</x:f>
        <x:v>0</x:v>
      </x:c>
      <x:c r="G361" s="26" t="str">
        <x:f>IF(F361=0,"未匹配（现有产业链范围未覆盖或证据不足）",IF(COUNTIFS('岗位-产业节点关系'!$C$4:$C$709,B361,'岗位-产业节点关系'!$M$4:$M$709,"低")&gt;0,"已匹配，建议复核","已匹配"))</x:f>
        <x:v>未匹配（现有产业链范围未覆盖或证据不足）</x:v>
      </x:c>
      <x:c r="H361" s="26" t="str">
        <x:v>-</x:v>
      </x:c>
      <x:c r="I361" s="26" t="str"/>
      <x:c r="J361" s="26" t="str"/>
      <x:c r="K361" s="26" t="str">
        <x:v>日语翻译是咨询/法律/翻译行业中不可或缺的角色，他们不仅是语言的桥梁，更是文化的传递者。通过精准的语言转换，日语翻译能够帮助企业在国际交流中准确传达信息，消除文化差异带来的障碍，促进双方的合作与理解。作为公司与日本客户或…</x:v>
      </x:c>
      <x:c r="L361" s="26" t="str">
        <x:v>1. 负责公司内部文件及对外资料的日文翻译工作，确保翻译内容的专业性和准确性。 2. 在各类商务活动中担任口译员，如电话会议、视频会议、现场谈判等场合，保证沟通顺畅高效。 3. 协助处理与日本客户的日常联络事务，包括但不…</x:v>
      </x:c>
    </x:row>
    <x:row r="362" ht="72" customHeight="1">
      <x:c r="A362" s="25" t="n">
        <x:v>11254</x:v>
      </x:c>
      <x:c r="B362" s="25" t="str">
        <x:v>IC-L3-511</x:v>
      </x:c>
      <x:c r="C362" s="25" t="str">
        <x:v>法语翻译</x:v>
      </x:c>
      <x:c r="D362" s="25" t="str">
        <x:v>2-10-05-00</x:v>
      </x:c>
      <x:c r="E362" s="25" t="str">
        <x:v>翻译</x:v>
      </x:c>
      <x:c r="F362" s="28" t="n">
        <x:f>COUNTIF('岗位-产业节点关系'!$C$4:$C$709,B362)</x:f>
        <x:v>0</x:v>
      </x:c>
      <x:c r="G362" s="26" t="str">
        <x:f>IF(F362=0,"未匹配（现有产业链范围未覆盖或证据不足）",IF(COUNTIFS('岗位-产业节点关系'!$C$4:$C$709,B362,'岗位-产业节点关系'!$M$4:$M$709,"低")&gt;0,"已匹配，建议复核","已匹配"))</x:f>
        <x:v>未匹配（现有产业链范围未覆盖或证据不足）</x:v>
      </x:c>
      <x:c r="H362" s="26" t="str">
        <x:v>-</x:v>
      </x:c>
      <x:c r="I362" s="26" t="str"/>
      <x:c r="J362" s="26" t="str"/>
      <x:c r="K362" s="26" t="str">
        <x:v>法语翻译作为连接国际交流与合作的关键桥梁，在咨询、法律及翻译行业中扮演着至关重要的角色。通过精准的语言转换服务，不仅能够促进文化间的理解与融合，还能够在商业谈判、法律文件审阅等多方面发挥不可替代的作用。法语翻译是企业拓展…</x:v>
      </x:c>
      <x:c r="L362" s="26" t="str">
        <x:v>1. 负责各类文件（包括但不限于合同、报告、邮件）的法语至中文或中文至法语的双向翻译工作，确保内容准确无误，风格得体。 2. 参与国际会议、商务洽谈等活动，提供现场口译支持，保障沟通顺畅，协助建立良好的国际关系。 3. …</x:v>
      </x:c>
    </x:row>
    <x:row r="363" ht="72" customHeight="1">
      <x:c r="A363" s="25" t="n">
        <x:v>11255</x:v>
      </x:c>
      <x:c r="B363" s="25" t="str">
        <x:v>IC-L3-512</x:v>
      </x:c>
      <x:c r="C363" s="25" t="str">
        <x:v>泰语翻译</x:v>
      </x:c>
      <x:c r="D363" s="25" t="str">
        <x:v>2-10-05-00</x:v>
      </x:c>
      <x:c r="E363" s="25" t="str">
        <x:v>翻译</x:v>
      </x:c>
      <x:c r="F363" s="28" t="n">
        <x:f>COUNTIF('岗位-产业节点关系'!$C$4:$C$709,B363)</x:f>
        <x:v>0</x:v>
      </x:c>
      <x:c r="G363" s="26" t="str">
        <x:f>IF(F363=0,"未匹配（现有产业链范围未覆盖或证据不足）",IF(COUNTIFS('岗位-产业节点关系'!$C$4:$C$709,B363,'岗位-产业节点关系'!$M$4:$M$709,"低")&gt;0,"已匹配，建议复核","已匹配"))</x:f>
        <x:v>未匹配（现有产业链范围未覆盖或证据不足）</x:v>
      </x:c>
      <x:c r="H363" s="26" t="str">
        <x:v>-</x:v>
      </x:c>
      <x:c r="I363" s="26" t="str"/>
      <x:c r="J363" s="26" t="str"/>
      <x:c r="K363" s="26" t="str">
        <x:v>泰语翻译是咨询/法律/翻译行业中不可或缺的专业人才，其在促进国际交流与合作中扮演着关键角色。通过精准的语言转换，泰语翻译不仅架起了不同文化背景之间的沟通桥梁，还确保了商业、法律文件以及日常对话的准确无误，极大提升了跨国业…</x:v>
      </x:c>
      <x:c r="L363" s="26" t="str">
        <x:v>1. 负责公司各类文件资料的泰语笔译工作，确保翻译内容准确无误，符合行业标准。 2. 参与公司内部及客户的泰语口译活动，包括电话会议、商务谈判等场合，保证双方有效沟通。 3. 协助处理与泰国相关的市场调研、产品介绍等工作…</x:v>
      </x:c>
    </x:row>
    <x:row r="364" ht="72" customHeight="1">
      <x:c r="A364" s="25" t="n">
        <x:v>11256</x:v>
      </x:c>
      <x:c r="B364" s="25" t="str">
        <x:v>IC-L3-513</x:v>
      </x:c>
      <x:c r="C364" s="25" t="str">
        <x:v>英语翻译</x:v>
      </x:c>
      <x:c r="D364" s="25" t="str">
        <x:v>2-10-05-00</x:v>
      </x:c>
      <x:c r="E364" s="25" t="str">
        <x:v>翻译</x:v>
      </x:c>
      <x:c r="F364" s="28" t="n">
        <x:f>COUNTIF('岗位-产业节点关系'!$C$4:$C$709,B364)</x:f>
        <x:v>0</x:v>
      </x:c>
      <x:c r="G364" s="26" t="str">
        <x:f>IF(F364=0,"未匹配（现有产业链范围未覆盖或证据不足）",IF(COUNTIFS('岗位-产业节点关系'!$C$4:$C$709,B364,'岗位-产业节点关系'!$M$4:$M$709,"低")&gt;0,"已匹配，建议复核","已匹配"))</x:f>
        <x:v>未匹配（现有产业链范围未覆盖或证据不足）</x:v>
      </x:c>
      <x:c r="H364" s="26" t="str">
        <x:v>-</x:v>
      </x:c>
      <x:c r="I364" s="26" t="str"/>
      <x:c r="J364" s="26" t="str"/>
      <x:c r="K364" s="26" t="str">
        <x:v>**岗位简介** 英语翻译是咨询/法律/翻译行业中不可或缺的角色，通过精准的语言转换，确保了国际间的信息交流无障碍。该职位不仅要求具备深厚的英语语言功底，还需拥有良好的跨文化沟通能力，以满足不同客户的需求。 核心目标在于…</x:v>
      </x:c>
      <x:c r="L364" s="26" t="str">
        <x:v>英语翻译的主要职责包括：负责将英文资料准确翻译成中文，确保内容的准确性和专业性；参与跨文化沟通项目，确保信息传递的准确无误；定期参与翻译培训和研讨会，提升个人翻译技能；与团队成员协作，确保翻译项目的按时交付；对翻译内容进…</x:v>
      </x:c>
    </x:row>
    <x:row r="365" ht="72" customHeight="1">
      <x:c r="A365" s="25" t="n">
        <x:v>11257</x:v>
      </x:c>
      <x:c r="B365" s="25" t="str">
        <x:v>IC-L3-514</x:v>
      </x:c>
      <x:c r="C365" s="25" t="str">
        <x:v>葡萄牙语翻译</x:v>
      </x:c>
      <x:c r="D365" s="25" t="str">
        <x:v>2-10-05-00</x:v>
      </x:c>
      <x:c r="E365" s="25" t="str">
        <x:v>翻译</x:v>
      </x:c>
      <x:c r="F365" s="28" t="n">
        <x:f>COUNTIF('岗位-产业节点关系'!$C$4:$C$709,B365)</x:f>
        <x:v>0</x:v>
      </x:c>
      <x:c r="G365" s="26" t="str">
        <x:f>IF(F365=0,"未匹配（现有产业链范围未覆盖或证据不足）",IF(COUNTIFS('岗位-产业节点关系'!$C$4:$C$709,B365,'岗位-产业节点关系'!$M$4:$M$709,"低")&gt;0,"已匹配，建议复核","已匹配"))</x:f>
        <x:v>未匹配（现有产业链范围未覆盖或证据不足）</x:v>
      </x:c>
      <x:c r="H365" s="26" t="str">
        <x:v>-</x:v>
      </x:c>
      <x:c r="I365" s="26" t="str"/>
      <x:c r="J365" s="26" t="str"/>
      <x:c r="K365" s="26" t="str">
        <x:v>葡萄牙语翻译是咨询/法律/翻译行业中不可或缺的专业人才，其角色在于搭建中文与葡萄牙语之间的沟通桥梁，确保信息准确无误地传达。作为语言专家，他们不仅需要具备扎实的语言基础，还需要了解相关行业的背景知识，以提高翻译的质量和效…</x:v>
      </x:c>
      <x:c r="L365" s="26" t="str">
        <x:v>1. 负责各类文档资料的葡萄牙语与中文互译工作，确保翻译内容的准确性和专业性。 2. 参与翻译项目的前期准备，包括术语库建设、参考资料搜集等工作，以提高工作效率和质量。 3. 与客户保持良好沟通，理解并满足客户的特定需求…</x:v>
      </x:c>
    </x:row>
    <x:row r="366" ht="72" customHeight="1">
      <x:c r="A366" s="25" t="n">
        <x:v>11258</x:v>
      </x:c>
      <x:c r="B366" s="25" t="str">
        <x:v>IC-L3-515</x:v>
      </x:c>
      <x:c r="C366" s="25" t="str">
        <x:v>西班牙语翻译</x:v>
      </x:c>
      <x:c r="D366" s="25" t="str">
        <x:v>2-10-05-00</x:v>
      </x:c>
      <x:c r="E366" s="25" t="str">
        <x:v>翻译</x:v>
      </x:c>
      <x:c r="F366" s="28" t="n">
        <x:f>COUNTIF('岗位-产业节点关系'!$C$4:$C$709,B366)</x:f>
        <x:v>0</x:v>
      </x:c>
      <x:c r="G366" s="26" t="str">
        <x:f>IF(F366=0,"未匹配（现有产业链范围未覆盖或证据不足）",IF(COUNTIFS('岗位-产业节点关系'!$C$4:$C$709,B366,'岗位-产业节点关系'!$M$4:$M$709,"低")&gt;0,"已匹配，建议复核","已匹配"))</x:f>
        <x:v>未匹配（现有产业链范围未覆盖或证据不足）</x:v>
      </x:c>
      <x:c r="H366" s="26" t="str">
        <x:v>-</x:v>
      </x:c>
      <x:c r="I366" s="26" t="str"/>
      <x:c r="J366" s="26" t="str"/>
      <x:c r="K366" s="26" t="str">
        <x:v>西班牙语翻译在咨询/法律/翻译行业中扮演着至关重要的角色，不仅能够帮助公司跨越语言障碍，促进国际业务的顺利开展，而且是连接不同文化背景客户与企业之间的桥梁。通过精准的语言转换服务，该职位确保了信息传达的准确性和时效性，对…</x:v>
      </x:c>
      <x:c r="L366" s="26" t="str">
        <x:v>1. 负责公司各类文档资料（包括但不限于合同、报告、宣传材料等）的西班牙语与中文互译工作，确保翻译内容忠实于原文，符合行业标准。 2. 为客户提供专业的现场口译服务，涵盖商务会谈、产品演示、技术培训等多个场景，保证沟通顺…</x:v>
      </x:c>
    </x:row>
    <x:row r="367" ht="72" customHeight="1">
      <x:c r="A367" s="25" t="n">
        <x:v>11259</x:v>
      </x:c>
      <x:c r="B367" s="25" t="str">
        <x:v>IC-L3-516</x:v>
      </x:c>
      <x:c r="C367" s="25" t="str">
        <x:v>阿拉伯语翻译</x:v>
      </x:c>
      <x:c r="D367" s="25" t="str">
        <x:v>2-10-05-00</x:v>
      </x:c>
      <x:c r="E367" s="25" t="str">
        <x:v>翻译</x:v>
      </x:c>
      <x:c r="F367" s="28" t="n">
        <x:f>COUNTIF('岗位-产业节点关系'!$C$4:$C$709,B367)</x:f>
        <x:v>0</x:v>
      </x:c>
      <x:c r="G367" s="26" t="str">
        <x:f>IF(F367=0,"未匹配（现有产业链范围未覆盖或证据不足）",IF(COUNTIFS('岗位-产业节点关系'!$C$4:$C$709,B367,'岗位-产业节点关系'!$M$4:$M$709,"低")&gt;0,"已匹配，建议复核","已匹配"))</x:f>
        <x:v>未匹配（现有产业链范围未覆盖或证据不足）</x:v>
      </x:c>
      <x:c r="H367" s="26" t="str">
        <x:v>-</x:v>
      </x:c>
      <x:c r="I367" s="26" t="str"/>
      <x:c r="J367" s="26" t="str"/>
      <x:c r="K367" s="26" t="str">
        <x:v>阿拉伯语翻译在咨询/法律/翻译行业中扮演着至关重要的角色，他们不仅是语言的桥梁，更是文化的使者。通过精准的语言转换，阿拉伯语翻译能够帮助企业与阿拉伯国家建立紧密的联系，促进双方在商业、法律等领域的合作与交流。 该职位的核…</x:v>
      </x:c>
      <x:c r="L367" s="26" t="str">
        <x:v>1. 负责公司与阿拉伯国家间各类文件（包括但不限于合同、报告、信函）的笔译工作，确保译文准确、流畅，符合目标语言的文化习惯。 2. 在公司举办的各类国际会议、谈判场合提供口译服务，保证双方沟通无障碍，协助建立良好的商务关…</x:v>
      </x:c>
    </x:row>
    <x:row r="368" ht="72" customHeight="1">
      <x:c r="A368" s="25" t="n">
        <x:v>11260</x:v>
      </x:c>
      <x:c r="B368" s="25" t="str">
        <x:v>IC-L3-517</x:v>
      </x:c>
      <x:c r="C368" s="25" t="str">
        <x:v>韩语/朝鲜语翻译</x:v>
      </x:c>
      <x:c r="D368" s="25" t="str">
        <x:v>2-10-05-00</x:v>
      </x:c>
      <x:c r="E368" s="25" t="str">
        <x:v>翻译</x:v>
      </x:c>
      <x:c r="F368" s="28" t="n">
        <x:f>COUNTIF('岗位-产业节点关系'!$C$4:$C$709,B368)</x:f>
        <x:v>0</x:v>
      </x:c>
      <x:c r="G368" s="26" t="str">
        <x:f>IF(F368=0,"未匹配（现有产业链范围未覆盖或证据不足）",IF(COUNTIFS('岗位-产业节点关系'!$C$4:$C$709,B368,'岗位-产业节点关系'!$M$4:$M$709,"低")&gt;0,"已匹配，建议复核","已匹配"))</x:f>
        <x:v>未匹配（现有产业链范围未覆盖或证据不足）</x:v>
      </x:c>
      <x:c r="H368" s="26" t="str">
        <x:v>-</x:v>
      </x:c>
      <x:c r="I368" s="26" t="str"/>
      <x:c r="J368" s="26" t="str"/>
      <x:c r="K368" s="26" t="str">
        <x:v>韩语/朝鲜语翻译是咨询、法律及翻译行业中不可或缺的专业人才，通过精准的语言转换，确保跨国业务沟通无碍，促进国际间的信息交流与合作。该职位不仅要求具备出色的双语能力，还需拥有深厚的文化背景知识，以准确传达原意并避免文化差异…</x:v>
      </x:c>
      <x:c r="L368" s="26" t="str">
        <x:v>1. 负责公司内部文件、合同、报告等各类文档的韩语与中文互译工作，确保翻译内容准确无误，符合行业标准。 2. 为公司举办的各类会议、商务谈判提供现场口译支持，确保双方顺畅沟通，提高会议效率。 3. 协助处理与韩国客户相关…</x:v>
      </x:c>
    </x:row>
    <x:row r="369" ht="72" customHeight="1">
      <x:c r="A369" s="25" t="n">
        <x:v>11261</x:v>
      </x:c>
      <x:c r="B369" s="25" t="str">
        <x:v>IC-L3-518</x:v>
      </x:c>
      <x:c r="C369" s="25" t="str">
        <x:v>外语翻译</x:v>
      </x:c>
      <x:c r="D369" s="25" t="str">
        <x:v>2-10-05-00</x:v>
      </x:c>
      <x:c r="E369" s="25" t="str">
        <x:v>翻译</x:v>
      </x:c>
      <x:c r="F369" s="28" t="n">
        <x:f>COUNTIF('岗位-产业节点关系'!$C$4:$C$709,B369)</x:f>
        <x:v>0</x:v>
      </x:c>
      <x:c r="G369" s="26" t="str">
        <x:f>IF(F369=0,"未匹配（现有产业链范围未覆盖或证据不足）",IF(COUNTIFS('岗位-产业节点关系'!$C$4:$C$709,B369,'岗位-产业节点关系'!$M$4:$M$709,"低")&gt;0,"已匹配，建议复核","已匹配"))</x:f>
        <x:v>未匹配（现有产业链范围未覆盖或证据不足）</x:v>
      </x:c>
      <x:c r="H369" s="26" t="str">
        <x:v>-</x:v>
      </x:c>
      <x:c r="I369" s="26" t="str"/>
      <x:c r="J369" s="26" t="str"/>
      <x:c r="K369" s="26" t="str">
        <x:v>外语翻译是专门从事跨语言信息转换的专业人员。该职位的核心目标是通过精准的语言转换，实现不同文化背景下的有效沟通。在日常工作中，需要进行文本翻译、口译服务、术语校对及文化适应性调整等工作。</x:v>
      </x:c>
      <x:c r="L369" s="26" t="str">
        <x:v>1. 翻译各类文书材料 2. 确保译文准确流畅 3. 校对翻译文本内容 4. 沟通翻译需求细节 5. 维护专业术语库 6. 跟进翻译项目进度</x:v>
      </x:c>
    </x:row>
    <x:row r="370" ht="72" customHeight="1">
      <x:c r="A370" s="25" t="n">
        <x:v>11262</x:v>
      </x:c>
      <x:c r="B370" s="25" t="str">
        <x:v>IC-L3-519</x:v>
      </x:c>
      <x:c r="C370" s="25" t="str">
        <x:v>会务/会展专员</x:v>
      </x:c>
      <x:c r="D370" s="25" t="str">
        <x:v>3-01-02-03</x:v>
      </x:c>
      <x:c r="E370" s="25" t="str">
        <x:v>公关员</x:v>
      </x:c>
      <x:c r="F370" s="28" t="n">
        <x:f>COUNTIF('岗位-产业节点关系'!$C$4:$C$709,B370)</x:f>
        <x:v>0</x:v>
      </x:c>
      <x:c r="G370" s="26" t="str">
        <x:f>IF(F370=0,"未匹配（现有产业链范围未覆盖或证据不足）",IF(COUNTIFS('岗位-产业节点关系'!$C$4:$C$709,B370,'岗位-产业节点关系'!$M$4:$M$709,"低")&gt;0,"已匹配，建议复核","已匹配"))</x:f>
        <x:v>未匹配（现有产业链范围未覆盖或证据不足）</x:v>
      </x:c>
      <x:c r="H370" s="26" t="str">
        <x:v>-</x:v>
      </x:c>
      <x:c r="I370" s="26" t="str"/>
      <x:c r="J370" s="26" t="str"/>
      <x:c r="K370" s="26" t="str">
        <x:v>会务/会展专员是市场/公关行业中不可或缺的角色，他们负责策划和执行各种会议及展览活动，确保活动的成功举办，不仅能够提升品牌形象，还能增强客户与企业的互动。作为公司的重要沟通桥梁，该职位的核心目标在于通过高效的组织能力，实…</x:v>
      </x:c>
      <x:c r="L370" s="26" t="str">
        <x:v>1. 负责从前期准备到后期收尾的整个会展活动流程，包括但不限于场地选择、主题设计、预算控制以及时间表制定，确保活动按计划高质量完成。 2. 协调内外部资源，与供应商建立良好的合作关系，监督并指导现场布置、物料制作等工作，…</x:v>
      </x:c>
    </x:row>
    <x:row r="371" ht="72" customHeight="1">
      <x:c r="A371" s="25" t="n">
        <x:v>11263</x:v>
      </x:c>
      <x:c r="B371" s="25" t="str">
        <x:v>IC-L3-520</x:v>
      </x:c>
      <x:c r="C371" s="25" t="str">
        <x:v>会务/会展主管</x:v>
      </x:c>
      <x:c r="D371" s="25" t="str">
        <x:v>3-01-02-03</x:v>
      </x:c>
      <x:c r="E371" s="25" t="str">
        <x:v>公关员</x:v>
      </x:c>
      <x:c r="F371" s="28" t="n">
        <x:f>COUNTIF('岗位-产业节点关系'!$C$4:$C$709,B371)</x:f>
        <x:v>0</x:v>
      </x:c>
      <x:c r="G371" s="26" t="str">
        <x:f>IF(F371=0,"未匹配（现有产业链范围未覆盖或证据不足）",IF(COUNTIFS('岗位-产业节点关系'!$C$4:$C$709,B371,'岗位-产业节点关系'!$M$4:$M$709,"低")&gt;0,"已匹配，建议复核","已匹配"))</x:f>
        <x:v>未匹配（现有产业链范围未覆盖或证据不足）</x:v>
      </x:c>
      <x:c r="H371" s="26" t="str">
        <x:v>-</x:v>
      </x:c>
      <x:c r="I371" s="26" t="str"/>
      <x:c r="J371" s="26" t="str"/>
      <x:c r="K371" s="26" t="str">
        <x:v>会务/会展主管是市场/公关领域中至关重要的角色，主要负责公司各类会议及展览活动的整体策划与执行，确保活动顺利进行并达到预期效果，从而提升品牌形象和市场影响力。该职位的核心目标在于通过高效组织和协调资源，实现从前期准备到后…</x:v>
      </x:c>
      <x:c r="L371" s="26" t="str">
        <x:v>1. 负责制定详细的会务/会展计划，包括活动主题、流程设计、预算控制等，确保活动方案符合公司战略目标。 2. 组织并监督活动现场布置、物料制作、嘉宾邀请等工作，保证活动按时高质量完成。 3. 协调内外部资源，如场地租赁、…</x:v>
      </x:c>
    </x:row>
    <x:row r="372" ht="72" customHeight="1">
      <x:c r="A372" s="25" t="n">
        <x:v>11264</x:v>
      </x:c>
      <x:c r="B372" s="25" t="str">
        <x:v>IC-L3-521</x:v>
      </x:c>
      <x:c r="C372" s="25" t="str">
        <x:v>会务/会展经理</x:v>
      </x:c>
      <x:c r="D372" s="25" t="str">
        <x:v>3-01-02-03</x:v>
      </x:c>
      <x:c r="E372" s="25" t="str">
        <x:v>公关员</x:v>
      </x:c>
      <x:c r="F372" s="28" t="n">
        <x:f>COUNTIF('岗位-产业节点关系'!$C$4:$C$709,B372)</x:f>
        <x:v>0</x:v>
      </x:c>
      <x:c r="G372" s="26" t="str">
        <x:f>IF(F372=0,"未匹配（现有产业链范围未覆盖或证据不足）",IF(COUNTIFS('岗位-产业节点关系'!$C$4:$C$709,B372,'岗位-产业节点关系'!$M$4:$M$709,"低")&gt;0,"已匹配，建议复核","已匹配"))</x:f>
        <x:v>未匹配（现有产业链范围未覆盖或证据不足）</x:v>
      </x:c>
      <x:c r="H372" s="26" t="str">
        <x:v>-</x:v>
      </x:c>
      <x:c r="I372" s="26" t="str"/>
      <x:c r="J372" s="26" t="str"/>
      <x:c r="K372" s="26" t="str">
        <x:v>会务/会展经理是市场/公关行业中不可或缺的角色，负责组织和管理各种规模的会议和展览活动，确保这些活动能够顺利进行并达到预期效果。通过专业的策划与执行，该职位不仅能够提升公司品牌形象，还能促进客户关系的建立与发展，对于企业…</x:v>
      </x:c>
      <x:c r="L372" s="26" t="str">
        <x:v>1. 负责制定详细的会议及展览活动计划，包括预算编制、时间表安排、人员配置等，确保各项准备工作按时完成。 2. 与内部团队及外部合作伙伴保持紧密联系，协调资源，解决活动筹备过程中出现的问题，保证活动顺利进行。 3. 对活…</x:v>
      </x:c>
    </x:row>
    <x:row r="373" ht="72" customHeight="1">
      <x:c r="A373" s="25" t="n">
        <x:v>11265</x:v>
      </x:c>
      <x:c r="B373" s="25" t="str">
        <x:v>IC-L3-522</x:v>
      </x:c>
      <x:c r="C373" s="25" t="str">
        <x:v>公关/媒介助理</x:v>
      </x:c>
      <x:c r="D373" s="25" t="str">
        <x:v>3-01-02-03</x:v>
      </x:c>
      <x:c r="E373" s="25" t="str">
        <x:v>公关员</x:v>
      </x:c>
      <x:c r="F373" s="28" t="n">
        <x:f>COUNTIF('岗位-产业节点关系'!$C$4:$C$709,B373)</x:f>
        <x:v>0</x:v>
      </x:c>
      <x:c r="G373" s="26" t="str">
        <x:f>IF(F373=0,"未匹配（现有产业链范围未覆盖或证据不足）",IF(COUNTIFS('岗位-产业节点关系'!$C$4:$C$709,B373,'岗位-产业节点关系'!$M$4:$M$709,"低")&gt;0,"已匹配，建议复核","已匹配"))</x:f>
        <x:v>未匹配（现有产业链范围未覆盖或证据不足）</x:v>
      </x:c>
      <x:c r="H373" s="26" t="str">
        <x:v>-</x:v>
      </x:c>
      <x:c r="I373" s="26" t="str"/>
      <x:c r="J373" s="26" t="str"/>
      <x:c r="K373" s="26" t="str">
        <x:v>公关/媒介助理是市场/公关行业中不可或缺的角色，负责维护公司与媒体之间的良好关系，确保公司在公众面前的形象正面且一致。通过有效的沟通策略和媒介管理，公关/媒介助理能够提升品牌知名度和美誉度，增强企业的社会影响力。 该职位…</x:v>
      </x:c>
      <x:c r="L373" s="26" t="str">
        <x:v>公关/媒介助理的主要职责包括：协助策划和执行公关活动，维护媒体关系，撰写新闻稿和媒体通稿，监测媒体舆论，收集并分析市场和竞争对手信息，协助处理危机公关，以及管理公司社交媒体账号等内容。</x:v>
      </x:c>
    </x:row>
    <x:row r="374" ht="72" customHeight="1">
      <x:c r="A374" s="25" t="n">
        <x:v>11266</x:v>
      </x:c>
      <x:c r="B374" s="25" t="str">
        <x:v>IC-L3-523</x:v>
      </x:c>
      <x:c r="C374" s="25" t="str">
        <x:v>公关专员</x:v>
      </x:c>
      <x:c r="D374" s="25" t="str">
        <x:v>3-01-02-03</x:v>
      </x:c>
      <x:c r="E374" s="25" t="str">
        <x:v>公关员</x:v>
      </x:c>
      <x:c r="F374" s="28" t="n">
        <x:f>COUNTIF('岗位-产业节点关系'!$C$4:$C$709,B374)</x:f>
        <x:v>0</x:v>
      </x:c>
      <x:c r="G374" s="26" t="str">
        <x:f>IF(F374=0,"未匹配（现有产业链范围未覆盖或证据不足）",IF(COUNTIFS('岗位-产业节点关系'!$C$4:$C$709,B374,'岗位-产业节点关系'!$M$4:$M$709,"低")&gt;0,"已匹配，建议复核","已匹配"))</x:f>
        <x:v>未匹配（现有产业链范围未覆盖或证据不足）</x:v>
      </x:c>
      <x:c r="H374" s="26" t="str">
        <x:v>-</x:v>
      </x:c>
      <x:c r="I374" s="26" t="str"/>
      <x:c r="J374" s="26" t="str"/>
      <x:c r="K374" s="26" t="str">
        <x:v>公关专员是市场/公关行业中不可或缺的角色，负责塑造和维护公司在公众眼中的形象。作为公司与外部世界沟通的桥梁，公关专员通过有效管理媒体关系、策划公关活动等方式，确保公司的正面形象得到广泛传播，同时处理可能出现的负面舆论，以…</x:v>
      </x:c>
      <x:c r="L374" s="26" t="str">
        <x:v>1. 负责与媒体建立和维护良好的合作关系，定期组织新闻发布会、媒体见面会等活动，扩大品牌影响力。 2. 制定并执行公关计划，包括撰写新闻稿、社交媒体内容及危机公关方案，确保信息准确无误地传达给目标受众。 3. 监测并分析…</x:v>
      </x:c>
    </x:row>
    <x:row r="375" ht="72" customHeight="1">
      <x:c r="A375" s="25" t="n">
        <x:v>11267</x:v>
      </x:c>
      <x:c r="B375" s="25" t="str">
        <x:v>IC-L3-524</x:v>
      </x:c>
      <x:c r="C375" s="25" t="str">
        <x:v>公关主管</x:v>
      </x:c>
      <x:c r="D375" s="25" t="str">
        <x:v>3-01-02-03</x:v>
      </x:c>
      <x:c r="E375" s="25" t="str">
        <x:v>公关员</x:v>
      </x:c>
      <x:c r="F375" s="28" t="n">
        <x:f>COUNTIF('岗位-产业节点关系'!$C$4:$C$709,B375)</x:f>
        <x:v>0</x:v>
      </x:c>
      <x:c r="G375" s="26" t="str">
        <x:f>IF(F375=0,"未匹配（现有产业链范围未覆盖或证据不足）",IF(COUNTIFS('岗位-产业节点关系'!$C$4:$C$709,B375,'岗位-产业节点关系'!$M$4:$M$709,"低")&gt;0,"已匹配，建议复核","已匹配"))</x:f>
        <x:v>未匹配（现有产业链范围未覆盖或证据不足）</x:v>
      </x:c>
      <x:c r="H375" s="26" t="str">
        <x:v>-</x:v>
      </x:c>
      <x:c r="I375" s="26" t="str"/>
      <x:c r="J375" s="26" t="str"/>
      <x:c r="K375" s="26" t="str">
        <x:v>公关主管是市场/公关行业中至关重要的角色，负责塑造和维护公司在公众心目中的形象。作为企业与媒体之间的桥梁，公关主管通过有效的沟通策略和活动，确保公司信息准确无误地传达给目标受众，从而建立并保持良好的社会关系。 该职位的核…</x:v>
      </x:c>
      <x:c r="L375" s="26" t="str">
        <x:v>1. 制定并实施年度公关计划，包括但不限于新闻稿撰写、媒体关系维护、事件策划等，旨在提高品牌知名度和正面形象。 2. 监控媒体覆盖情况及舆论动态，及时发现潜在风险点，制定应对措施，有效处理公关危机。 3. 与内部团队（如…</x:v>
      </x:c>
    </x:row>
    <x:row r="376" ht="72" customHeight="1">
      <x:c r="A376" s="25" t="n">
        <x:v>11268</x:v>
      </x:c>
      <x:c r="B376" s="25" t="str">
        <x:v>IC-L3-525</x:v>
      </x:c>
      <x:c r="C376" s="25" t="str">
        <x:v>公关总监</x:v>
      </x:c>
      <x:c r="D376" s="25" t="str">
        <x:v>3-01-02-03</x:v>
      </x:c>
      <x:c r="E376" s="25" t="str">
        <x:v>公关员</x:v>
      </x:c>
      <x:c r="F376" s="28" t="n">
        <x:f>COUNTIF('岗位-产业节点关系'!$C$4:$C$709,B376)</x:f>
        <x:v>0</x:v>
      </x:c>
      <x:c r="G376" s="26" t="str">
        <x:f>IF(F376=0,"未匹配（现有产业链范围未覆盖或证据不足）",IF(COUNTIFS('岗位-产业节点关系'!$C$4:$C$709,B376,'岗位-产业节点关系'!$M$4:$M$709,"低")&gt;0,"已匹配，建议复核","已匹配"))</x:f>
        <x:v>未匹配（现有产业链范围未覆盖或证据不足）</x:v>
      </x:c>
      <x:c r="H376" s="26" t="str">
        <x:v>-</x:v>
      </x:c>
      <x:c r="I376" s="26" t="str"/>
      <x:c r="J376" s="26" t="str"/>
      <x:c r="K376" s="26" t="str">
        <x:v>公关总监是市场/公关行业中不可或缺的角色，负责塑造和维护公司或品牌的公众形象，通过有效的沟通策略增强品牌认知度和好感度。作为公司与外部世界之间的桥梁，公关总监不仅需要具备卓越的沟通技巧，还应拥有敏锐的市场洞察力，能够及时…</x:v>
      </x:c>
      <x:c r="L376" s="26" t="str">
        <x:v>1. 制定并执行全面的公关战略，包括但不限于新闻稿撰写、媒体关系管理、危机公关处理等，以提高公司在目标受众中的知名度和美誉度。 2. 与国内外主流媒体建立并维持良好的合作关系，通过策划和实施各类公关活动，扩大品牌影响力，…</x:v>
      </x:c>
    </x:row>
    <x:row r="377" ht="72" customHeight="1">
      <x:c r="A377" s="25" t="n">
        <x:v>11269</x:v>
      </x:c>
      <x:c r="B377" s="25" t="str">
        <x:v>IC-L3-526</x:v>
      </x:c>
      <x:c r="C377" s="25" t="str">
        <x:v>公关经理</x:v>
      </x:c>
      <x:c r="D377" s="25" t="str">
        <x:v>3-01-02-03</x:v>
      </x:c>
      <x:c r="E377" s="25" t="str">
        <x:v>公关员</x:v>
      </x:c>
      <x:c r="F377" s="28" t="n">
        <x:f>COUNTIF('岗位-产业节点关系'!$C$4:$C$709,B377)</x:f>
        <x:v>0</x:v>
      </x:c>
      <x:c r="G377" s="26" t="str">
        <x:f>IF(F377=0,"未匹配（现有产业链范围未覆盖或证据不足）",IF(COUNTIFS('岗位-产业节点关系'!$C$4:$C$709,B377,'岗位-产业节点关系'!$M$4:$M$709,"低")&gt;0,"已匹配，建议复核","已匹配"))</x:f>
        <x:v>未匹配（现有产业链范围未覆盖或证据不足）</x:v>
      </x:c>
      <x:c r="H377" s="26" t="str">
        <x:v>-</x:v>
      </x:c>
      <x:c r="I377" s="26" t="str"/>
      <x:c r="J377" s="26" t="str"/>
      <x:c r="K377" s="26" t="str">
        <x:v>公关经理是市场/公关行业中不可或缺的角色，主要负责维护和提升企业或品牌的公众形象。通过有效的沟通策略和媒体关系管理，公关经理能够确保公司在公众面前始终保持正面形象，从而为企业创造有利的商业环境。 公关经理的核心目标在于制…</x:v>
      </x:c>
      <x:c r="L377" s="26" t="str">
        <x:v>1. 负责制定并实施全面的公关策略，以提高品牌知名度和影响力，扩大市场份额。 2. 与媒体建立良好的合作关系，定期组织新闻发布会、媒体见面会等活动，确保公司信息准确无误地传达给目标受众。 3. 监控公共舆论趋势，及时发现…</x:v>
      </x:c>
    </x:row>
    <x:row r="378" ht="72" customHeight="1">
      <x:c r="A378" s="25" t="n">
        <x:v>11270</x:v>
      </x:c>
      <x:c r="B378" s="25" t="str">
        <x:v>IC-L3-527</x:v>
      </x:c>
      <x:c r="C378" s="25" t="str">
        <x:v>媒介主管</x:v>
      </x:c>
      <x:c r="D378" s="25" t="str">
        <x:v>3-01-02-03</x:v>
      </x:c>
      <x:c r="E378" s="25" t="str">
        <x:v>公关员</x:v>
      </x:c>
      <x:c r="F378" s="28" t="n">
        <x:f>COUNTIF('岗位-产业节点关系'!$C$4:$C$709,B378)</x:f>
        <x:v>0</x:v>
      </x:c>
      <x:c r="G378" s="26" t="str">
        <x:f>IF(F378=0,"未匹配（现有产业链范围未覆盖或证据不足）",IF(COUNTIFS('岗位-产业节点关系'!$C$4:$C$709,B378,'岗位-产业节点关系'!$M$4:$M$709,"低")&gt;0,"已匹配，建议复核","已匹配"))</x:f>
        <x:v>未匹配（现有产业链范围未覆盖或证据不足）</x:v>
      </x:c>
      <x:c r="H378" s="26" t="str">
        <x:v>-</x:v>
      </x:c>
      <x:c r="I378" s="26" t="str"/>
      <x:c r="J378" s="26" t="str"/>
      <x:c r="K378" s="26" t="str">
        <x:v>媒介主管是市场/公关行业中不可或缺的角色，负责与媒体建立并维护良好关系，确保公司信息的有效传播。通过精准的媒介策略，该职位能够提升品牌的公众形象，增强品牌影响力，同时为公司创造积极的社会舆论环境。媒介主管不仅需要与内部团…</x:v>
      </x:c>
      <x:c r="L378" s="26" t="str">
        <x:v>1. 制定并实施媒介策略，选择合适的渠道发布新闻稿及品牌故事，以扩大公司在目标市场的知名度。 2. 与各类媒体建立长期稳定的合作关系，定期组织媒体见面会，提高品牌曝光率，促进正面报道。 3. 监控市场动态及竞争对手的公关…</x:v>
      </x:c>
    </x:row>
    <x:row r="379" ht="72" customHeight="1">
      <x:c r="A379" s="25" t="n">
        <x:v>11271</x:v>
      </x:c>
      <x:c r="B379" s="25" t="str">
        <x:v>IC-L3-528</x:v>
      </x:c>
      <x:c r="C379" s="25" t="str">
        <x:v>媒介经理</x:v>
      </x:c>
      <x:c r="D379" s="25" t="str">
        <x:v>3-01-02-03</x:v>
      </x:c>
      <x:c r="E379" s="25" t="str">
        <x:v>公关员</x:v>
      </x:c>
      <x:c r="F379" s="28" t="n">
        <x:f>COUNTIF('岗位-产业节点关系'!$C$4:$C$709,B379)</x:f>
        <x:v>0</x:v>
      </x:c>
      <x:c r="G379" s="26" t="str">
        <x:f>IF(F379=0,"未匹配（现有产业链范围未覆盖或证据不足）",IF(COUNTIFS('岗位-产业节点关系'!$C$4:$C$709,B379,'岗位-产业节点关系'!$M$4:$M$709,"低")&gt;0,"已匹配，建议复核","已匹配"))</x:f>
        <x:v>未匹配（现有产业链范围未覆盖或证据不足）</x:v>
      </x:c>
      <x:c r="H379" s="26" t="str">
        <x:v>-</x:v>
      </x:c>
      <x:c r="I379" s="26" t="str"/>
      <x:c r="J379" s="26" t="str"/>
      <x:c r="K379" s="26" t="str">
        <x:v>媒介经理是市场/公关行业中不可或缺的角色，他们负责管理公司与媒体之间的沟通渠道，确保品牌信息能够准确、高效地传达给目标受众。通过建立和维护与媒体的良好关系，媒介经理不仅能够提升品牌的知名度和美誉度，还能够在危机时刻迅速响…</x:v>
      </x:c>
      <x:c r="L379" s="26" t="str">
        <x:v>1. 管理并拓展与各类媒体的关系网络，包括但不限于新闻网站、社交媒体平台、电视广播等，以确保公司信息的有效传播。 2. 制定全面的媒体策略，包括内容创作、新闻发布、事件策划等，旨在增强品牌影响力和公众认知度。 3. 监控…</x:v>
      </x:c>
    </x:row>
    <x:row r="380" ht="72" customHeight="1">
      <x:c r="A380" s="25" t="n">
        <x:v>11272</x:v>
      </x:c>
      <x:c r="B380" s="25" t="str">
        <x:v>IC-L3-529</x:v>
      </x:c>
      <x:c r="C380" s="25" t="str">
        <x:v>媒介销售</x:v>
      </x:c>
      <x:c r="D380" s="25" t="str">
        <x:v>4-01-02-01</x:v>
      </x:c>
      <x:c r="E380" s="25" t="str">
        <x:v>营销员</x:v>
      </x:c>
      <x:c r="F380" s="28" t="n">
        <x:f>COUNTIF('岗位-产业节点关系'!$C$4:$C$709,B380)</x:f>
        <x:v>0</x:v>
      </x:c>
      <x:c r="G380" s="26" t="str">
        <x:f>IF(F380=0,"未匹配（现有产业链范围未覆盖或证据不足）",IF(COUNTIFS('岗位-产业节点关系'!$C$4:$C$709,B380,'岗位-产业节点关系'!$M$4:$M$709,"低")&gt;0,"已匹配，建议复核","已匹配"))</x:f>
        <x:v>未匹配（现有产业链范围未覆盖或证据不足）</x:v>
      </x:c>
      <x:c r="H380" s="26" t="str">
        <x:v>-</x:v>
      </x:c>
      <x:c r="I380" s="26" t="str"/>
      <x:c r="J380" s="26" t="str"/>
      <x:c r="K380" s="26" t="str">
        <x:v>媒介销售是市场/公关行业中不可或缺的角色之一，它通过有效的媒体资源管理与销售策略，搭建起公司与广告客户之间的桥梁，确保双方实现互利共赢。在当前信息爆炸的时代背景下，这一职位的重要性日益凸显，成为推动企业品牌建设及市场拓展…</x:v>
      </x:c>
      <x:c r="L380" s="26" t="str">
        <x:v>1. 负责开发新客户资源，积极拓展销售渠道，确保完成年度销售指标。 2. 定期拜访现有客户，深入了解其需求变化，提供定制化的媒介解决方案。 3. 组织参与各类营销活动，如展会、研讨会等，扩大公司在目标市场的影响力。 4.…</x:v>
      </x:c>
    </x:row>
    <x:row r="381" ht="72" customHeight="1">
      <x:c r="A381" s="25" t="n">
        <x:v>11273</x:v>
      </x:c>
      <x:c r="B381" s="25" t="str">
        <x:v>IC-L3-530</x:v>
      </x:c>
      <x:c r="C381" s="25" t="str">
        <x:v>政府事务管理</x:v>
      </x:c>
      <x:c r="D381" s="25" t="str">
        <x:v>3-01-02-03</x:v>
      </x:c>
      <x:c r="E381" s="25" t="str">
        <x:v>公关员</x:v>
      </x:c>
      <x:c r="F381" s="28" t="n">
        <x:f>COUNTIF('岗位-产业节点关系'!$C$4:$C$709,B381)</x:f>
        <x:v>0</x:v>
      </x:c>
      <x:c r="G381" s="26" t="str">
        <x:f>IF(F381=0,"未匹配（现有产业链范围未覆盖或证据不足）",IF(COUNTIFS('岗位-产业节点关系'!$C$4:$C$709,B381,'岗位-产业节点关系'!$M$4:$M$709,"低")&gt;0,"已匹配，建议复核","已匹配"))</x:f>
        <x:v>未匹配（现有产业链范围未覆盖或证据不足）</x:v>
      </x:c>
      <x:c r="H381" s="26" t="str">
        <x:v>-</x:v>
      </x:c>
      <x:c r="I381" s="26" t="str"/>
      <x:c r="J381" s="26" t="str"/>
      <x:c r="K381" s="26" t="str">
        <x:v>政府事务管理是市场/公关领域中一个至关重要的职位，主要负责与政府机构建立并维护良好的关系，确保公司在政策制定和执行过程中能够有效沟通其利益和立场。作为连接企业与政府之间的桥梁，该职位不仅需要具备优秀的沟通技巧，还需深刻理…</x:v>
      </x:c>
      <x:c r="L381" s="26" t="str">
        <x:v>1. 负责建立并维护与各级政府部门的良好关系，定期拜访关键决策者，及时了解最新政策动态。 2. 分析研究相关法律法规及行业趋势，为公司提供政策建议，协助制定符合政策要求的发展战略。 3. 组织策划政府公关活动，如研讨会、…</x:v>
      </x:c>
    </x:row>
    <x:row r="382" ht="72" customHeight="1">
      <x:c r="A382" s="25" t="n">
        <x:v>11274</x:v>
      </x:c>
      <x:c r="B382" s="25" t="str">
        <x:v>IC-L3-531</x:v>
      </x:c>
      <x:c r="C382" s="25" t="str">
        <x:v>活动执行</x:v>
      </x:c>
      <x:c r="D382" s="25" t="str">
        <x:v>3-01-02-03</x:v>
      </x:c>
      <x:c r="E382" s="25" t="str">
        <x:v>公关员</x:v>
      </x:c>
      <x:c r="F382" s="28" t="n">
        <x:f>COUNTIF('岗位-产业节点关系'!$C$4:$C$709,B382)</x:f>
        <x:v>0</x:v>
      </x:c>
      <x:c r="G382" s="26" t="str">
        <x:f>IF(F382=0,"未匹配（现有产业链范围未覆盖或证据不足）",IF(COUNTIFS('岗位-产业节点关系'!$C$4:$C$709,B382,'岗位-产业节点关系'!$M$4:$M$709,"低")&gt;0,"已匹配，建议复核","已匹配"))</x:f>
        <x:v>未匹配（现有产业链范围未覆盖或证据不足）</x:v>
      </x:c>
      <x:c r="H382" s="26" t="str">
        <x:v>-</x:v>
      </x:c>
      <x:c r="I382" s="26" t="str"/>
      <x:c r="J382" s="26" t="str"/>
      <x:c r="K382" s="26" t="str">
        <x:v>活动执行是市场/公关行业中不可或缺的角色，主要负责各类市场活动的具体实施与协调工作。通过高效地组织和管理活动，确保活动能够顺利进行并达到预期效果，是连接公司内部资源与外部客户的关键桥梁。 该职位的核心目标在于通过精心策划…</x:v>
      </x:c>
      <x:c r="L382" s="26" t="str">
        <x:v>1. 负责从前期准备到后期总结的整个活动流程管理，确保所有细节符合公司标准和客户需求。 2. 与供应商建立良好的合作关系，控制成本，保证活动质量，按时完成各项任务。 3. 协调内部团队成员之间的沟通，解决活动中出现的问题…</x:v>
      </x:c>
    </x:row>
    <x:row r="383" ht="72" customHeight="1">
      <x:c r="A383" s="25" t="n">
        <x:v>11275</x:v>
      </x:c>
      <x:c r="B383" s="25" t="str">
        <x:v>IC-L3-532</x:v>
      </x:c>
      <x:c r="C383" s="25" t="str">
        <x:v>活动策划</x:v>
      </x:c>
      <x:c r="D383" s="25" t="str">
        <x:v>2-06-07-03</x:v>
      </x:c>
      <x:c r="E383" s="25" t="str">
        <x:v>商务策划专业人员</x:v>
      </x:c>
      <x:c r="F383" s="28" t="n">
        <x:f>COUNTIF('岗位-产业节点关系'!$C$4:$C$709,B383)</x:f>
        <x:v>0</x:v>
      </x:c>
      <x:c r="G383" s="26" t="str">
        <x:f>IF(F383=0,"未匹配（现有产业链范围未覆盖或证据不足）",IF(COUNTIFS('岗位-产业节点关系'!$C$4:$C$709,B383,'岗位-产业节点关系'!$M$4:$M$709,"低")&gt;0,"已匹配，建议复核","已匹配"))</x:f>
        <x:v>未匹配（现有产业链范围未覆盖或证据不足）</x:v>
      </x:c>
      <x:c r="H383" s="26" t="str">
        <x:v>-</x:v>
      </x:c>
      <x:c r="I383" s="26" t="str"/>
      <x:c r="J383" s="26" t="str"/>
      <x:c r="K383" s="26" t="str">
        <x:v>活动策划在市场/公关行业中扮演着至关重要的角色。作为连接品牌与消费者的桥梁，活动策划人员通过创意策划和执行各类线下线上活动，不仅能够提升品牌的知名度和影响力，还能有效促进产品或服务的销售。该职位的核心目标在于确保所有活动…</x:v>
      </x:c>
      <x:c r="L383" s="26" t="str">
        <x:v>活动策划岗位的主要职责包括：1）根据公司战略目标，制定活动策划方案；2）负责活动的整体规划、执行和监控，确保活动顺利进行；3）协调内外部资源，与相关部门沟通合作，确保活动顺利实施；4）负责活动的预算管理，控制成本；5）收…</x:v>
      </x:c>
    </x:row>
    <x:row r="384" ht="72" customHeight="1">
      <x:c r="A384" s="25" t="n">
        <x:v>11276</x:v>
      </x:c>
      <x:c r="B384" s="25" t="str">
        <x:v>IC-L3-533</x:v>
      </x:c>
      <x:c r="C384" s="25" t="str">
        <x:v>政府公关</x:v>
      </x:c>
      <x:c r="D384" s="25" t="str">
        <x:v>3-01-02-03</x:v>
      </x:c>
      <x:c r="E384" s="25" t="str">
        <x:v>公关员</x:v>
      </x:c>
      <x:c r="F384" s="28" t="n">
        <x:f>COUNTIF('岗位-产业节点关系'!$C$4:$C$709,B384)</x:f>
        <x:v>0</x:v>
      </x:c>
      <x:c r="G384" s="26" t="str">
        <x:f>IF(F384=0,"未匹配（现有产业链范围未覆盖或证据不足）",IF(COUNTIFS('岗位-产业节点关系'!$C$4:$C$709,B384,'岗位-产业节点关系'!$M$4:$M$709,"低")&gt;0,"已匹配，建议复核","已匹配"))</x:f>
        <x:v>未匹配（现有产业链范围未覆盖或证据不足）</x:v>
      </x:c>
      <x:c r="H384" s="26" t="str">
        <x:v>-</x:v>
      </x:c>
      <x:c r="I384" s="26" t="str"/>
      <x:c r="J384" s="26" t="str"/>
      <x:c r="K384" s="26" t="str">
        <x:v>政府公关是专门从事政府关系维护与政策沟通的专业人员。该职位的核心目标是通过建立良好的政企沟通渠道，推动政策理解与业务发展协同。在日常工作中，需要进行政策研判分析、政府活动策划、公文撰写及政企合作对接等工作。</x:v>
      </x:c>
      <x:c r="L384" s="26" t="str">
        <x:v>1. 维护政府关系 2. 制定公关策略 3. 组织政策解读 4. 协调政企沟通 5. 监测政策变化 6. 策划政府活动</x:v>
      </x:c>
    </x:row>
    <x:row r="385" ht="72" customHeight="1">
      <x:c r="A385" s="25" t="n">
        <x:v>11277</x:v>
      </x:c>
      <x:c r="B385" s="25" t="str">
        <x:v>IC-L3-534</x:v>
      </x:c>
      <x:c r="C385" s="25" t="str">
        <x:v>SEO/SEM市场/营销</x:v>
      </x:c>
      <x:c r="D385" s="25" t="str">
        <x:v>4-01-02-01</x:v>
      </x:c>
      <x:c r="E385" s="25" t="str">
        <x:v>营销员</x:v>
      </x:c>
      <x:c r="F385" s="28" t="n">
        <x:f>COUNTIF('岗位-产业节点关系'!$C$4:$C$709,B385)</x:f>
        <x:v>1</x:v>
      </x:c>
      <x:c r="G385" s="26" t="str">
        <x:f>IF(F385=0,"未匹配（现有产业链范围未覆盖或证据不足）",IF(COUNTIFS('岗位-产业节点关系'!$C$4:$C$709,B385,'岗位-产业节点关系'!$M$4:$M$709,"低")&gt;0,"已匹配，建议复核","已匹配"))</x:f>
        <x:v>已匹配</x:v>
      </x:c>
      <x:c r="H385" s="26" t="str">
        <x:v>高</x:v>
      </x:c>
      <x:c r="I385" s="26" t="str">
        <x:v>ICN003</x:v>
      </x:c>
      <x:c r="J385" s="26" t="str">
        <x:v>数据要素与数字经济产业链/下游/数字经济场景应用与内容创意</x:v>
      </x:c>
      <x:c r="K385" s="26" t="str">
        <x:v>SEO/SEM市场/营销 在市场/公关行业中，SEO/SEM市场/营销专员是推动在线可见度和品牌影响力的关键角色。通过优化搜索引擎排名及利用付费搜索广告来增加网站流量，该职位对于企业在线营销战略的成功至关重要。它不仅有助…</x:v>
      </x:c>
      <x:c r="L385" s="26" t="str">
        <x:v>1. 负责公司网站的搜索引擎优化工作，包括但不限于关键词研究、内部链接构建、元标签设置等，以提升网站在主要搜索引擎中的排名。 2. 制定并实施SEM广告投放策略，选择合适的关键词组合，撰写吸引人的广告文案，管理广告预算，…</x:v>
      </x:c>
    </x:row>
    <x:row r="386" ht="72" customHeight="1">
      <x:c r="A386" s="25" t="n">
        <x:v>11278</x:v>
      </x:c>
      <x:c r="B386" s="25" t="str">
        <x:v>IC-L3-535</x:v>
      </x:c>
      <x:c r="C386" s="25" t="str">
        <x:v>互联网营销师</x:v>
      </x:c>
      <x:c r="D386" s="25" t="str">
        <x:v>2-02-10-03</x:v>
      </x:c>
      <x:c r="E386" s="25" t="str">
        <x:v>计算机软件工程技术人员</x:v>
      </x:c>
      <x:c r="F386" s="28" t="n">
        <x:f>COUNTIF('岗位-产业节点关系'!$C$4:$C$709,B386)</x:f>
        <x:v>1</x:v>
      </x:c>
      <x:c r="G386" s="26" t="str">
        <x:f>IF(F386=0,"未匹配（现有产业链范围未覆盖或证据不足）",IF(COUNTIFS('岗位-产业节点关系'!$C$4:$C$709,B386,'岗位-产业节点关系'!$M$4:$M$709,"低")&gt;0,"已匹配，建议复核","已匹配"))</x:f>
        <x:v>已匹配，建议复核</x:v>
      </x:c>
      <x:c r="H386" s="26" t="str">
        <x:v>低</x:v>
      </x:c>
      <x:c r="I386" s="26" t="str">
        <x:v>ICN003</x:v>
      </x:c>
      <x:c r="J386" s="26" t="str">
        <x:v>数据要素与数字经济产业链/下游/数字经济场景应用与内容创意</x:v>
      </x:c>
      <x:c r="K386" s="26" t="str">
        <x:v>互联网营销师是市场/公关领域中不可或缺的专业人才，通过利用互联网平台和技术手段，实现产品或服务的有效推广。该职位不仅能够帮助公司提升品牌知名度和影响力，还能在激烈的市场竞争中获得更多的商业机会和客户资源，是连接企业和消费…</x:v>
      </x:c>
      <x:c r="L386" s="26" t="str">
        <x:v>1. 负责制定并实施全面的在线营销计划，包括SEO优化、社交媒体运营、内容创作及广告投放等多方面工作，旨在扩大品牌影响力并吸引潜在客户。 2. 运用各种分析工具跟踪营销活动的表现，定期向管理层报告关键指标如访问量、点击率…</x:v>
      </x:c>
    </x:row>
    <x:row r="387" ht="72" customHeight="1">
      <x:c r="A387" s="25" t="n">
        <x:v>11279</x:v>
      </x:c>
      <x:c r="B387" s="25" t="str">
        <x:v>IC-L3-536</x:v>
      </x:c>
      <x:c r="C387" s="25" t="str">
        <x:v>品牌专员</x:v>
      </x:c>
      <x:c r="D387" s="25" t="str">
        <x:v>4-01-02-01</x:v>
      </x:c>
      <x:c r="E387" s="25" t="str">
        <x:v>营销员</x:v>
      </x:c>
      <x:c r="F387" s="28" t="n">
        <x:f>COUNTIF('岗位-产业节点关系'!$C$4:$C$709,B387)</x:f>
        <x:v>0</x:v>
      </x:c>
      <x:c r="G387" s="26" t="str">
        <x:f>IF(F387=0,"未匹配（现有产业链范围未覆盖或证据不足）",IF(COUNTIFS('岗位-产业节点关系'!$C$4:$C$709,B387,'岗位-产业节点关系'!$M$4:$M$709,"低")&gt;0,"已匹配，建议复核","已匹配"))</x:f>
        <x:v>未匹配（现有产业链范围未覆盖或证据不足）</x:v>
      </x:c>
      <x:c r="H387" s="26" t="str">
        <x:v>-</x:v>
      </x:c>
      <x:c r="I387" s="26" t="str"/>
      <x:c r="J387" s="26" t="str"/>
      <x:c r="K387" s="26" t="str">
        <x:v>品牌专员是市场/公关行业中不可或缺的角色，他们通过精心策划的品牌策略和活动，确保品牌形象的一致性和正面性，从而增强品牌影响力和市场竞争力。作为公司与消费者之间的桥梁，品牌专员的核心目标在于建立并维护强大的品牌形象，这不仅…</x:v>
      </x:c>
      <x:c r="L387" s="26" t="str">
        <x:v>1. 负责制定并执行品牌推广计划，包括但不限于线上线下活动策划、社交媒体运营等，以提高品牌的知名度和美誉度。 2. 定期分析市场趋势及竞争对手动态，结合公司业务特点，调整优化品牌策略，确保品牌定位准确无误。 3. 与内部…</x:v>
      </x:c>
    </x:row>
    <x:row r="388" ht="72" customHeight="1">
      <x:c r="A388" s="25" t="n">
        <x:v>11280</x:v>
      </x:c>
      <x:c r="B388" s="25" t="str">
        <x:v>IC-L3-537</x:v>
      </x:c>
      <x:c r="C388" s="25" t="str">
        <x:v>品牌主管</x:v>
      </x:c>
      <x:c r="D388" s="25" t="str">
        <x:v>4-01-02-01</x:v>
      </x:c>
      <x:c r="E388" s="25" t="str">
        <x:v>营销员</x:v>
      </x:c>
      <x:c r="F388" s="28" t="n">
        <x:f>COUNTIF('岗位-产业节点关系'!$C$4:$C$709,B388)</x:f>
        <x:v>0</x:v>
      </x:c>
      <x:c r="G388" s="26" t="str">
        <x:f>IF(F388=0,"未匹配（现有产业链范围未覆盖或证据不足）",IF(COUNTIFS('岗位-产业节点关系'!$C$4:$C$709,B388,'岗位-产业节点关系'!$M$4:$M$709,"低")&gt;0,"已匹配，建议复核","已匹配"))</x:f>
        <x:v>未匹配（现有产业链范围未覆盖或证据不足）</x:v>
      </x:c>
      <x:c r="H388" s="26" t="str">
        <x:v>-</x:v>
      </x:c>
      <x:c r="I388" s="26" t="str"/>
      <x:c r="J388" s="26" t="str"/>
      <x:c r="K388" s="26" t="str">
        <x:v>品牌主管是市场/公关行业中至关重要的角色，负责塑造和维护公司的品牌形象。通过有效的品牌策略和沟通，品牌主管能够确保公司在激烈的市场竞争中脱颖而出，建立和巩固客户忠诚度。作为公司与消费者之间的桥梁，品牌主管不仅需要具备出色…</x:v>
      </x:c>
      <x:c r="L388" s="26" t="str">
        <x:v>1. 负责制定并执行全面的品牌战略计划，确保品牌理念准确传达给目标受众。 2. 监控市场趋势及竞争态势，及时调整品牌推广方案，确保品牌始终处于行业领先地位。 3. 与内部跨职能团队紧密合作，协调资源完成各类品牌宣传活动的…</x:v>
      </x:c>
    </x:row>
    <x:row r="389" ht="72" customHeight="1">
      <x:c r="A389" s="25" t="n">
        <x:v>11281</x:v>
      </x:c>
      <x:c r="B389" s="25" t="str">
        <x:v>IC-L3-538</x:v>
      </x:c>
      <x:c r="C389" s="25" t="str">
        <x:v>品牌经理</x:v>
      </x:c>
      <x:c r="D389" s="25" t="str">
        <x:v>4-01-02-01</x:v>
      </x:c>
      <x:c r="E389" s="25" t="str">
        <x:v>营销员</x:v>
      </x:c>
      <x:c r="F389" s="28" t="n">
        <x:f>COUNTIF('岗位-产业节点关系'!$C$4:$C$709,B389)</x:f>
        <x:v>0</x:v>
      </x:c>
      <x:c r="G389" s="26" t="str">
        <x:f>IF(F389=0,"未匹配（现有产业链范围未覆盖或证据不足）",IF(COUNTIFS('岗位-产业节点关系'!$C$4:$C$709,B389,'岗位-产业节点关系'!$M$4:$M$709,"低")&gt;0,"已匹配，建议复核","已匹配"))</x:f>
        <x:v>未匹配（现有产业链范围未覆盖或证据不足）</x:v>
      </x:c>
      <x:c r="H389" s="26" t="str">
        <x:v>-</x:v>
      </x:c>
      <x:c r="I389" s="26" t="str"/>
      <x:c r="J389" s="26" t="str"/>
      <x:c r="K389" s="26" t="str">
        <x:v>品牌经理是市场/公关行业中至关重要的角色，负责塑造和维护公司的品牌形象。作为品牌策略的制定者与执行者，品牌经理不仅需要深刻理解市场趋势，还要精准把握消费者心理，以确保品牌信息的有效传达。 品牌经理的核心目标在于通过一系列…</x:v>
      </x:c>
      <x:c r="L389" s="26" t="str">
        <x:v>1. 制定并实施品牌战略规划，包括品牌定位、品牌传播策略及品牌建设方案，以提高品牌影响力。 2. 分析市场动态和竞争对手情况，定期评估品牌表现，及时调整品牌策略，确保品牌目标的达成。 3. 协调内部资源，与跨职能团队合作…</x:v>
      </x:c>
    </x:row>
    <x:row r="390" ht="72" customHeight="1">
      <x:c r="A390" s="25" t="n">
        <x:v>11282</x:v>
      </x:c>
      <x:c r="B390" s="25" t="str">
        <x:v>IC-L3-539</x:v>
      </x:c>
      <x:c r="C390" s="25" t="str">
        <x:v>市场/营销/拓展专员</x:v>
      </x:c>
      <x:c r="D390" s="25" t="str">
        <x:v>4-01-02-01</x:v>
      </x:c>
      <x:c r="E390" s="25" t="str">
        <x:v>营销员</x:v>
      </x:c>
      <x:c r="F390" s="28" t="n">
        <x:f>COUNTIF('岗位-产业节点关系'!$C$4:$C$709,B390)</x:f>
        <x:v>0</x:v>
      </x:c>
      <x:c r="G390" s="26" t="str">
        <x:f>IF(F390=0,"未匹配（现有产业链范围未覆盖或证据不足）",IF(COUNTIFS('岗位-产业节点关系'!$C$4:$C$709,B390,'岗位-产业节点关系'!$M$4:$M$709,"低")&gt;0,"已匹配，建议复核","已匹配"))</x:f>
        <x:v>未匹配（现有产业链范围未覆盖或证据不足）</x:v>
      </x:c>
      <x:c r="H390" s="26" t="str">
        <x:v>-</x:v>
      </x:c>
      <x:c r="I390" s="26" t="str"/>
      <x:c r="J390" s="26" t="str"/>
      <x:c r="K390" s="26" t="str">
        <x:v>市场/营销/拓展专员是市场/公关行业中不可或缺的角色，主要负责推动品牌知名度和市场份额的增长。通过精准的市场分析与策略制定，他们能够帮助企业更好地理解消费者需求，从而制定有效的营销计划。此外，该职位还承担着建立和维护企业…</x:v>
      </x:c>
      <x:c r="L390" s="26" t="str">
        <x:v>1. 负责制定并执行市场推广计划，扩大品牌影响力，增加用户粘性。 2. 定期收集分析竞争对手信息，结合市场趋势，提出创新性的营销建议。 3. 组织策划线上线下各类营销活动，确保活动高效有序进行，达成预期效果。 4. 与销…</x:v>
      </x:c>
    </x:row>
    <x:row r="391" ht="72" customHeight="1">
      <x:c r="A391" s="25" t="n">
        <x:v>11283</x:v>
      </x:c>
      <x:c r="B391" s="25" t="str">
        <x:v>IC-L3-540</x:v>
      </x:c>
      <x:c r="C391" s="25" t="str">
        <x:v>市场/营销/拓展主管</x:v>
      </x:c>
      <x:c r="D391" s="25" t="str">
        <x:v>4-01-02-01</x:v>
      </x:c>
      <x:c r="E391" s="25" t="str">
        <x:v>营销员</x:v>
      </x:c>
      <x:c r="F391" s="28" t="n">
        <x:f>COUNTIF('岗位-产业节点关系'!$C$4:$C$709,B391)</x:f>
        <x:v>0</x:v>
      </x:c>
      <x:c r="G391" s="26" t="str">
        <x:f>IF(F391=0,"未匹配（现有产业链范围未覆盖或证据不足）",IF(COUNTIFS('岗位-产业节点关系'!$C$4:$C$709,B391,'岗位-产业节点关系'!$M$4:$M$709,"低")&gt;0,"已匹配，建议复核","已匹配"))</x:f>
        <x:v>未匹配（现有产业链范围未覆盖或证据不足）</x:v>
      </x:c>
      <x:c r="H391" s="26" t="str">
        <x:v>-</x:v>
      </x:c>
      <x:c r="I391" s="26" t="str"/>
      <x:c r="J391" s="26" t="str"/>
      <x:c r="K391" s="26" t="str">
        <x:v>市场/营销/拓展主管是市场/公关行业中至关重要的角色之一。作为连接公司与市场的桥梁，他们负责制定并执行有效的市场策略，以促进品牌知名度的提升和市场份额的增长。通过精准的市场分析和创新的营销活动，该职位能够帮助公司更好地理…</x:v>
      </x:c>
      <x:c r="L391" s="26" t="str">
        <x:v>1. 制定并实施全面的市场推广计划，覆盖线上线下的多渠道营销活动，旨在扩大品牌影响力，吸引潜在客户。 2. 分析市场数据，洞察消费者行为模式，及时调整营销策略，确保营销活动与市场需求相匹配，达成预期销售目标。 3. 与销…</x:v>
      </x:c>
    </x:row>
    <x:row r="392" ht="72" customHeight="1">
      <x:c r="A392" s="25" t="n">
        <x:v>11284</x:v>
      </x:c>
      <x:c r="B392" s="25" t="str">
        <x:v>IC-L3-541</x:v>
      </x:c>
      <x:c r="C392" s="25" t="str">
        <x:v>市场/营销/拓展总监</x:v>
      </x:c>
      <x:c r="D392" s="25" t="str">
        <x:v>4-01-02-01</x:v>
      </x:c>
      <x:c r="E392" s="25" t="str">
        <x:v>营销员</x:v>
      </x:c>
      <x:c r="F392" s="28" t="n">
        <x:f>COUNTIF('岗位-产业节点关系'!$C$4:$C$709,B392)</x:f>
        <x:v>0</x:v>
      </x:c>
      <x:c r="G392" s="26" t="str">
        <x:f>IF(F392=0,"未匹配（现有产业链范围未覆盖或证据不足）",IF(COUNTIFS('岗位-产业节点关系'!$C$4:$C$709,B392,'岗位-产业节点关系'!$M$4:$M$709,"低")&gt;0,"已匹配，建议复核","已匹配"))</x:f>
        <x:v>未匹配（现有产业链范围未覆盖或证据不足）</x:v>
      </x:c>
      <x:c r="H392" s="26" t="str">
        <x:v>-</x:v>
      </x:c>
      <x:c r="I392" s="26" t="str"/>
      <x:c r="J392" s="26" t="str"/>
      <x:c r="K392" s="26" t="str">
        <x:v>市场/营销/拓展总监是市场/公关行业中不可或缺的关键角色，负责制定并执行公司整体市场战略，推动品牌建设与市场扩张。作为企业与消费者之间的桥梁，该职位不仅能够帮助企业更好地理解市场需求，还能有效提升品牌影响力，增强市场竞争…</x:v>
      </x:c>
      <x:c r="L392" s="26" t="str">
        <x:v>1. 制定并执行全面的市场战略计划，确保公司产品或服务在目标市场的成功推广，达成既定的销售目标。 2. 研究分析市场趋势及竞争对手动态，定期向管理层提供有关市场机会、风险评估等方面的建议报告，支持决策制定。 3. 负责品…</x:v>
      </x:c>
    </x:row>
    <x:row r="393" ht="72" customHeight="1">
      <x:c r="A393" s="25" t="n">
        <x:v>11285</x:v>
      </x:c>
      <x:c r="B393" s="25" t="str">
        <x:v>IC-L3-542</x:v>
      </x:c>
      <x:c r="C393" s="25" t="str">
        <x:v>市场/营销/拓展经理</x:v>
      </x:c>
      <x:c r="D393" s="25" t="str">
        <x:v>4-01-02-01</x:v>
      </x:c>
      <x:c r="E393" s="25" t="str">
        <x:v>营销员</x:v>
      </x:c>
      <x:c r="F393" s="28" t="n">
        <x:f>COUNTIF('岗位-产业节点关系'!$C$4:$C$709,B393)</x:f>
        <x:v>0</x:v>
      </x:c>
      <x:c r="G393" s="26" t="str">
        <x:f>IF(F393=0,"未匹配（现有产业链范围未覆盖或证据不足）",IF(COUNTIFS('岗位-产业节点关系'!$C$4:$C$709,B393,'岗位-产业节点关系'!$M$4:$M$709,"低")&gt;0,"已匹配，建议复核","已匹配"))</x:f>
        <x:v>未匹配（现有产业链范围未覆盖或证据不足）</x:v>
      </x:c>
      <x:c r="H393" s="26" t="str">
        <x:v>-</x:v>
      </x:c>
      <x:c r="I393" s="26" t="str"/>
      <x:c r="J393" s="26" t="str"/>
      <x:c r="K393" s="26" t="str">
        <x:v>市场/营销/拓展经理是市场/公关行业中不可或缺的角色，主要负责推动公司产品或服务的市场占有率提升，通过精准的市场策略和高效的执行来实现公司的商业目标。作为连接公司与市场的桥梁，该职位不仅需要具备敏锐的市场洞察力，还需要拥…</x:v>
      </x:c>
      <x:c r="L393" s="26" t="str">
        <x:v>1. 制定全面的市场战略规划，包括但不限于产品定位、价格策略、渠道选择等方面，旨在扩大市场份额并提高品牌影响力。 2. 组织策划各类线上线下营销活动，如展会、研讨会、社交媒体推广等，以吸引潜在客户并增强现有客户的粘性。 …</x:v>
      </x:c>
    </x:row>
    <x:row r="394" ht="72" customHeight="1">
      <x:c r="A394" s="25" t="n">
        <x:v>11286</x:v>
      </x:c>
      <x:c r="B394" s="25" t="str">
        <x:v>IC-L3-543</x:v>
      </x:c>
      <x:c r="C394" s="25" t="str">
        <x:v>市场企划专员</x:v>
      </x:c>
      <x:c r="D394" s="25" t="str">
        <x:v>4-01-02-01</x:v>
      </x:c>
      <x:c r="E394" s="25" t="str">
        <x:v>营销员</x:v>
      </x:c>
      <x:c r="F394" s="28" t="n">
        <x:f>COUNTIF('岗位-产业节点关系'!$C$4:$C$709,B394)</x:f>
        <x:v>0</x:v>
      </x:c>
      <x:c r="G394" s="26" t="str">
        <x:f>IF(F394=0,"未匹配（现有产业链范围未覆盖或证据不足）",IF(COUNTIFS('岗位-产业节点关系'!$C$4:$C$709,B394,'岗位-产业节点关系'!$M$4:$M$709,"低")&gt;0,"已匹配，建议复核","已匹配"))</x:f>
        <x:v>未匹配（现有产业链范围未覆盖或证据不足）</x:v>
      </x:c>
      <x:c r="H394" s="26" t="str">
        <x:v>-</x:v>
      </x:c>
      <x:c r="I394" s="26" t="str"/>
      <x:c r="J394" s="26" t="str"/>
      <x:c r="K394" s="26" t="str">
        <x:v>市场企划专员是市场/公关行业中不可或缺的角色，通过创新的市场营销策略和活动策划，帮助公司提升品牌形象和市场份额。该职位不仅需要具备敏锐的市场洞察力，还需拥有出色的创意能力和沟通技巧，以确保能够精准地捕捉到目标客户的需求并…</x:v>
      </x:c>
      <x:c r="L394" s="26" t="str">
        <x:v>1. 负责研究市场动态，收集行业信息，为公司制定符合市场需求的品牌推广策略。 2. 策划并组织各类线上线下宣传活动，包括但不限于展会、新品发布会等，扩大品牌影响力。 3. 协调内外部资源，确保营销活动从筹备到执行各个环节…</x:v>
      </x:c>
    </x:row>
    <x:row r="395" ht="72" customHeight="1">
      <x:c r="A395" s="25" t="n">
        <x:v>11287</x:v>
      </x:c>
      <x:c r="B395" s="25" t="str">
        <x:v>IC-L3-544</x:v>
      </x:c>
      <x:c r="C395" s="25" t="str">
        <x:v>市场企划经理/主管</x:v>
      </x:c>
      <x:c r="D395" s="25" t="str">
        <x:v>4-01-02-01</x:v>
      </x:c>
      <x:c r="E395" s="25" t="str">
        <x:v>营销员</x:v>
      </x:c>
      <x:c r="F395" s="28" t="n">
        <x:f>COUNTIF('岗位-产业节点关系'!$C$4:$C$709,B395)</x:f>
        <x:v>0</x:v>
      </x:c>
      <x:c r="G395" s="26" t="str">
        <x:f>IF(F395=0,"未匹配（现有产业链范围未覆盖或证据不足）",IF(COUNTIFS('岗位-产业节点关系'!$C$4:$C$709,B395,'岗位-产业节点关系'!$M$4:$M$709,"低")&gt;0,"已匹配，建议复核","已匹配"))</x:f>
        <x:v>未匹配（现有产业链范围未覆盖或证据不足）</x:v>
      </x:c>
      <x:c r="H395" s="26" t="str">
        <x:v>-</x:v>
      </x:c>
      <x:c r="I395" s="26" t="str"/>
      <x:c r="J395" s="26" t="str"/>
      <x:c r="K395" s="26" t="str">
        <x:v>市场企划经理/主管是市场/公关行业中不可或缺的角色，他们负责制定和实施有效的市场营销策略，以推动品牌知名度和市场份额的增长。作为连接产品与消费者之间的桥梁，市场企划经理/主管在企业战略决策中扮演着关键性的角色。 该职位的…</x:v>
      </x:c>
      <x:c r="L395" s="26" t="str">
        <x:v>1. 负责制定年度市场推广计划，包括但不限于线上广告投放、线下活动策划等，旨在提升品牌影响力并促进销售额增长。 2. 组织并执行各类营销活动，从前期筹备到后期效果评估，确保活动能够有效传达品牌形象并吸引目标客户群体。 3…</x:v>
      </x:c>
    </x:row>
    <x:row r="396" ht="72" customHeight="1">
      <x:c r="A396" s="25" t="n">
        <x:v>11288</x:v>
      </x:c>
      <x:c r="B396" s="25" t="str">
        <x:v>IC-L3-545</x:v>
      </x:c>
      <x:c r="C396" s="25" t="str">
        <x:v>市场分析/调研人员</x:v>
      </x:c>
      <x:c r="D396" s="25" t="str">
        <x:v>4-01-02-01</x:v>
      </x:c>
      <x:c r="E396" s="25" t="str">
        <x:v>营销员</x:v>
      </x:c>
      <x:c r="F396" s="28" t="n">
        <x:f>COUNTIF('岗位-产业节点关系'!$C$4:$C$709,B396)</x:f>
        <x:v>0</x:v>
      </x:c>
      <x:c r="G396" s="26" t="str">
        <x:f>IF(F396=0,"未匹配（现有产业链范围未覆盖或证据不足）",IF(COUNTIFS('岗位-产业节点关系'!$C$4:$C$709,B396,'岗位-产业节点关系'!$M$4:$M$709,"低")&gt;0,"已匹配，建议复核","已匹配"))</x:f>
        <x:v>未匹配（现有产业链范围未覆盖或证据不足）</x:v>
      </x:c>
      <x:c r="H396" s="26" t="str">
        <x:v>-</x:v>
      </x:c>
      <x:c r="I396" s="26" t="str"/>
      <x:c r="J396" s="26" t="str"/>
      <x:c r="K396" s="26" t="str">
        <x:v>市场分析/调研人员是市场/公关行业中不可或缺的专业人才，他们通过收集和分析市场数据，为企业制定有效的市场策略提供关键依据。这一职位不仅要求具备敏锐的市场洞察力，还需要良好的数据分析能力和沟通技巧，以确保能够准确解读市场趋…</x:v>
      </x:c>
      <x:c r="L396" s="26" t="str">
        <x:v>1. 定期收集行业内外部信息，包括竞争对手动态、消费者行为特征等，构建全面的市场情报体系。 2. 运用统计学方法和数据分析工具对收集的数据进行处理与分析，形成具有指导意义的报告。 3. 与产品经理、销售团队等密切配合，基…</x:v>
      </x:c>
    </x:row>
    <x:row r="397" ht="72" customHeight="1">
      <x:c r="A397" s="25" t="n">
        <x:v>11289</x:v>
      </x:c>
      <x:c r="B397" s="25" t="str">
        <x:v>IC-L3-546</x:v>
      </x:c>
      <x:c r="C397" s="25" t="str">
        <x:v>市场助理</x:v>
      </x:c>
      <x:c r="D397" s="25" t="str">
        <x:v>4-01-02-01</x:v>
      </x:c>
      <x:c r="E397" s="25" t="str">
        <x:v>营销员</x:v>
      </x:c>
      <x:c r="F397" s="28" t="n">
        <x:f>COUNTIF('岗位-产业节点关系'!$C$4:$C$709,B397)</x:f>
        <x:v>0</x:v>
      </x:c>
      <x:c r="G397" s="26" t="str">
        <x:f>IF(F397=0,"未匹配（现有产业链范围未覆盖或证据不足）",IF(COUNTIFS('岗位-产业节点关系'!$C$4:$C$709,B397,'岗位-产业节点关系'!$M$4:$M$709,"低")&gt;0,"已匹配，建议复核","已匹配"))</x:f>
        <x:v>未匹配（现有产业链范围未覆盖或证据不足）</x:v>
      </x:c>
      <x:c r="H397" s="26" t="str">
        <x:v>-</x:v>
      </x:c>
      <x:c r="I397" s="26" t="str"/>
      <x:c r="J397" s="26" t="str"/>
      <x:c r="K397" s="26" t="str">
        <x:v>市场助理是市场/公关行业中不可或缺的角色，负责协助市场营销策略的实施与优化，通过有效的市场活动推动品牌知名度的提升和市场份额的增长。作为公司市场战略的重要执行者，市场助理的核心目标在于通过数据分析、市场调研等手段，为公司…</x:v>
      </x:c>
      <x:c r="L397" s="26" t="str">
        <x:v>1. 协助进行市场研究和竞品分析，收集行业动态及消费者行为数据，为营销策略的制定提供依据。 2. 参与策划并执行线上线下市场推广活动，包括但不限于社交媒体运营、内容创作、广告投放等，以提高品牌曝光度和用户参与度。 3. …</x:v>
      </x:c>
    </x:row>
    <x:row r="398" ht="72" customHeight="1">
      <x:c r="A398" s="25" t="n">
        <x:v>11290</x:v>
      </x:c>
      <x:c r="B398" s="25" t="str">
        <x:v>IC-L3-547</x:v>
      </x:c>
      <x:c r="C398" s="25" t="str">
        <x:v>市场通路</x:v>
      </x:c>
      <x:c r="D398" s="25" t="str">
        <x:v>4-01-02-01</x:v>
      </x:c>
      <x:c r="E398" s="25" t="str">
        <x:v>营销员</x:v>
      </x:c>
      <x:c r="F398" s="28" t="n">
        <x:f>COUNTIF('岗位-产业节点关系'!$C$4:$C$709,B398)</x:f>
        <x:v>0</x:v>
      </x:c>
      <x:c r="G398" s="26" t="str">
        <x:f>IF(F398=0,"未匹配（现有产业链范围未覆盖或证据不足）",IF(COUNTIFS('岗位-产业节点关系'!$C$4:$C$709,B398,'岗位-产业节点关系'!$M$4:$M$709,"低")&gt;0,"已匹配，建议复核","已匹配"))</x:f>
        <x:v>未匹配（现有产业链范围未覆盖或证据不足）</x:v>
      </x:c>
      <x:c r="H398" s="26" t="str">
        <x:v>-</x:v>
      </x:c>
      <x:c r="I398" s="26" t="str"/>
      <x:c r="J398" s="26" t="str"/>
      <x:c r="K398" s="26" t="str">
        <x:v>市场通路作为市场/公关行业中不可或缺的一环，主要负责产品或服务从生产者到消费者的整个流通过程，确保营销策略的有效执行。通过优化渠道管理，市场通路专家能够帮助企业建立稳定高效的销售网络，提高市场占有率及品牌影响力。 该职位…</x:v>
      </x:c>
      <x:c r="L398" s="26" t="str">
        <x:v>1. 分析市场需求，设计合理的市场通路策略，确保产品顺利进入目标市场。 2. 与潜在合作伙伴进行谈判，建立稳固的合作关系，扩大销售渠道覆盖范围。 3. 定期评估现有渠道的表现，及时调整优化方案，提高渠道效率和盈利能力。 …</x:v>
      </x:c>
    </x:row>
    <x:row r="399" ht="72" customHeight="1">
      <x:c r="A399" s="25" t="n">
        <x:v>11291</x:v>
      </x:c>
      <x:c r="B399" s="25" t="str">
        <x:v>IC-L3-548</x:v>
      </x:c>
      <x:c r="C399" s="25" t="str">
        <x:v>选址拓展/新店开发</x:v>
      </x:c>
      <x:c r="D399" s="25" t="str">
        <x:v>4-01-02-01</x:v>
      </x:c>
      <x:c r="E399" s="25" t="str">
        <x:v>营销员</x:v>
      </x:c>
      <x:c r="F399" s="28" t="n">
        <x:f>COUNTIF('岗位-产业节点关系'!$C$4:$C$709,B399)</x:f>
        <x:v>0</x:v>
      </x:c>
      <x:c r="G399" s="26" t="str">
        <x:f>IF(F399=0,"未匹配（现有产业链范围未覆盖或证据不足）",IF(COUNTIFS('岗位-产业节点关系'!$C$4:$C$709,B399,'岗位-产业节点关系'!$M$4:$M$709,"低")&gt;0,"已匹配，建议复核","已匹配"))</x:f>
        <x:v>未匹配（现有产业链范围未覆盖或证据不足）</x:v>
      </x:c>
      <x:c r="H399" s="26" t="str">
        <x:v>-</x:v>
      </x:c>
      <x:c r="I399" s="26" t="str"/>
      <x:c r="J399" s="26" t="str"/>
      <x:c r="K399" s="26" t="str">
        <x:v>在市场/公关行业中，选址拓展/新店开发这一职位扮演着至关重要的角色。它不仅是企业战略扩张的关键环节，也是连接市场趋势与公司发展的重要桥梁。通过精准的市场分析和选址决策，该职位能够有效提升品牌影响力和市场份额，为企业创造持…</x:v>
      </x:c>
      <x:c r="L399" s="26" t="str">
        <x:v>1. 负责收集并分析目标市场的数据资料，包括但不限于人口密度、消费水平、竞争对手情况等，为新店选址提供依据。 2. 与相关部门沟通协调，制定详细的开店计划，包括时间表、预算分配及预期业绩目标。 3. 定期对已开业店铺进行…</x:v>
      </x:c>
    </x:row>
    <x:row r="400" ht="72" customHeight="1">
      <x:c r="A400" s="25" t="n">
        <x:v>11292</x:v>
      </x:c>
      <x:c r="B400" s="25" t="str">
        <x:v>IC-L3-549</x:v>
      </x:c>
      <x:c r="C400" s="25" t="str">
        <x:v>首席营销官CMO</x:v>
      </x:c>
      <x:c r="D400" s="25" t="str">
        <x:v>4-01-02-01</x:v>
      </x:c>
      <x:c r="E400" s="25" t="str">
        <x:v>营销员</x:v>
      </x:c>
      <x:c r="F400" s="28" t="n">
        <x:f>COUNTIF('岗位-产业节点关系'!$C$4:$C$709,B400)</x:f>
        <x:v>0</x:v>
      </x:c>
      <x:c r="G400" s="26" t="str">
        <x:f>IF(F400=0,"未匹配（现有产业链范围未覆盖或证据不足）",IF(COUNTIFS('岗位-产业节点关系'!$C$4:$C$709,B400,'岗位-产业节点关系'!$M$4:$M$709,"低")&gt;0,"已匹配，建议复核","已匹配"))</x:f>
        <x:v>未匹配（现有产业链范围未覆盖或证据不足）</x:v>
      </x:c>
      <x:c r="H400" s="26" t="str">
        <x:v>-</x:v>
      </x:c>
      <x:c r="I400" s="26" t="str"/>
      <x:c r="J400" s="26" t="str"/>
      <x:c r="K400" s="26" t="str">
        <x:v>首席营销官（CMO）是企业市场营销领域的核心领导者，在市场/公关行业中扮演着至关重要的角色。他们负责制定并执行公司的整体营销战略，以确保品牌在竞争激烈的市场环境中脱颖而出。作为高层管理者之一，CMO不仅需要具备敏锐的市场…</x:v>
      </x:c>
      <x:c r="L400" s="26" t="str">
        <x:v>1. 制定并执行全面的营销策略，涵盖产品推广、广告宣传、公共关系等方面，旨在提升品牌知名度和市场占有率。 2. 分析市场数据，识别消费者需求变化，指导产品定位与改进，确保营销活动符合目标市场的需求。 3. 监控营销预算，…</x:v>
      </x:c>
    </x:row>
    <x:row r="401" ht="72" customHeight="1">
      <x:c r="A401" s="25" t="n">
        <x:v>11293</x:v>
      </x:c>
      <x:c r="B401" s="25" t="str">
        <x:v>IC-L3-550</x:v>
      </x:c>
      <x:c r="C401" s="25" t="str">
        <x:v>活动策划</x:v>
      </x:c>
      <x:c r="D401" s="25" t="str">
        <x:v>2-06-07-03</x:v>
      </x:c>
      <x:c r="E401" s="25" t="str">
        <x:v>商务策划专业人员</x:v>
      </x:c>
      <x:c r="F401" s="28" t="n">
        <x:f>COUNTIF('岗位-产业节点关系'!$C$4:$C$709,B401)</x:f>
        <x:v>0</x:v>
      </x:c>
      <x:c r="G401" s="26" t="str">
        <x:f>IF(F401=0,"未匹配（现有产业链范围未覆盖或证据不足）",IF(COUNTIFS('岗位-产业节点关系'!$C$4:$C$709,B401,'岗位-产业节点关系'!$M$4:$M$709,"低")&gt;0,"已匹配，建议复核","已匹配"))</x:f>
        <x:v>未匹配（现有产业链范围未覆盖或证据不足）</x:v>
      </x:c>
      <x:c r="H401" s="26" t="str">
        <x:v>-</x:v>
      </x:c>
      <x:c r="I401" s="26" t="str"/>
      <x:c r="J401" s="26" t="str"/>
      <x:c r="K401" s="26" t="str">
        <x:v>活动策划是专门从事市场营销活动设计与执行的专业人员。该职位的核心目标是通过策划创意活动方案，实现品牌推广和销售转化的营销目标。在日常工作中，需要进行市场调研、方案策划、预算管理、供应商协调及活动执行等工作。</x:v>
      </x:c>
      <x:c r="L401" s="26" t="str">
        <x:v>1. 策划营销活动方案 2. 协调活动执行资源 3. 控制活动预算成本 4. 监督活动实施过程 5. 评估活动效果数据 6. 优化活动策划流程</x:v>
      </x:c>
    </x:row>
    <x:row r="402" ht="72" customHeight="1">
      <x:c r="A402" s="25" t="n">
        <x:v>11294</x:v>
      </x:c>
      <x:c r="B402" s="25" t="str">
        <x:v>IC-L3-551</x:v>
      </x:c>
      <x:c r="C402" s="25" t="str">
        <x:v>美术指导</x:v>
      </x:c>
      <x:c r="D402" s="25" t="str">
        <x:v>4-01-02-01</x:v>
      </x:c>
      <x:c r="E402" s="25" t="str">
        <x:v>营销员</x:v>
      </x:c>
      <x:c r="F402" s="28" t="n">
        <x:f>COUNTIF('岗位-产业节点关系'!$C$4:$C$709,B402)</x:f>
        <x:v>1</x:v>
      </x:c>
      <x:c r="G402" s="26" t="str">
        <x:f>IF(F402=0,"未匹配（现有产业链范围未覆盖或证据不足）",IF(COUNTIFS('岗位-产业节点关系'!$C$4:$C$709,B402,'岗位-产业节点关系'!$M$4:$M$709,"低")&gt;0,"已匹配，建议复核","已匹配"))</x:f>
        <x:v>已匹配</x:v>
      </x:c>
      <x:c r="H402" s="26" t="str">
        <x:v>中</x:v>
      </x:c>
      <x:c r="I402" s="26" t="str">
        <x:v>ICN002</x:v>
      </x:c>
      <x:c r="J402" s="26" t="str">
        <x:v>数据要素与数字经济产业链/中游/数据治理、流通与服务</x:v>
      </x:c>
      <x:c r="K402" s="26" t="str">
        <x:v>美术指导是专门从事视觉创意设计的专业人员。该职位的核心目标是通过高质量的视觉设计方案，提升品牌营销效果和传播价值。在日常工作中，需要进行创意构思、视觉风格制定、设计团队管理等工作。</x:v>
      </x:c>
      <x:c r="L402" s="26" t="str">
        <x:v>1. 制定视觉创意方案 2. 把控品牌视觉风格 3. 指导美术设计执行 4. 协调跨部门合作 5. 审核设计作品质量 6. 跟踪市场设计趋势</x:v>
      </x:c>
    </x:row>
    <x:row r="403" ht="72" customHeight="1">
      <x:c r="A403" s="25" t="n">
        <x:v>11295</x:v>
      </x:c>
      <x:c r="B403" s="25" t="str">
        <x:v>IC-L3-552</x:v>
      </x:c>
      <x:c r="C403" s="25" t="str">
        <x:v>政府关系</x:v>
      </x:c>
      <x:c r="D403" s="25" t="str">
        <x:v>4-01-02-01</x:v>
      </x:c>
      <x:c r="E403" s="25" t="str">
        <x:v>营销员</x:v>
      </x:c>
      <x:c r="F403" s="28" t="n">
        <x:f>COUNTIF('岗位-产业节点关系'!$C$4:$C$709,B403)</x:f>
        <x:v>0</x:v>
      </x:c>
      <x:c r="G403" s="26" t="str">
        <x:f>IF(F403=0,"未匹配（现有产业链范围未覆盖或证据不足）",IF(COUNTIFS('岗位-产业节点关系'!$C$4:$C$709,B403,'岗位-产业节点关系'!$M$4:$M$709,"低")&gt;0,"已匹配，建议复核","已匹配"))</x:f>
        <x:v>未匹配（现有产业链范围未覆盖或证据不足）</x:v>
      </x:c>
      <x:c r="H403" s="26" t="str">
        <x:v>-</x:v>
      </x:c>
      <x:c r="I403" s="26" t="str"/>
      <x:c r="J403" s="26" t="str"/>
      <x:c r="K403" s="26" t="str">
        <x:v>政府关系是专门从事政企沟通与政策研究的专业人员。该职位的核心目标是通过建立和维护良好的政府关系，推动企业营销合规并获取政策支持。在日常工作中，需要进行政策解读分析、政府沟通协调、行业合规审查等工作。</x:v>
      </x:c>
      <x:c r="L403" s="26" t="str">
        <x:v>1. 维护政府机构关系 2. 解读政策法规动态 3. 制定政企合作方案 4. 协调政府事务处理 5. 组织政企交流活动 6. 评估政策影响风险</x:v>
      </x:c>
    </x:row>
    <x:row r="404" ht="72" customHeight="1">
      <x:c r="A404" s="25" t="n">
        <x:v>11296</x:v>
      </x:c>
      <x:c r="B404" s="25" t="str">
        <x:v>IC-L3-553</x:v>
      </x:c>
      <x:c r="C404" s="25" t="str">
        <x:v>活动执行</x:v>
      </x:c>
      <x:c r="D404" s="25" t="str">
        <x:v>4-01-02-01</x:v>
      </x:c>
      <x:c r="E404" s="25" t="str">
        <x:v>营销员</x:v>
      </x:c>
      <x:c r="F404" s="28" t="n">
        <x:f>COUNTIF('岗位-产业节点关系'!$C$4:$C$709,B404)</x:f>
        <x:v>0</x:v>
      </x:c>
      <x:c r="G404" s="26" t="str">
        <x:f>IF(F404=0,"未匹配（现有产业链范围未覆盖或证据不足）",IF(COUNTIFS('岗位-产业节点关系'!$C$4:$C$709,B404,'岗位-产业节点关系'!$M$4:$M$709,"低")&gt;0,"已匹配，建议复核","已匹配"))</x:f>
        <x:v>未匹配（现有产业链范围未覆盖或证据不足）</x:v>
      </x:c>
      <x:c r="H404" s="26" t="str">
        <x:v>-</x:v>
      </x:c>
      <x:c r="I404" s="26" t="str"/>
      <x:c r="J404" s="26" t="str"/>
      <x:c r="K404" s="26" t="str">
        <x:v>活动执行是专门从事市场营销活动策划与落地的专业人员。该职位的核心目标是通过高效执行各类营销活动，实现品牌推广和销售转化目标。在日常工作中，需要进行活动方案实施、现场协调管理、供应商对接及活动效果评估等工作。</x:v>
      </x:c>
      <x:c r="L404" s="26" t="str">
        <x:v>1. 策划活动方案 2. 协调活动资源 3. 执行现场管理 4. 监控活动流程 5. 处理突发情况 6. 评估活动效果</x:v>
      </x:c>
    </x:row>
    <x:row r="405" ht="72" customHeight="1">
      <x:c r="A405" s="25" t="n">
        <x:v>11297</x:v>
      </x:c>
      <x:c r="B405" s="25" t="str">
        <x:v>IC-L3-554</x:v>
      </x:c>
      <x:c r="C405" s="25" t="str">
        <x:v>企业/业务发展经理</x:v>
      </x:c>
      <x:c r="D405" s="25" t="str">
        <x:v>2-09-06-01</x:v>
      </x:c>
      <x:c r="E405" s="25" t="str">
        <x:v>视觉传达设计人员</x:v>
      </x:c>
      <x:c r="F405" s="28" t="n">
        <x:f>COUNTIF('岗位-产业节点关系'!$C$4:$C$709,B405)</x:f>
        <x:v>0</x:v>
      </x:c>
      <x:c r="G405" s="26" t="str">
        <x:f>IF(F405=0,"未匹配（现有产业链范围未覆盖或证据不足）",IF(COUNTIFS('岗位-产业节点关系'!$C$4:$C$709,B405,'岗位-产业节点关系'!$M$4:$M$709,"低")&gt;0,"已匹配，建议复核","已匹配"))</x:f>
        <x:v>未匹配（现有产业链范围未覆盖或证据不足）</x:v>
      </x:c>
      <x:c r="H405" s="26" t="str">
        <x:v>-</x:v>
      </x:c>
      <x:c r="I405" s="26" t="str"/>
      <x:c r="J405" s="26" t="str"/>
      <x:c r="K405" s="26" t="str">
        <x:v>企业/业务发展经理是市场/公关行业中不可或缺的角色，特别是在广告领域。此职位不仅负责推动公司与潜在客户的联系，还致力于开发新的业务机会，通过创新的营销策略和高效的客户关系管理来促进企业的长期增长。作为连接市场、客户与内部…</x:v>
      </x:c>
      <x:c r="L405" s="26" t="str">
        <x:v>1. 负责研究和分析市场动态，挖掘潜在的商业机会，制定相应的市场进入策略。 2. 主导与潜在合作伙伴的谈判过程，建立和维护良好的客户关系，确保双方利益最大化。 3. 协调内部资源，与各部门协作完成项目策划及执行，确保按时…</x:v>
      </x:c>
    </x:row>
    <x:row r="406" ht="72" customHeight="1">
      <x:c r="A406" s="25" t="n">
        <x:v>11298</x:v>
      </x:c>
      <x:c r="B406" s="25" t="str">
        <x:v>IC-L3-555</x:v>
      </x:c>
      <x:c r="C406" s="25" t="str">
        <x:v>企业策划人员</x:v>
      </x:c>
      <x:c r="D406" s="25" t="str">
        <x:v>2-06-07-03</x:v>
      </x:c>
      <x:c r="E406" s="25" t="str">
        <x:v>商务策划专业人员</x:v>
      </x:c>
      <x:c r="F406" s="28" t="n">
        <x:f>COUNTIF('岗位-产业节点关系'!$C$4:$C$709,B406)</x:f>
        <x:v>0</x:v>
      </x:c>
      <x:c r="G406" s="26" t="str">
        <x:f>IF(F406=0,"未匹配（现有产业链范围未覆盖或证据不足）",IF(COUNTIFS('岗位-产业节点关系'!$C$4:$C$709,B406,'岗位-产业节点关系'!$M$4:$M$709,"低")&gt;0,"已匹配，建议复核","已匹配"))</x:f>
        <x:v>未匹配（现有产业链范围未覆盖或证据不足）</x:v>
      </x:c>
      <x:c r="H406" s="26" t="str">
        <x:v>-</x:v>
      </x:c>
      <x:c r="I406" s="26" t="str"/>
      <x:c r="J406" s="26" t="str"/>
      <x:c r="K406" s="26" t="str">
        <x:v>企业策划人员在市场/公关行业中扮演着至关重要的角色。作为连接创意与策略的桥梁，他们不仅负责制定和执行有效的营销活动，还确保品牌信息的一致性和有效性。通过深入了解市场趋势和消费者需求，企业策划人员能够为企业提供独特的视角和…</x:v>
      </x:c>
      <x:c r="L406" s="26" t="str">
        <x:v>1. 负责分析市场数据，结合公司战略目标，策划并实施创新性的营销方案，以提高品牌知名度和市场份额。 2. 与跨职能团队合作，包括但不限于创意团队、媒体购买部门及外部合作伙伴，确保所有营销活动从概念到执行均符合预期标准。 …</x:v>
      </x:c>
    </x:row>
    <x:row r="407" ht="72" customHeight="1">
      <x:c r="A407" s="25" t="n">
        <x:v>11299</x:v>
      </x:c>
      <x:c r="B407" s="25" t="str">
        <x:v>IC-L3-556</x:v>
      </x:c>
      <x:c r="C407" s="25" t="str">
        <x:v>广告创意/设计专员</x:v>
      </x:c>
      <x:c r="D407" s="25" t="str">
        <x:v>2-09-06-01</x:v>
      </x:c>
      <x:c r="E407" s="25" t="str">
        <x:v>视觉传达设计人员</x:v>
      </x:c>
      <x:c r="F407" s="28" t="n">
        <x:f>COUNTIF('岗位-产业节点关系'!$C$4:$C$709,B407)</x:f>
        <x:v>1</x:v>
      </x:c>
      <x:c r="G407" s="26" t="str">
        <x:f>IF(F407=0,"未匹配（现有产业链范围未覆盖或证据不足）",IF(COUNTIFS('岗位-产业节点关系'!$C$4:$C$709,B407,'岗位-产业节点关系'!$M$4:$M$709,"低")&gt;0,"已匹配，建议复核","已匹配"))</x:f>
        <x:v>已匹配</x:v>
      </x:c>
      <x:c r="H407" s="26" t="str">
        <x:v>中</x:v>
      </x:c>
      <x:c r="I407" s="26" t="str">
        <x:v>ICN003</x:v>
      </x:c>
      <x:c r="J407" s="26" t="str">
        <x:v>数据要素与数字经济产业链/下游/数字经济场景应用与内容创意</x:v>
      </x:c>
      <x:c r="K407" s="26" t="str">
        <x:v>广告创意/设计专员是市场/公关行业中不可或缺的角色，通过创新思维和视觉艺术将品牌理念转化为吸引人的广告作品，不仅能够提升品牌形象，还能促进产品销售。该职位的核心目标在于结合市场需求与企业战略，创造出既能触动目标受众又能传…</x:v>
      </x:c>
      <x:c r="L407" s="26" t="str">
        <x:v>1. 负责公司各类广告物料的设计与制作，确保符合品牌调性和市场趋势，提高广告效果。 2. 参与广告策略讨论，提出新颖独特的创意思路，为品牌传播提供有力支持。 3. 定期收集分析竞品信息及消费者反馈，持续优化设计方案，保持…</x:v>
      </x:c>
    </x:row>
    <x:row r="408" ht="72" customHeight="1">
      <x:c r="A408" s="25" t="n">
        <x:v>11300</x:v>
      </x:c>
      <x:c r="B408" s="25" t="str">
        <x:v>IC-L3-557</x:v>
      </x:c>
      <x:c r="C408" s="25" t="str">
        <x:v>广告创意/设计主管</x:v>
      </x:c>
      <x:c r="D408" s="25" t="str">
        <x:v>2-09-06-01</x:v>
      </x:c>
      <x:c r="E408" s="25" t="str">
        <x:v>视觉传达设计人员</x:v>
      </x:c>
      <x:c r="F408" s="28" t="n">
        <x:f>COUNTIF('岗位-产业节点关系'!$C$4:$C$709,B408)</x:f>
        <x:v>1</x:v>
      </x:c>
      <x:c r="G408" s="26" t="str">
        <x:f>IF(F408=0,"未匹配（现有产业链范围未覆盖或证据不足）",IF(COUNTIFS('岗位-产业节点关系'!$C$4:$C$709,B408,'岗位-产业节点关系'!$M$4:$M$709,"低")&gt;0,"已匹配，建议复核","已匹配"))</x:f>
        <x:v>已匹配</x:v>
      </x:c>
      <x:c r="H408" s="26" t="str">
        <x:v>中</x:v>
      </x:c>
      <x:c r="I408" s="26" t="str">
        <x:v>ICN003</x:v>
      </x:c>
      <x:c r="J408" s="26" t="str">
        <x:v>数据要素与数字经济产业链/下游/数字经济场景应用与内容创意</x:v>
      </x:c>
      <x:c r="K408" s="26" t="str">
        <x:v>广告创意/设计主管是市场/公关行业中不可或缺的角色，负责推动公司广告活动的创新与实施。作为团队的核心成员，该职位不仅需要具备出色的创意能力，还需要拥有良好的项目管理和团队领导技能，以确保广告项目能够按时按质完成并达到预期…</x:v>
      </x:c>
      <x:c r="L408" s="26" t="str">
        <x:v>1. 负责策划并执行各类广告宣传活动，从概念构思到最终成品，确保所有广告材料符合品牌形象及市场定位。 2. 管理并指导创意团队完成高质量的设计工作，包括但不限于平面设计、视频制作等，保证广告作品的艺术性和商业价值。 3.…</x:v>
      </x:c>
    </x:row>
    <x:row r="409" ht="72" customHeight="1">
      <x:c r="A409" s="25" t="n">
        <x:v>11301</x:v>
      </x:c>
      <x:c r="B409" s="25" t="str">
        <x:v>IC-L3-558</x:v>
      </x:c>
      <x:c r="C409" s="25" t="str">
        <x:v>广告创意/设计经理</x:v>
      </x:c>
      <x:c r="D409" s="25" t="str">
        <x:v>2-09-06-01</x:v>
      </x:c>
      <x:c r="E409" s="25" t="str">
        <x:v>视觉传达设计人员</x:v>
      </x:c>
      <x:c r="F409" s="28" t="n">
        <x:f>COUNTIF('岗位-产业节点关系'!$C$4:$C$709,B409)</x:f>
        <x:v>1</x:v>
      </x:c>
      <x:c r="G409" s="26" t="str">
        <x:f>IF(F409=0,"未匹配（现有产业链范围未覆盖或证据不足）",IF(COUNTIFS('岗位-产业节点关系'!$C$4:$C$709,B409,'岗位-产业节点关系'!$M$4:$M$709,"低")&gt;0,"已匹配，建议复核","已匹配"))</x:f>
        <x:v>已匹配</x:v>
      </x:c>
      <x:c r="H409" s="26" t="str">
        <x:v>中</x:v>
      </x:c>
      <x:c r="I409" s="26" t="str">
        <x:v>ICN003</x:v>
      </x:c>
      <x:c r="J409" s="26" t="str">
        <x:v>数据要素与数字经济产业链/下游/数字经济场景应用与内容创意</x:v>
      </x:c>
      <x:c r="K409" s="26" t="str">
        <x:v>广告创意/设计经理是市场/公关行业中至关重要的角色，负责领导团队创造有影响力的设计方案，以提升品牌形象和促进销售增长。通过精准把握市场趋势和消费者心理，该职位能够有效推动广告活动的成功实施，确保公司能够在激烈的市场竞争中…</x:v>
      </x:c>
      <x:c r="L409" s="26" t="str">
        <x:v>1. 负责制定并执行广告创意策略，确保所有视觉材料符合品牌形象及营销目标。 2. 管理并指导设计团队完成高质量的设计工作，包括但不限于平面广告、数字媒体内容等，以提高用户参与度和转化率。 3. 与跨部门同事沟通协作，收集…</x:v>
      </x:c>
    </x:row>
    <x:row r="410" ht="72" customHeight="1">
      <x:c r="A410" s="25" t="n">
        <x:v>11302</x:v>
      </x:c>
      <x:c r="B410" s="25" t="str">
        <x:v>IC-L3-559</x:v>
      </x:c>
      <x:c r="C410" s="25" t="str">
        <x:v>广告创意总监</x:v>
      </x:c>
      <x:c r="D410" s="25" t="str">
        <x:v>2-09-06-01</x:v>
      </x:c>
      <x:c r="E410" s="25" t="str">
        <x:v>视觉传达设计人员</x:v>
      </x:c>
      <x:c r="F410" s="28" t="n">
        <x:f>COUNTIF('岗位-产业节点关系'!$C$4:$C$709,B410)</x:f>
        <x:v>1</x:v>
      </x:c>
      <x:c r="G410" s="26" t="str">
        <x:f>IF(F410=0,"未匹配（现有产业链范围未覆盖或证据不足）",IF(COUNTIFS('岗位-产业节点关系'!$C$4:$C$709,B410,'岗位-产业节点关系'!$M$4:$M$709,"低")&gt;0,"已匹配，建议复核","已匹配"))</x:f>
        <x:v>已匹配</x:v>
      </x:c>
      <x:c r="H410" s="26" t="str">
        <x:v>中</x:v>
      </x:c>
      <x:c r="I410" s="26" t="str">
        <x:v>ICN003</x:v>
      </x:c>
      <x:c r="J410" s="26" t="str">
        <x:v>数据要素与数字经济产业链/下游/数字经济场景应用与内容创意</x:v>
      </x:c>
      <x:c r="K410" s="26" t="str">
        <x:v>广告创意总监是市场/公关行业中至关重要的角色，负责引领团队创造引人注目的广告作品。作为广告策略的策划者与执行者，他们不仅需要具备敏锐的市场洞察力，还需要拥有卓越的艺术审美和创新能力，以确保广告活动能够准确传达品牌信息并触…</x:v>
      </x:c>
      <x:c r="L410" s="26" t="str">
        <x:v>1. 领导并激励创意团队，制定创新性的广告策略，确保所有广告作品都具有高度的创意性和视觉冲击力，有效传递品牌核心价值。 2. 分析市场动态及竞争对手情况，结合公司战略目标，指导团队完成广告策划书，确保广告内容与目标市场相…</x:v>
      </x:c>
    </x:row>
    <x:row r="411" ht="72" customHeight="1">
      <x:c r="A411" s="25" t="n">
        <x:v>11303</x:v>
      </x:c>
      <x:c r="B411" s="25" t="str">
        <x:v>IC-L3-560</x:v>
      </x:c>
      <x:c r="C411" s="25" t="str">
        <x:v>广告制作执行</x:v>
      </x:c>
      <x:c r="D411" s="25" t="str">
        <x:v>2-09-06-01</x:v>
      </x:c>
      <x:c r="E411" s="25" t="str">
        <x:v>视觉传达设计人员</x:v>
      </x:c>
      <x:c r="F411" s="28" t="n">
        <x:f>COUNTIF('岗位-产业节点关系'!$C$4:$C$709,B411)</x:f>
        <x:v>1</x:v>
      </x:c>
      <x:c r="G411" s="26" t="str">
        <x:f>IF(F411=0,"未匹配（现有产业链范围未覆盖或证据不足）",IF(COUNTIFS('岗位-产业节点关系'!$C$4:$C$709,B411,'岗位-产业节点关系'!$M$4:$M$709,"低")&gt;0,"已匹配，建议复核","已匹配"))</x:f>
        <x:v>已匹配</x:v>
      </x:c>
      <x:c r="H411" s="26" t="str">
        <x:v>中</x:v>
      </x:c>
      <x:c r="I411" s="26" t="str">
        <x:v>ICN003</x:v>
      </x:c>
      <x:c r="J411" s="26" t="str">
        <x:v>数据要素与数字经济产业链/下游/数字经济场景应用与内容创意</x:v>
      </x:c>
      <x:c r="K411" s="26" t="str">
        <x:v>广告制作执行是市场/公关行业中不可或缺的角色，其工作直接影响到广告创意的实现与品牌形象的塑造。作为连接创意概念与最终产品之间的桥梁，广告制作执行人员负责确保广告从设计到发布的每一个环节都能高效准确地完成。 该职位的核心目…</x:v>
      </x:c>
      <x:c r="L411" s="26" t="str">
        <x:v>1. 负责与客户沟通，理解并记录广告制作需求，确保信息准确无误地传达给设计及制作团队。 2. 协调内外部资源，制定详细的广告制作计划，包括时间表、预算分配等，以确保项目按时启动并顺利完成。 3. 监督整个广告制作流程，及…</x:v>
      </x:c>
    </x:row>
    <x:row r="412" ht="72" customHeight="1">
      <x:c r="A412" s="25" t="n">
        <x:v>11304</x:v>
      </x:c>
      <x:c r="B412" s="25" t="str">
        <x:v>IC-L3-561</x:v>
      </x:c>
      <x:c r="C412" s="25" t="str">
        <x:v>广告客户专员</x:v>
      </x:c>
      <x:c r="D412" s="25" t="str">
        <x:v>2-09-06-01</x:v>
      </x:c>
      <x:c r="E412" s="25" t="str">
        <x:v>视觉传达设计人员</x:v>
      </x:c>
      <x:c r="F412" s="28" t="n">
        <x:f>COUNTIF('岗位-产业节点关系'!$C$4:$C$709,B412)</x:f>
        <x:v>1</x:v>
      </x:c>
      <x:c r="G412" s="26" t="str">
        <x:f>IF(F412=0,"未匹配（现有产业链范围未覆盖或证据不足）",IF(COUNTIFS('岗位-产业节点关系'!$C$4:$C$709,B412,'岗位-产业节点关系'!$M$4:$M$709,"低")&gt;0,"已匹配，建议复核","已匹配"))</x:f>
        <x:v>已匹配</x:v>
      </x:c>
      <x:c r="H412" s="26" t="str">
        <x:v>中</x:v>
      </x:c>
      <x:c r="I412" s="26" t="str">
        <x:v>ICN003</x:v>
      </x:c>
      <x:c r="J412" s="26" t="str">
        <x:v>数据要素与数字经济产业链/下游/数字经济场景应用与内容创意</x:v>
      </x:c>
      <x:c r="K412" s="26" t="str">
        <x:v>广告客户专员是市场/公关行业中不可或缺的角色，他们架起了公司与客户的桥梁，通过精准的沟通和策略执行，确保广告活动能够有效传达品牌信息并吸引目标受众。作为广告客户专员，核心目标在于理解客户需求，制定符合其商业目标的广告策略…</x:v>
      </x:c>
      <x:c r="L412" s="26" t="str">
        <x:v>1. 与客户进行定期沟通，深入了解其业务需求和市场定位，定制个性化的广告解决方案，旨在提升品牌知名度和市场份额。 2. 协调内部资源，包括创意设计、文案撰写和技术支持等，确保广告项目的顺利实施，满足甚至超越客户的期望值。…</x:v>
      </x:c>
    </x:row>
    <x:row r="413" ht="72" customHeight="1">
      <x:c r="A413" s="25" t="n">
        <x:v>11305</x:v>
      </x:c>
      <x:c r="B413" s="25" t="str">
        <x:v>IC-L3-562</x:v>
      </x:c>
      <x:c r="C413" s="25" t="str">
        <x:v>广告客户主管</x:v>
      </x:c>
      <x:c r="D413" s="25" t="str">
        <x:v>2-09-06-01</x:v>
      </x:c>
      <x:c r="E413" s="25" t="str">
        <x:v>视觉传达设计人员</x:v>
      </x:c>
      <x:c r="F413" s="28" t="n">
        <x:f>COUNTIF('岗位-产业节点关系'!$C$4:$C$709,B413)</x:f>
        <x:v>1</x:v>
      </x:c>
      <x:c r="G413" s="26" t="str">
        <x:f>IF(F413=0,"未匹配（现有产业链范围未覆盖或证据不足）",IF(COUNTIFS('岗位-产业节点关系'!$C$4:$C$709,B413,'岗位-产业节点关系'!$M$4:$M$709,"低")&gt;0,"已匹配，建议复核","已匹配"))</x:f>
        <x:v>已匹配</x:v>
      </x:c>
      <x:c r="H413" s="26" t="str">
        <x:v>中</x:v>
      </x:c>
      <x:c r="I413" s="26" t="str">
        <x:v>ICN003</x:v>
      </x:c>
      <x:c r="J413" s="26" t="str">
        <x:v>数据要素与数字经济产业链/下游/数字经济场景应用与内容创意</x:v>
      </x:c>
      <x:c r="K413" s="26" t="str">
        <x:v>广告客户主管是市场/公关行业中不可或缺的角色，负责与公司的重要客户建立并维护良好的关系，确保广告活动的有效实施，从而促进品牌知名度和市场份额的增长。作为公司与客户之间的桥梁，广告客户主管的核心目标在于深入了解客户需求，制…</x:v>
      </x:c>
      <x:c r="L413" s="26" t="str">
        <x:v>1. 与潜在及现有客户进行有效沟通，全面了解其业务需求，提供专业的广告咨询和建议，协助客户制定合理的广告投放策略，以实现其商业目标。 2. 协调内外部资源，监督广告项目的执行过程，包括但不限于创意设计、媒体选择、预算控制…</x:v>
      </x:c>
    </x:row>
    <x:row r="414" ht="72" customHeight="1">
      <x:c r="A414" s="25" t="n">
        <x:v>11306</x:v>
      </x:c>
      <x:c r="B414" s="25" t="str">
        <x:v>IC-L3-563</x:v>
      </x:c>
      <x:c r="C414" s="25" t="str">
        <x:v>广告客户总监/副总监</x:v>
      </x:c>
      <x:c r="D414" s="25" t="str">
        <x:v>2-09-06-01</x:v>
      </x:c>
      <x:c r="E414" s="25" t="str">
        <x:v>视觉传达设计人员</x:v>
      </x:c>
      <x:c r="F414" s="28" t="n">
        <x:f>COUNTIF('岗位-产业节点关系'!$C$4:$C$709,B414)</x:f>
        <x:v>1</x:v>
      </x:c>
      <x:c r="G414" s="26" t="str">
        <x:f>IF(F414=0,"未匹配（现有产业链范围未覆盖或证据不足）",IF(COUNTIFS('岗位-产业节点关系'!$C$4:$C$709,B414,'岗位-产业节点关系'!$M$4:$M$709,"低")&gt;0,"已匹配，建议复核","已匹配"))</x:f>
        <x:v>已匹配</x:v>
      </x:c>
      <x:c r="H414" s="26" t="str">
        <x:v>中</x:v>
      </x:c>
      <x:c r="I414" s="26" t="str">
        <x:v>ICN003</x:v>
      </x:c>
      <x:c r="J414" s="26" t="str">
        <x:v>数据要素与数字经济产业链/下游/数字经济场景应用与内容创意</x:v>
      </x:c>
      <x:c r="K414" s="26" t="str">
        <x:v>广告客户总监/副总监是市场/公关行业中至关重要的角色，主要负责与公司的重要客户建立并维护良好的合作关系，确保广告项目的顺利执行。作为连接公司内部团队与外部客户的桥梁，该职位不仅需要具备卓越的沟通技巧，还需要拥有深厚的专业…</x:v>
      </x:c>
      <x:c r="L414" s="26" t="str">
        <x:v>1. 负责开发并维护与关键客户的长期稳定关系，定期拜访客户，了解其需求变化，提供专业意见，协助解决合作过程中遇到的问题。 2. 领导团队完成从前期策划到后期执行的整个广告项目流程，确保项目按时按质交付，达到预期效果。 3…</x:v>
      </x:c>
    </x:row>
    <x:row r="415" ht="72" customHeight="1">
      <x:c r="A415" s="25" t="n">
        <x:v>11307</x:v>
      </x:c>
      <x:c r="B415" s="25" t="str">
        <x:v>IC-L3-564</x:v>
      </x:c>
      <x:c r="C415" s="25" t="str">
        <x:v>广告客户经理</x:v>
      </x:c>
      <x:c r="D415" s="25" t="str">
        <x:v>2-09-06-01</x:v>
      </x:c>
      <x:c r="E415" s="25" t="str">
        <x:v>视觉传达设计人员</x:v>
      </x:c>
      <x:c r="F415" s="28" t="n">
        <x:f>COUNTIF('岗位-产业节点关系'!$C$4:$C$709,B415)</x:f>
        <x:v>1</x:v>
      </x:c>
      <x:c r="G415" s="26" t="str">
        <x:f>IF(F415=0,"未匹配（现有产业链范围未覆盖或证据不足）",IF(COUNTIFS('岗位-产业节点关系'!$C$4:$C$709,B415,'岗位-产业节点关系'!$M$4:$M$709,"低")&gt;0,"已匹配，建议复核","已匹配"))</x:f>
        <x:v>已匹配</x:v>
      </x:c>
      <x:c r="H415" s="26" t="str">
        <x:v>中</x:v>
      </x:c>
      <x:c r="I415" s="26" t="str">
        <x:v>ICN003</x:v>
      </x:c>
      <x:c r="J415" s="26" t="str">
        <x:v>数据要素与数字经济产业链/下游/数字经济场景应用与内容创意</x:v>
      </x:c>
      <x:c r="K415" s="26" t="str">
        <x:v>广告客户经理是市场/公关行业中不可或缺的角色，负责与客户建立并维护良好的业务关系，确保广告项目从策划到执行的顺利进行。通过深入了解客户需求，制定有效的广告策略，该职位不仅能够帮助公司吸引新客户，还能提高现有客户的满意度和…</x:v>
      </x:c>
      <x:c r="L415" s="26" t="str">
        <x:v>1. 与潜在和现有客户进行沟通，了解他们的广告需求，提供专业的咨询服务，以促成合作并提升客户满意度。 2. 根据客户的品牌形象和营销目标，协同内部团队开发创新的广告解决方案，确保方案既符合预算又能达到预期效果。 3. 负…</x:v>
      </x:c>
    </x:row>
    <x:row r="416" ht="72" customHeight="1">
      <x:c r="A416" s="25" t="n">
        <x:v>11308</x:v>
      </x:c>
      <x:c r="B416" s="25" t="str">
        <x:v>IC-L3-565</x:v>
      </x:c>
      <x:c r="C416" s="25" t="str">
        <x:v>广告投放经理/主管</x:v>
      </x:c>
      <x:c r="D416" s="25" t="str">
        <x:v>2-09-06-01</x:v>
      </x:c>
      <x:c r="E416" s="25" t="str">
        <x:v>视觉传达设计人员</x:v>
      </x:c>
      <x:c r="F416" s="28" t="n">
        <x:f>COUNTIF('岗位-产业节点关系'!$C$4:$C$709,B416)</x:f>
        <x:v>1</x:v>
      </x:c>
      <x:c r="G416" s="26" t="str">
        <x:f>IF(F416=0,"未匹配（现有产业链范围未覆盖或证据不足）",IF(COUNTIFS('岗位-产业节点关系'!$C$4:$C$709,B416,'岗位-产业节点关系'!$M$4:$M$709,"低")&gt;0,"已匹配，建议复核","已匹配"))</x:f>
        <x:v>已匹配</x:v>
      </x:c>
      <x:c r="H416" s="26" t="str">
        <x:v>中</x:v>
      </x:c>
      <x:c r="I416" s="26" t="str">
        <x:v>ICN003</x:v>
      </x:c>
      <x:c r="J416" s="26" t="str">
        <x:v>数据要素与数字经济产业链/下游/数字经济场景应用与内容创意</x:v>
      </x:c>
      <x:c r="K416" s="26" t="str">
        <x:v>广告投放经理/主管是市场/公关行业中不可或缺的角色，主要负责制定并执行广告投放策略，以确保品牌或产品的有效曝光与推广。这一职位不仅要求具备深厚的市场营销理论基础，还需要拥有敏锐的市场洞察力和数据分析能力，以便于快速响应市…</x:v>
      </x:c>
      <x:c r="L416" s="26" t="str">
        <x:v>1. 负责制定全面的广告投放计划，包括选择合适的媒体渠道、确定预算分配及时间安排，以达到预期的品牌传播效果。 2. 对广告数据进行深入分析，定期评估广告表现，及时调整投放策略，确保广告效率和效果最优化。 3. 与内部创意…</x:v>
      </x:c>
    </x:row>
    <x:row r="417" ht="72" customHeight="1">
      <x:c r="A417" s="25" t="n">
        <x:v>11309</x:v>
      </x:c>
      <x:c r="B417" s="25" t="str">
        <x:v>IC-L3-566</x:v>
      </x:c>
      <x:c r="C417" s="25" t="str">
        <x:v>广告销售</x:v>
      </x:c>
      <x:c r="D417" s="25" t="str">
        <x:v>4-01-02-01</x:v>
      </x:c>
      <x:c r="E417" s="25" t="str">
        <x:v>营销员</x:v>
      </x:c>
      <x:c r="F417" s="28" t="n">
        <x:f>COUNTIF('岗位-产业节点关系'!$C$4:$C$709,B417)</x:f>
        <x:v>1</x:v>
      </x:c>
      <x:c r="G417" s="26" t="str">
        <x:f>IF(F417=0,"未匹配（现有产业链范围未覆盖或证据不足）",IF(COUNTIFS('岗位-产业节点关系'!$C$4:$C$709,B417,'岗位-产业节点关系'!$M$4:$M$709,"低")&gt;0,"已匹配，建议复核","已匹配"))</x:f>
        <x:v>已匹配</x:v>
      </x:c>
      <x:c r="H417" s="26" t="str">
        <x:v>中</x:v>
      </x:c>
      <x:c r="I417" s="26" t="str">
        <x:v>ICN003</x:v>
      </x:c>
      <x:c r="J417" s="26" t="str">
        <x:v>数据要素与数字经济产业链/下游/数字经济场景应用与内容创意</x:v>
      </x:c>
      <x:c r="K417" s="26" t="str">
        <x:v>广告销售人员是市场/公关行业中不可或缺的角色，他们通过与潜在客户的沟通，了解其需求并提供相应的广告服务方案，从而促进公司业务的增长。作为连接公司与市场的桥梁，广告销售不仅能够帮助公司扩大品牌影响力，提高市场占有率，同时还…</x:v>
      </x:c>
      <x:c r="L417" s="26" t="str">
        <x:v>1. 负责开发新客户资源，建立并维护良好的客户关系，定期拜访重点客户，确保完成年度销售任务。 2. 根据客户需求制定个性化的广告投放计划，包括但不限于媒体选择、预算分配及效果评估等环节。 3. 协调内部资源，组织跨部门会…</x:v>
      </x:c>
    </x:row>
    <x:row r="418" ht="72" customHeight="1">
      <x:c r="A418" s="25" t="n">
        <x:v>11310</x:v>
      </x:c>
      <x:c r="B418" s="25" t="str">
        <x:v>IC-L3-567</x:v>
      </x:c>
      <x:c r="C418" s="25" t="str">
        <x:v>文案/策划</x:v>
      </x:c>
      <x:c r="D418" s="25" t="str">
        <x:v>2-06-07-03</x:v>
      </x:c>
      <x:c r="E418" s="25" t="str">
        <x:v>商务策划专业人员</x:v>
      </x:c>
      <x:c r="F418" s="28" t="n">
        <x:f>COUNTIF('岗位-产业节点关系'!$C$4:$C$709,B418)</x:f>
        <x:v>1</x:v>
      </x:c>
      <x:c r="G418" s="26" t="str">
        <x:f>IF(F418=0,"未匹配（现有产业链范围未覆盖或证据不足）",IF(COUNTIFS('岗位-产业节点关系'!$C$4:$C$709,B418,'岗位-产业节点关系'!$M$4:$M$709,"低")&gt;0,"已匹配，建议复核","已匹配"))</x:f>
        <x:v>已匹配</x:v>
      </x:c>
      <x:c r="H418" s="26" t="str">
        <x:v>中</x:v>
      </x:c>
      <x:c r="I418" s="26" t="str">
        <x:v>ICN003</x:v>
      </x:c>
      <x:c r="J418" s="26" t="str">
        <x:v>数据要素与数字经济产业链/下游/数字经济场景应用与内容创意</x:v>
      </x:c>
      <x:c r="K418" s="26" t="str">
        <x:v>文案/策划是市场/公关行业中不可或缺的一部分，他们通过创意的文字表达和策略性的活动设计，帮助品牌与消费者建立深层次的情感联系，提升品牌形象及市场竞争力。该职位不仅需要具备敏锐的市场洞察力，还需要拥有出色的创意思维和良好的…</x:v>
      </x:c>
      <x:c r="L418" s="26" t="str">
        <x:v>1. 负责撰写各类广告文案，包括但不限于社交媒体帖子、新闻稿、产品介绍等，确保内容符合品牌形象并吸引目标用户。 2. 分析市场趋势，结合公司业务特点，制定创新性的市场营销方案，提高品牌知名度和影响力。 3. 协同设计团队…</x:v>
      </x:c>
    </x:row>
    <x:row r="419" ht="72" customHeight="1">
      <x:c r="A419" s="25" t="n">
        <x:v>11311</x:v>
      </x:c>
      <x:c r="B419" s="25" t="str">
        <x:v>IC-L3-568</x:v>
      </x:c>
      <x:c r="C419" s="25" t="str">
        <x:v>美术指导</x:v>
      </x:c>
      <x:c r="D419" s="25" t="str">
        <x:v>2-09-06-01</x:v>
      </x:c>
      <x:c r="E419" s="25" t="str">
        <x:v>视觉传达设计人员</x:v>
      </x:c>
      <x:c r="F419" s="28" t="n">
        <x:f>COUNTIF('岗位-产业节点关系'!$C$4:$C$709,B419)</x:f>
        <x:v>1</x:v>
      </x:c>
      <x:c r="G419" s="26" t="str">
        <x:f>IF(F419=0,"未匹配（现有产业链范围未覆盖或证据不足）",IF(COUNTIFS('岗位-产业节点关系'!$C$4:$C$709,B419,'岗位-产业节点关系'!$M$4:$M$709,"低")&gt;0,"已匹配，建议复核","已匹配"))</x:f>
        <x:v>已匹配</x:v>
      </x:c>
      <x:c r="H419" s="26" t="str">
        <x:v>中</x:v>
      </x:c>
      <x:c r="I419" s="26" t="str">
        <x:v>ICN003</x:v>
      </x:c>
      <x:c r="J419" s="26" t="str">
        <x:v>数据要素与数字经济产业链/下游/数字经济场景应用与内容创意</x:v>
      </x:c>
      <x:c r="K419" s="26" t="str">
        <x:v>美术指导是市场/公关行业中不可或缺的角色之一，负责将创意概念转化为视觉艺术作品，通过独特的设计和艺术表现力吸引目标受众，推动品牌或产品的市场认知度提升。作为广告项目中的核心成员，美术指导的主要目标是确保所有视觉材料与品牌…</x:v>
      </x:c>
      <x:c r="L419" s="26" t="str">
        <x:v>1. 负责整个广告项目的视觉风格设计，包括但不限于平面广告、视频短片、社交媒体内容等，确保其符合品牌形象及传播策略要求。 2. 与文案策划人员密切沟通，准确理解广告主题和信息点，运用创新的设计手法将文字信息转化为富有吸引…</x:v>
      </x:c>
    </x:row>
    <x:row r="420" ht="72" customHeight="1">
      <x:c r="A420" s="25" t="n">
        <x:v>11312</x:v>
      </x:c>
      <x:c r="B420" s="25" t="str">
        <x:v>IC-L3-569</x:v>
      </x:c>
      <x:c r="C420" s="25" t="str">
        <x:v>品牌专员</x:v>
      </x:c>
      <x:c r="D420" s="25" t="str">
        <x:v>2-09-06-01</x:v>
      </x:c>
      <x:c r="E420" s="25" t="str">
        <x:v>视觉传达设计人员</x:v>
      </x:c>
      <x:c r="F420" s="28" t="n">
        <x:f>COUNTIF('岗位-产业节点关系'!$C$4:$C$709,B420)</x:f>
        <x:v>0</x:v>
      </x:c>
      <x:c r="G420" s="26" t="str">
        <x:f>IF(F420=0,"未匹配（现有产业链范围未覆盖或证据不足）",IF(COUNTIFS('岗位-产业节点关系'!$C$4:$C$709,B420,'岗位-产业节点关系'!$M$4:$M$709,"低")&gt;0,"已匹配，建议复核","已匹配"))</x:f>
        <x:v>未匹配（现有产业链范围未覆盖或证据不足）</x:v>
      </x:c>
      <x:c r="H420" s="26" t="str">
        <x:v>-</x:v>
      </x:c>
      <x:c r="I420" s="26" t="str"/>
      <x:c r="J420" s="26" t="str"/>
      <x:c r="K420" s="26" t="str">
        <x:v>品牌专员是专门从事品牌战略与传播的专业人员。该职位的核心目标是通过系统化的品牌管理，提升品牌价值与市场影响力。在日常工作中，需要进行品牌定位分析、营销活动策划、媒介投放协调及品牌资产维护等工作。</x:v>
      </x:c>
      <x:c r="L420" s="26" t="str">
        <x:v>1. 策划品牌推广方案 2. 执行广告投放计划 3. 维护品牌形象管理 4. 分析市场竞品动态 5. 协调创意设计工作 6. 评估品牌传播效果</x:v>
      </x:c>
    </x:row>
    <x:row r="421" ht="72" customHeight="1">
      <x:c r="A421" s="25" t="n">
        <x:v>11313</x:v>
      </x:c>
      <x:c r="B421" s="25" t="str">
        <x:v>IC-L3-570</x:v>
      </x:c>
      <x:c r="C421" s="25" t="str">
        <x:v>公关总监</x:v>
      </x:c>
      <x:c r="D421" s="25" t="str">
        <x:v>2-09-06-01</x:v>
      </x:c>
      <x:c r="E421" s="25" t="str">
        <x:v>视觉传达设计人员</x:v>
      </x:c>
      <x:c r="F421" s="28" t="n">
        <x:f>COUNTIF('岗位-产业节点关系'!$C$4:$C$709,B421)</x:f>
        <x:v>0</x:v>
      </x:c>
      <x:c r="G421" s="26" t="str">
        <x:f>IF(F421=0,"未匹配（现有产业链范围未覆盖或证据不足）",IF(COUNTIFS('岗位-产业节点关系'!$C$4:$C$709,B421,'岗位-产业节点关系'!$M$4:$M$709,"低")&gt;0,"已匹配，建议复核","已匹配"))</x:f>
        <x:v>未匹配（现有产业链范围未覆盖或证据不足）</x:v>
      </x:c>
      <x:c r="H421" s="26" t="str">
        <x:v>-</x:v>
      </x:c>
      <x:c r="I421" s="26" t="str"/>
      <x:c r="J421" s="26" t="str"/>
      <x:c r="K421" s="26" t="str">
        <x:v>公关总监是专门从事品牌传播与声誉管理的专业人员。该职位的核心目标是通过制定并执行创新公关策略，提升品牌影响力与客户美誉度。在日常工作中，需要进行媒体关系维护、危机公关处理、大型活动策划及行业趋势分析等工作。</x:v>
      </x:c>
      <x:c r="L421" s="26" t="str">
        <x:v>1. 制定公关策略 2. 管理品牌形象 3. 策划宣传活动 4. 维护媒体关系 5. 处理危机公关 6. 评估传播效果</x:v>
      </x:c>
    </x:row>
    <x:row r="422" ht="72" customHeight="1">
      <x:c r="A422" s="25" t="n">
        <x:v>11314</x:v>
      </x:c>
      <x:c r="B422" s="25" t="str">
        <x:v>IC-L3-571</x:v>
      </x:c>
      <x:c r="C422" s="25" t="str">
        <x:v>活动执行</x:v>
      </x:c>
      <x:c r="D422" s="25" t="str">
        <x:v>2-09-06-01</x:v>
      </x:c>
      <x:c r="E422" s="25" t="str">
        <x:v>视觉传达设计人员</x:v>
      </x:c>
      <x:c r="F422" s="28" t="n">
        <x:f>COUNTIF('岗位-产业节点关系'!$C$4:$C$709,B422)</x:f>
        <x:v>0</x:v>
      </x:c>
      <x:c r="G422" s="26" t="str">
        <x:f>IF(F422=0,"未匹配（现有产业链范围未覆盖或证据不足）",IF(COUNTIFS('岗位-产业节点关系'!$C$4:$C$709,B422,'岗位-产业节点关系'!$M$4:$M$709,"低")&gt;0,"已匹配，建议复核","已匹配"))</x:f>
        <x:v>未匹配（现有产业链范围未覆盖或证据不足）</x:v>
      </x:c>
      <x:c r="H422" s="26" t="str">
        <x:v>-</x:v>
      </x:c>
      <x:c r="I422" s="26" t="str"/>
      <x:c r="J422" s="26" t="str"/>
      <x:c r="K422" s="26" t="str">
        <x:v>活动执行是专门从事广告活动策划落地的专业人员。该职位的核心目标是通过高效执行各类广告活动，确保客户营销目标达成。在日常工作中，需要进行活动流程管理、现场协调执行、供应商对接以及活动效果评估等工作。</x:v>
      </x:c>
      <x:c r="L422" s="26" t="str">
        <x:v>1. 策划活动方案 2. 协调供应商资源 3. 监督现场布置 4. 管理活动流程 5. 处理突发情况 6. 评估活动效果</x:v>
      </x:c>
    </x:row>
    <x:row r="423" ht="72" customHeight="1">
      <x:c r="A423" s="25" t="n">
        <x:v>11315</x:v>
      </x:c>
      <x:c r="B423" s="25" t="str">
        <x:v>IC-L3-572</x:v>
      </x:c>
      <x:c r="C423" s="25" t="str">
        <x:v>木工</x:v>
      </x:c>
      <x:c r="D423" s="25" t="str">
        <x:v>6-29-01-01</x:v>
      </x:c>
      <x:c r="E423" s="25" t="str">
        <x:v>砌筑工</x:v>
      </x:c>
      <x:c r="F423" s="28" t="n">
        <x:f>COUNTIF('岗位-产业节点关系'!$C$4:$C$709,B423)</x:f>
        <x:v>1</x:v>
      </x:c>
      <x:c r="G423" s="26" t="str">
        <x:f>IF(F423=0,"未匹配（现有产业链范围未覆盖或证据不足）",IF(COUNTIFS('岗位-产业节点关系'!$C$4:$C$709,B423,'岗位-产业节点关系'!$M$4:$M$709,"低")&gt;0,"已匹配，建议复核","已匹配"))</x:f>
        <x:v>已匹配，建议复核</x:v>
      </x:c>
      <x:c r="H423" s="26" t="str">
        <x:v>低</x:v>
      </x:c>
      <x:c r="I423" s="26" t="str">
        <x:v>ICN008</x:v>
      </x:c>
      <x:c r="J423" s="26" t="str">
        <x:v>基础设施与城市建设产业链/中游/基础设施建设与房地产开发</x:v>
      </x:c>
      <x:c r="K423" s="26" t="str">
        <x:v>木工作为建筑与装修行业中不可或缺的角色，负责确保所有木质结构的精确制作与安装，是建筑项目中连接设计与实现的关键环节。通过精湛的手艺和专业的知识，木工不仅能够提升建筑物的功能性，还能增强其美观度，为客户提供高质量的生活或工…</x:v>
      </x:c>
      <x:c r="L423" s="26" t="str">
        <x:v>1. 根据设计方案和施工图纸，准确测量、切割并组装木材，确保符合安全标准及客户要求。 2. 负责现场木质材料的搬运、存储以及剩余物料的管理，保证施工现场整洁有序。 3. 完成门窗框架、楼梯扶手、地板铺设等木制构件的安装工…</x:v>
      </x:c>
    </x:row>
    <x:row r="424" ht="72" customHeight="1">
      <x:c r="A424" s="25" t="n">
        <x:v>11316</x:v>
      </x:c>
      <x:c r="B424" s="25" t="str">
        <x:v>IC-L3-573</x:v>
      </x:c>
      <x:c r="C424" s="25" t="str">
        <x:v>电梯工</x:v>
      </x:c>
      <x:c r="D424" s="25" t="str">
        <x:v>6-29-01-01</x:v>
      </x:c>
      <x:c r="E424" s="25" t="str">
        <x:v>砌筑工</x:v>
      </x:c>
      <x:c r="F424" s="28" t="n">
        <x:f>COUNTIF('岗位-产业节点关系'!$C$4:$C$709,B424)</x:f>
        <x:v>2</x:v>
      </x:c>
      <x:c r="G424" s="26" t="str">
        <x:f>IF(F424=0,"未匹配（现有产业链范围未覆盖或证据不足）",IF(COUNTIFS('岗位-产业节点关系'!$C$4:$C$709,B424,'岗位-产业节点关系'!$M$4:$M$709,"低")&gt;0,"已匹配，建议复核","已匹配"))</x:f>
        <x:v>已匹配，建议复核</x:v>
      </x:c>
      <x:c r="H424" s="26" t="str">
        <x:v>低</x:v>
      </x:c>
      <x:c r="I424" s="26" t="str">
        <x:v>ICN005、ICN008</x:v>
      </x:c>
      <x:c r="J424" s="26" t="str">
        <x:v>高端装备与智能制造产业链/中游/高端装备制造与激光加工；基础设施与城市建设产业链/中游/基础设施建设与房地产开发</x:v>
      </x:c>
      <x:c r="K424" s="26" t="str">
        <x:v>电梯工是建筑与房地产行业中不可或缺的专业技术岗位，主要负责电梯设备的安装、维护及日常检修工作，确保其安全稳定运行。作为连接建筑物各个楼层的关键设施，电梯的安全性能直接关系到用户的生命财产安全，因此电梯工在项目中的作用至关…</x:v>
      </x:c>
      <x:c r="L424" s="26" t="str">
        <x:v>1. 负责电梯的日常巡检工作，检查电梯各部件是否正常运作，及时发现并排除潜在隐患。 2. 执行电梯的定期保养计划，包括清洁、润滑、调整等操作，确保设备处于最佳工作状态。 3. 在接到故障报告后迅速响应，准确判断故障原因，…</x:v>
      </x:c>
    </x:row>
    <x:row r="425" ht="72" customHeight="1">
      <x:c r="A425" s="25" t="n">
        <x:v>11317</x:v>
      </x:c>
      <x:c r="B425" s="25" t="str">
        <x:v>IC-L3-574</x:v>
      </x:c>
      <x:c r="C425" s="25" t="str">
        <x:v>施工员</x:v>
      </x:c>
      <x:c r="D425" s="25" t="str">
        <x:v>6-29-01-01</x:v>
      </x:c>
      <x:c r="E425" s="25" t="str">
        <x:v>砌筑工</x:v>
      </x:c>
      <x:c r="F425" s="28" t="n">
        <x:f>COUNTIF('岗位-产业节点关系'!$C$4:$C$709,B425)</x:f>
        <x:v>1</x:v>
      </x:c>
      <x:c r="G425" s="26" t="str">
        <x:f>IF(F425=0,"未匹配（现有产业链范围未覆盖或证据不足）",IF(COUNTIFS('岗位-产业节点关系'!$C$4:$C$709,B425,'岗位-产业节点关系'!$M$4:$M$709,"低")&gt;0,"已匹配，建议复核","已匹配"))</x:f>
        <x:v>已匹配</x:v>
      </x:c>
      <x:c r="H425" s="26" t="str">
        <x:v>中</x:v>
      </x:c>
      <x:c r="I425" s="26" t="str">
        <x:v>ICN008</x:v>
      </x:c>
      <x:c r="J425" s="26" t="str">
        <x:v>基础设施与城市建设产业链/中游/基础设施建设与房地产开发</x:v>
      </x:c>
      <x:c r="K425" s="26" t="str">
        <x:v>施工员是专门从事建筑工程现场施工管理的专业人员。该职位的核心目标是通过有效组织施工活动，确保工程质量和进度达标。在日常工作中，需要进行现场测量放线、施工技术交底、质量检查验收以及施工进度跟踪等工作。</x:v>
      </x:c>
      <x:c r="L425" s="26" t="str">
        <x:v>1. 落实施工图纸要求 2. 组织现场施工管理 3. 监督施工质量安全 4. 协调各工种配合 5. 记录工程进度情况 6. 处理现场突发问题</x:v>
      </x:c>
    </x:row>
    <x:row r="426" ht="72" customHeight="1">
      <x:c r="A426" s="25" t="n">
        <x:v>11318</x:v>
      </x:c>
      <x:c r="B426" s="25" t="str">
        <x:v>IC-L3-575</x:v>
      </x:c>
      <x:c r="C426" s="25" t="str">
        <x:v>材料员</x:v>
      </x:c>
      <x:c r="D426" s="25" t="str">
        <x:v>6-29-01-01</x:v>
      </x:c>
      <x:c r="E426" s="25" t="str">
        <x:v>砌筑工</x:v>
      </x:c>
      <x:c r="F426" s="28" t="n">
        <x:f>COUNTIF('岗位-产业节点关系'!$C$4:$C$709,B426)</x:f>
        <x:v>1</x:v>
      </x:c>
      <x:c r="G426" s="26" t="str">
        <x:f>IF(F426=0,"未匹配（现有产业链范围未覆盖或证据不足）",IF(COUNTIFS('岗位-产业节点关系'!$C$4:$C$709,B426,'岗位-产业节点关系'!$M$4:$M$709,"低")&gt;0,"已匹配，建议复核","已匹配"))</x:f>
        <x:v>已匹配，建议复核</x:v>
      </x:c>
      <x:c r="H426" s="26" t="str">
        <x:v>低</x:v>
      </x:c>
      <x:c r="I426" s="26" t="str">
        <x:v>ICN008</x:v>
      </x:c>
      <x:c r="J426" s="26" t="str">
        <x:v>基础设施与城市建设产业链/中游/基础设施建设与房地产开发</x:v>
      </x:c>
      <x:c r="K426" s="26" t="str">
        <x:v>材料员是专门从事建筑装修材料管理的专业人员。该职位的核心目标是通过科学规划材料采购与调配，实现项目成本控制与施工进度保障。在日常工作中，需要进行材料计划编制、采购订单处理、库存管理及出入库登记等工作。</x:v>
      </x:c>
      <x:c r="L426" s="26" t="str">
        <x:v>1. 管理材料采购 2. 验收进场材料 3. 登记材料台账 4. 发放施工材料 5. 盘点库存物资 6. 处理材料报废</x:v>
      </x:c>
    </x:row>
    <x:row r="427" ht="72" customHeight="1">
      <x:c r="A427" s="25" t="n">
        <x:v>11319</x:v>
      </x:c>
      <x:c r="B427" s="25" t="str">
        <x:v>IC-L3-576</x:v>
      </x:c>
      <x:c r="C427" s="25" t="str">
        <x:v>电气工程师</x:v>
      </x:c>
      <x:c r="D427" s="25" t="str">
        <x:v>6-29-01-01</x:v>
      </x:c>
      <x:c r="E427" s="25" t="str">
        <x:v>砌筑工</x:v>
      </x:c>
      <x:c r="F427" s="28" t="n">
        <x:f>COUNTIF('岗位-产业节点关系'!$C$4:$C$709,B427)</x:f>
        <x:v>2</x:v>
      </x:c>
      <x:c r="G427" s="26" t="str">
        <x:f>IF(F427=0,"未匹配（现有产业链范围未覆盖或证据不足）",IF(COUNTIFS('岗位-产业节点关系'!$C$4:$C$709,B427,'岗位-产业节点关系'!$M$4:$M$709,"低")&gt;0,"已匹配，建议复核","已匹配"))</x:f>
        <x:v>已匹配，建议复核</x:v>
      </x:c>
      <x:c r="H427" s="26" t="str">
        <x:v>中</x:v>
      </x:c>
      <x:c r="I427" s="26" t="str">
        <x:v>ICN014、ICN008</x:v>
      </x:c>
      <x:c r="J427" s="26" t="str">
        <x:v>新能源与电力装备产业链/中游/发电、储能与输配电装备；基础设施与城市建设产业链/中游/基础设施建设与房地产开发</x:v>
      </x:c>
      <x:c r="K427" s="26" t="str">
        <x:v>电气工程师是专门从事建筑电气系统设计与施工管理的专业人员。该职位的核心目标是通过规划、安装和维护电气系统，确保建筑项目安全高效运行。在日常工作中，需要进行电气图纸设计、施工现场指导、设备调试及安全检测等工作。</x:v>
      </x:c>
      <x:c r="L427" s="26" t="str">
        <x:v>1. 设计电气布线方案 2. 安装配电设备系统 3. 调试电气控制系统 4. 检测电路安全性能 5. 维护维修电气设施 6. 编制电气施工文档</x:v>
      </x:c>
    </x:row>
    <x:row r="428" ht="72" customHeight="1">
      <x:c r="A428" s="25" t="n">
        <x:v>11320</x:v>
      </x:c>
      <x:c r="B428" s="25" t="str">
        <x:v>IC-L3-577</x:v>
      </x:c>
      <x:c r="C428" s="25" t="str">
        <x:v>电力工程师</x:v>
      </x:c>
      <x:c r="D428" s="25" t="str">
        <x:v>6-29-01-01</x:v>
      </x:c>
      <x:c r="E428" s="25" t="str">
        <x:v>砌筑工</x:v>
      </x:c>
      <x:c r="F428" s="28" t="n">
        <x:f>COUNTIF('岗位-产业节点关系'!$C$4:$C$709,B428)</x:f>
        <x:v>2</x:v>
      </x:c>
      <x:c r="G428" s="26" t="str">
        <x:f>IF(F428=0,"未匹配（现有产业链范围未覆盖或证据不足）",IF(COUNTIFS('岗位-产业节点关系'!$C$4:$C$709,B428,'岗位-产业节点关系'!$M$4:$M$709,"低")&gt;0,"已匹配，建议复核","已匹配"))</x:f>
        <x:v>已匹配，建议复核</x:v>
      </x:c>
      <x:c r="H428" s="26" t="str">
        <x:v>中</x:v>
      </x:c>
      <x:c r="I428" s="26" t="str">
        <x:v>ICN014、ICN008</x:v>
      </x:c>
      <x:c r="J428" s="26" t="str">
        <x:v>新能源与电力装备产业链/中游/发电、储能与输配电装备；基础设施与城市建设产业链/中游/基础设施建设与房地产开发</x:v>
      </x:c>
      <x:c r="K428" s="26" t="str">
        <x:v>电力工程师是专门从事建筑电气系统设计与施工的专业人员。该职位的核心目标是通过规划、安装和维护电力系统，确保建筑用电安全可靠。在日常工作中，需要进行电气图纸设计、线路安装调试、设备维护检修等工作。</x:v>
      </x:c>
      <x:c r="L428" s="26" t="str">
        <x:v>1. 设计电力系统方案 2. 安装电气设备线路 3. 检测电路安全性能 4. 维护电力设备运行 5. 解决现场电力问题 6. 编制施工技术文件</x:v>
      </x:c>
    </x:row>
    <x:row r="429" ht="72" customHeight="1">
      <x:c r="A429" s="25" t="n">
        <x:v>11321</x:v>
      </x:c>
      <x:c r="B429" s="25" t="str">
        <x:v>IC-L3-578</x:v>
      </x:c>
      <x:c r="C429" s="25" t="str">
        <x:v>机电工程师</x:v>
      </x:c>
      <x:c r="D429" s="25" t="str">
        <x:v>6-29-01-01</x:v>
      </x:c>
      <x:c r="E429" s="25" t="str">
        <x:v>砌筑工</x:v>
      </x:c>
      <x:c r="F429" s="28" t="n">
        <x:f>COUNTIF('岗位-产业节点关系'!$C$4:$C$709,B429)</x:f>
        <x:v>2</x:v>
      </x:c>
      <x:c r="G429" s="26" t="str">
        <x:f>IF(F429=0,"未匹配（现有产业链范围未覆盖或证据不足）",IF(COUNTIFS('岗位-产业节点关系'!$C$4:$C$709,B429,'岗位-产业节点关系'!$M$4:$M$709,"低")&gt;0,"已匹配，建议复核","已匹配"))</x:f>
        <x:v>已匹配，建议复核</x:v>
      </x:c>
      <x:c r="H429" s="26" t="str">
        <x:v>低</x:v>
      </x:c>
      <x:c r="I429" s="26" t="str">
        <x:v>ICN005、ICN008</x:v>
      </x:c>
      <x:c r="J429" s="26" t="str">
        <x:v>高端装备与智能制造产业链/中游/高端装备制造与激光加工；基础设施与城市建设产业链/中游/基础设施建设与房地产开发</x:v>
      </x:c>
      <x:c r="K429" s="26" t="str">
        <x:v>机电工程师是专门从事建筑机电系统设计、安装与维护的专业人员。该职位的核心目标是通过优化机电系统性能，确保建筑设施安全高效运行。在日常工作中，需要进行机电图纸审核、施工方案制定、设备调试及现场技术指导等工作。</x:v>
      </x:c>
      <x:c r="L429" s="26" t="str">
        <x:v>1. 设计机电施工图纸 2. 安装调试机电设备 3. 维护修理电气系统 4. 检查管道安装质量 5. 编制技术方案文档 6. 培训施工人员技能</x:v>
      </x:c>
    </x:row>
    <x:row r="430" ht="72" customHeight="1">
      <x:c r="A430" s="25" t="n">
        <x:v>11322</x:v>
      </x:c>
      <x:c r="B430" s="25" t="str">
        <x:v>IC-L3-579</x:v>
      </x:c>
      <x:c r="C430" s="25" t="str">
        <x:v>家装顾问</x:v>
      </x:c>
      <x:c r="D430" s="25" t="str">
        <x:v>6-29-01-01</x:v>
      </x:c>
      <x:c r="E430" s="25" t="str">
        <x:v>砌筑工</x:v>
      </x:c>
      <x:c r="F430" s="28" t="n">
        <x:f>COUNTIF('岗位-产业节点关系'!$C$4:$C$709,B430)</x:f>
        <x:v>0</x:v>
      </x:c>
      <x:c r="G430" s="26" t="str">
        <x:f>IF(F430=0,"未匹配（现有产业链范围未覆盖或证据不足）",IF(COUNTIFS('岗位-产业节点关系'!$C$4:$C$709,B430,'岗位-产业节点关系'!$M$4:$M$709,"低")&gt;0,"已匹配，建议复核","已匹配"))</x:f>
        <x:v>未匹配（现有产业链范围未覆盖或证据不足）</x:v>
      </x:c>
      <x:c r="H430" s="26" t="str">
        <x:v>-</x:v>
      </x:c>
      <x:c r="I430" s="26" t="str"/>
      <x:c r="J430" s="26" t="str"/>
      <x:c r="K430" s="26" t="str">
        <x:v>家装顾问是专门从事家居装修咨询与方案设计的专业人员。该职位的核心目标是通过专业的装修建议和个性化方案，帮助客户实现理想的家居环境。在日常工作中，需要进行客户需求分析、装修方案制定、材料选配推荐及施工进度跟进等工作。</x:v>
      </x:c>
      <x:c r="L430" s="26" t="str">
        <x:v>1. 接待装修咨询客户 2. 讲解装修设计方案 3. 跟进装修项目进度 4. 协调施工团队工作 5. 处理客户售后问题 6. 维护客户长期关系</x:v>
      </x:c>
    </x:row>
    <x:row r="431" ht="72" customHeight="1">
      <x:c r="A431" s="25" t="n">
        <x:v>11323</x:v>
      </x:c>
      <x:c r="B431" s="25" t="str">
        <x:v>IC-L3-580</x:v>
      </x:c>
      <x:c r="C431" s="25" t="str">
        <x:v>公路/桥梁/港口/隧道工程</x:v>
      </x:c>
      <x:c r="D431" s="25" t="str">
        <x:v>2-02-18-01</x:v>
      </x:c>
      <x:c r="E431" s="25" t="str">
        <x:v>建筑和市政设计工程技术人员</x:v>
      </x:c>
      <x:c r="F431" s="28" t="n">
        <x:f>COUNTIF('岗位-产业节点关系'!$C$4:$C$709,B431)</x:f>
        <x:v>1</x:v>
      </x:c>
      <x:c r="G431" s="26" t="str">
        <x:f>IF(F431=0,"未匹配（现有产业链范围未覆盖或证据不足）",IF(COUNTIFS('岗位-产业节点关系'!$C$4:$C$709,B431,'岗位-产业节点关系'!$M$4:$M$709,"低")&gt;0,"已匹配，建议复核","已匹配"))</x:f>
        <x:v>已匹配，建议复核</x:v>
      </x:c>
      <x:c r="H431" s="26" t="str">
        <x:v>低</x:v>
      </x:c>
      <x:c r="I431" s="26" t="str">
        <x:v>ICN008</x:v>
      </x:c>
      <x:c r="J431" s="26" t="str">
        <x:v>基础设施与城市建设产业链/中游/基础设施建设与房地产开发</x:v>
      </x:c>
      <x:c r="K431" s="26" t="str">
        <x:v>公路/桥梁/港口/隧道工程师是建筑与房地产行业中不可或缺的专业人才，负责设计、监督和管理各类交通基础设施建设项目，确保项目的安全性、稳定性和经济性。他们不仅在项目实施阶段发挥着关键作用，在前期规划和后期维护中同样占据重要…</x:v>
      </x:c>
      <x:c r="L431" s="26" t="str">
        <x:v>1. 负责公路、桥梁、港口或隧道项目的初步设计及深化设计工作，确保设计方案符合国家规范标准和客户需求。 2. 对施工现场进行定期巡查，指导并协调现场施工活动，保证工程质量达到预期目标。 3. 参与编制项目进度计划，合理安…</x:v>
      </x:c>
    </x:row>
    <x:row r="432" ht="72" customHeight="1">
      <x:c r="A432" s="25" t="n">
        <x:v>11324</x:v>
      </x:c>
      <x:c r="B432" s="25" t="str">
        <x:v>IC-L3-581</x:v>
      </x:c>
      <x:c r="C432" s="25" t="str">
        <x:v>合同管理</x:v>
      </x:c>
      <x:c r="D432" s="25" t="str">
        <x:v>2-02-18-01</x:v>
      </x:c>
      <x:c r="E432" s="25" t="str">
        <x:v>建筑和市政设计工程技术人员</x:v>
      </x:c>
      <x:c r="F432" s="28" t="n">
        <x:f>COUNTIF('岗位-产业节点关系'!$C$4:$C$709,B432)</x:f>
        <x:v>1</x:v>
      </x:c>
      <x:c r="G432" s="26" t="str">
        <x:f>IF(F432=0,"未匹配（现有产业链范围未覆盖或证据不足）",IF(COUNTIFS('岗位-产业节点关系'!$C$4:$C$709,B432,'岗位-产业节点关系'!$M$4:$M$709,"低")&gt;0,"已匹配，建议复核","已匹配"))</x:f>
        <x:v>已匹配，建议复核</x:v>
      </x:c>
      <x:c r="H432" s="26" t="str">
        <x:v>低</x:v>
      </x:c>
      <x:c r="I432" s="26" t="str">
        <x:v>ICN008</x:v>
      </x:c>
      <x:c r="J432" s="26" t="str">
        <x:v>基础设施与城市建设产业链/中游/基础设施建设与房地产开发</x:v>
      </x:c>
      <x:c r="K432" s="26" t="str">
        <x:v>合同管理是建筑与房地产行业中至关重要的环节之一，它不仅确保了项目从设计到施工各个阶段的顺利进行，还对控制成本、保证质量以及维护各方利益起到关键作用。合同管理人员作为连接公司内部各部门及外部合作伙伴之间的桥梁，其角色不可或…</x:v>
      </x:c>
      <x:c r="L432" s="26" t="str">
        <x:v>1. 负责起草、审核各类建筑工程相关合同，确保所有文件符合法律法规要求，规避潜在的法律风险。 2. 协调组织合同谈判会议，代表公司与客户或供应商就价格、付款方式、服务标准等关键条款达成一致意见。 3. 监控合同履行状况，…</x:v>
      </x:c>
    </x:row>
    <x:row r="433" ht="72" customHeight="1">
      <x:c r="A433" s="25" t="n">
        <x:v>11325</x:v>
      </x:c>
      <x:c r="B433" s="25" t="str">
        <x:v>IC-L3-582</x:v>
      </x:c>
      <x:c r="C433" s="25" t="str">
        <x:v>岩土工程</x:v>
      </x:c>
      <x:c r="D433" s="25" t="str">
        <x:v>2-02-18-01</x:v>
      </x:c>
      <x:c r="E433" s="25" t="str">
        <x:v>建筑和市政设计工程技术人员</x:v>
      </x:c>
      <x:c r="F433" s="28" t="n">
        <x:f>COUNTIF('岗位-产业节点关系'!$C$4:$C$709,B433)</x:f>
        <x:v>1</x:v>
      </x:c>
      <x:c r="G433" s="26" t="str">
        <x:f>IF(F433=0,"未匹配（现有产业链范围未覆盖或证据不足）",IF(COUNTIFS('岗位-产业节点关系'!$C$4:$C$709,B433,'岗位-产业节点关系'!$M$4:$M$709,"低")&gt;0,"已匹配，建议复核","已匹配"))</x:f>
        <x:v>已匹配，建议复核</x:v>
      </x:c>
      <x:c r="H433" s="26" t="str">
        <x:v>低</x:v>
      </x:c>
      <x:c r="I433" s="26" t="str">
        <x:v>ICN008</x:v>
      </x:c>
      <x:c r="J433" s="26" t="str">
        <x:v>基础设施与城市建设产业链/中游/基础设施建设与房地产开发</x:v>
      </x:c>
      <x:c r="K433" s="26" t="str">
        <x:v>岩土工程师是建筑与房地产行业中不可或缺的专业人才，主要负责评估和解决与土壤及岩石相关的工程问题。他们通过专业的技术手段确保建筑物的基础稳固可靠，对于预防自然灾害导致的损害也起着至关重要的作用。此外，岩土工程师还需与其他领…</x:v>
      </x:c>
      <x:c r="L433" s="26" t="str">
        <x:v>1. 负责项目前期的地质勘查工作，收集必要的数据资料，为后续的设计提供准确依据。 2. 分析现场岩土特性，评估其承载力、稳定性及可能存在的风险因素，提出合理的建议措施。 3. 参与制定地基加固、边坡防护等专项方案，确保符…</x:v>
      </x:c>
    </x:row>
    <x:row r="434" ht="72" customHeight="1">
      <x:c r="A434" s="25" t="n">
        <x:v>11326</x:v>
      </x:c>
      <x:c r="B434" s="25" t="str">
        <x:v>IC-L3-583</x:v>
      </x:c>
      <x:c r="C434" s="25" t="str">
        <x:v>工程监理</x:v>
      </x:c>
      <x:c r="D434" s="25" t="str">
        <x:v>2-02-18-01</x:v>
      </x:c>
      <x:c r="E434" s="25" t="str">
        <x:v>建筑和市政设计工程技术人员</x:v>
      </x:c>
      <x:c r="F434" s="28" t="n">
        <x:f>COUNTIF('岗位-产业节点关系'!$C$4:$C$709,B434)</x:f>
        <x:v>1</x:v>
      </x:c>
      <x:c r="G434" s="26" t="str">
        <x:f>IF(F434=0,"未匹配（现有产业链范围未覆盖或证据不足）",IF(COUNTIFS('岗位-产业节点关系'!$C$4:$C$709,B434,'岗位-产业节点关系'!$M$4:$M$709,"低")&gt;0,"已匹配，建议复核","已匹配"))</x:f>
        <x:v>已匹配</x:v>
      </x:c>
      <x:c r="H434" s="26" t="str">
        <x:v>中</x:v>
      </x:c>
      <x:c r="I434" s="26" t="str">
        <x:v>ICN008</x:v>
      </x:c>
      <x:c r="J434" s="26" t="str">
        <x:v>基础设施与城市建设产业链/中游/基础设施建设与房地产开发</x:v>
      </x:c>
      <x:c r="K434" s="26" t="str">
        <x:v>工程监理是建筑与房地产行业中不可或缺的专业角色，主要负责监督施工过程的质量、安全和进度，确保项目按计划顺利进行。作为连接业主、设计单位及施工单位之间的桥梁，工程监理在项目管理中发挥着至关重要的作用，不仅能够有效预防和解决…</x:v>
      </x:c>
      <x:c r="L434" s="26" t="str">
        <x:v>1. 负责审核施工图纸及相关文件，参与编制监理规划和实施细则，确保各项施工活动依据设计要求和技术规范执行。 2. 定期巡视施工现场，检查施工单位是否按照批准的设计方案、施工组织设计及有关标准规范进行施工，发现问题及时提出…</x:v>
      </x:c>
    </x:row>
    <x:row r="435" ht="72" customHeight="1">
      <x:c r="A435" s="25" t="n">
        <x:v>11327</x:v>
      </x:c>
      <x:c r="B435" s="25" t="str">
        <x:v>IC-L3-584</x:v>
      </x:c>
      <x:c r="C435" s="25" t="str">
        <x:v>工程造价/预结算</x:v>
      </x:c>
      <x:c r="D435" s="25" t="str">
        <x:v>2-02-18-01</x:v>
      </x:c>
      <x:c r="E435" s="25" t="str">
        <x:v>建筑和市政设计工程技术人员</x:v>
      </x:c>
      <x:c r="F435" s="28" t="n">
        <x:f>COUNTIF('岗位-产业节点关系'!$C$4:$C$709,B435)</x:f>
        <x:v>1</x:v>
      </x:c>
      <x:c r="G435" s="26" t="str">
        <x:f>IF(F435=0,"未匹配（现有产业链范围未覆盖或证据不足）",IF(COUNTIFS('岗位-产业节点关系'!$C$4:$C$709,B435,'岗位-产业节点关系'!$M$4:$M$709,"低")&gt;0,"已匹配，建议复核","已匹配"))</x:f>
        <x:v>已匹配</x:v>
      </x:c>
      <x:c r="H435" s="26" t="str">
        <x:v>高</x:v>
      </x:c>
      <x:c r="I435" s="26" t="str">
        <x:v>ICN007</x:v>
      </x:c>
      <x:c r="J435" s="26" t="str">
        <x:v>基础设施与城市建设产业链/上游/规划设计、建材与工程准备</x:v>
      </x:c>
      <x:c r="K435" s="26" t="str">
        <x:v>工程造价/预结算在建筑与房地产行业中扮演着至关重要的角色，是确保项目成本控制和经济效益的关键环节。通过精准的成本预测与控制，该职位不仅能够为公司提供可靠的财务依据，还能有效避免因预算超支而带来的风险，从而保障项目的顺利进…</x:v>
      </x:c>
      <x:c r="L435" s="26" t="str">
        <x:v>1. 负责编制和审核工程项目各阶段的概算、预算及决算文件，确保数据准确无误。 2. 对比分析实际成本与预算之间的差异，及时发现并解决潜在问题，提出合理化建议。 3. 协同相关部门完成招标文件的编制工作，参与评标过程，确保…</x:v>
      </x:c>
    </x:row>
    <x:row r="436" ht="72" customHeight="1">
      <x:c r="A436" s="25" t="n">
        <x:v>11328</x:v>
      </x:c>
      <x:c r="B436" s="25" t="str">
        <x:v>IC-L3-585</x:v>
      </x:c>
      <x:c r="C436" s="25" t="str">
        <x:v>工长</x:v>
      </x:c>
      <x:c r="D436" s="25" t="str">
        <x:v>2-02-18-01</x:v>
      </x:c>
      <x:c r="E436" s="25" t="str">
        <x:v>建筑和市政设计工程技术人员</x:v>
      </x:c>
      <x:c r="F436" s="28" t="n">
        <x:f>COUNTIF('岗位-产业节点关系'!$C$4:$C$709,B436)</x:f>
        <x:v>1</x:v>
      </x:c>
      <x:c r="G436" s="26" t="str">
        <x:f>IF(F436=0,"未匹配（现有产业链范围未覆盖或证据不足）",IF(COUNTIFS('岗位-产业节点关系'!$C$4:$C$709,B436,'岗位-产业节点关系'!$M$4:$M$709,"低")&gt;0,"已匹配，建议复核","已匹配"))</x:f>
        <x:v>已匹配，建议复核</x:v>
      </x:c>
      <x:c r="H436" s="26" t="str">
        <x:v>低</x:v>
      </x:c>
      <x:c r="I436" s="26" t="str">
        <x:v>ICN008</x:v>
      </x:c>
      <x:c r="J436" s="26" t="str">
        <x:v>基础设施与城市建设产业链/中游/基础设施建设与房地产开发</x:v>
      </x:c>
      <x:c r="K436" s="26" t="str">
        <x:v>工长作为建筑工程领域中不可或缺的角色，是项目现场管理与执行的关键人物。他们不仅负责确保施工过程的安全、质量和进度，还承担着协调各方资源、解决突发问题的重要任务，对于推动项目的顺利进行起着决定性作用。在公司内部，工长通过高…</x:v>
      </x:c>
      <x:c r="L436" s="26" t="str">
        <x:v>1. 负责施工现场的全面管理，包括人员调度、机械设备安排及材料供应，确保工程按计划推进。 2. 监控工程质量，严格按照国家相关标准和规范操作，定期检查施工情况，及时发现并处理潜在的质量隐患。 3. 与设计、监理单位沟通协…</x:v>
      </x:c>
    </x:row>
    <x:row r="437" ht="72" customHeight="1">
      <x:c r="A437" s="25" t="n">
        <x:v>11329</x:v>
      </x:c>
      <x:c r="B437" s="25" t="str">
        <x:v>IC-L3-586</x:v>
      </x:c>
      <x:c r="C437" s="25" t="str">
        <x:v>市政工程师</x:v>
      </x:c>
      <x:c r="D437" s="25" t="str">
        <x:v>2-02-18-01</x:v>
      </x:c>
      <x:c r="E437" s="25" t="str">
        <x:v>建筑和市政设计工程技术人员</x:v>
      </x:c>
      <x:c r="F437" s="28" t="n">
        <x:f>COUNTIF('岗位-产业节点关系'!$C$4:$C$709,B437)</x:f>
        <x:v>1</x:v>
      </x:c>
      <x:c r="G437" s="26" t="str">
        <x:f>IF(F437=0,"未匹配（现有产业链范围未覆盖或证据不足）",IF(COUNTIFS('岗位-产业节点关系'!$C$4:$C$709,B437,'岗位-产业节点关系'!$M$4:$M$709,"低")&gt;0,"已匹配，建议复核","已匹配"))</x:f>
        <x:v>已匹配</x:v>
      </x:c>
      <x:c r="H437" s="26" t="str">
        <x:v>中</x:v>
      </x:c>
      <x:c r="I437" s="26" t="str">
        <x:v>ICN008</x:v>
      </x:c>
      <x:c r="J437" s="26" t="str">
        <x:v>基础设施与城市建设产业链/中游/基础设施建设与房地产开发</x:v>
      </x:c>
      <x:c r="K437" s="26" t="str">
        <x:v>市政工程师是建筑与房地产行业中不可或缺的专业人才，负责城市基础设施的设计、施工及维护工作。他们在确保公共设施安全、高效运行的同时，也促进了城市的可持续发展。作为连接设计与实施的关键桥梁，市政工程师通过精准的技术支持和创新…</x:v>
      </x:c>
      <x:c r="L437" s="26" t="str">
        <x:v>1. 负责市政工程项目的整体规划与设计，确保方案满足功能需求并遵循相关法规标准。 2. 协调现场施工活动，监督进度计划的执行情况，及时解决施工中遇到的技术难题。 3. 定期检查工程质量，组织验收工作，保证所有设施符合预定…</x:v>
      </x:c>
    </x:row>
    <x:row r="438" ht="72" customHeight="1">
      <x:c r="A438" s="25" t="n">
        <x:v>11330</x:v>
      </x:c>
      <x:c r="B438" s="25" t="str">
        <x:v>IC-L3-587</x:v>
      </x:c>
      <x:c r="C438" s="25" t="str">
        <x:v>建筑工程师</x:v>
      </x:c>
      <x:c r="D438" s="25" t="str">
        <x:v>2-02-18-01</x:v>
      </x:c>
      <x:c r="E438" s="25" t="str">
        <x:v>建筑和市政设计工程技术人员</x:v>
      </x:c>
      <x:c r="F438" s="28" t="n">
        <x:f>COUNTIF('岗位-产业节点关系'!$C$4:$C$709,B438)</x:f>
        <x:v>1</x:v>
      </x:c>
      <x:c r="G438" s="26" t="str">
        <x:f>IF(F438=0,"未匹配（现有产业链范围未覆盖或证据不足）",IF(COUNTIFS('岗位-产业节点关系'!$C$4:$C$709,B438,'岗位-产业节点关系'!$M$4:$M$709,"低")&gt;0,"已匹配，建议复核","已匹配"))</x:f>
        <x:v>已匹配</x:v>
      </x:c>
      <x:c r="H438" s="26" t="str">
        <x:v>中</x:v>
      </x:c>
      <x:c r="I438" s="26" t="str">
        <x:v>ICN008</x:v>
      </x:c>
      <x:c r="J438" s="26" t="str">
        <x:v>基础设施与城市建设产业链/中游/基础设施建设与房地产开发</x:v>
      </x:c>
      <x:c r="K438" s="26" t="str">
        <x:v>建筑工程师是建筑与房地产行业中不可或缺的专业人才，他们负责确保建筑设计的安全性、功能性和经济性，从设计到施工的每个环节都离不开他们的专业知识和技术支持。作为连接设计意图与实际建设的桥梁，建筑工程师的核心目标在于通过精确的…</x:v>
      </x:c>
      <x:c r="L438" s="26" t="str">
        <x:v>1. 负责建筑物结构的设计及审核工作，确保符合国家相关法规标准，满足安全、耐久和美观的要求。 2. 与设计团队密切沟通，参与方案讨论，提供专业的技术建议，协助完成从初步概念到最终图纸的全过程。 3. 监督施工现场，指导施…</x:v>
      </x:c>
    </x:row>
    <x:row r="439" ht="72" customHeight="1">
      <x:c r="A439" s="25" t="n">
        <x:v>11331</x:v>
      </x:c>
      <x:c r="B439" s="25" t="str">
        <x:v>IC-L3-588</x:v>
      </x:c>
      <x:c r="C439" s="25" t="str">
        <x:v>建筑工程管理/项目经理</x:v>
      </x:c>
      <x:c r="D439" s="25" t="str">
        <x:v>2-02-18-01</x:v>
      </x:c>
      <x:c r="E439" s="25" t="str">
        <x:v>建筑和市政设计工程技术人员</x:v>
      </x:c>
      <x:c r="F439" s="28" t="n">
        <x:f>COUNTIF('岗位-产业节点关系'!$C$4:$C$709,B439)</x:f>
        <x:v>1</x:v>
      </x:c>
      <x:c r="G439" s="26" t="str">
        <x:f>IF(F439=0,"未匹配（现有产业链范围未覆盖或证据不足）",IF(COUNTIFS('岗位-产业节点关系'!$C$4:$C$709,B439,'岗位-产业节点关系'!$M$4:$M$709,"低")&gt;0,"已匹配，建议复核","已匹配"))</x:f>
        <x:v>已匹配</x:v>
      </x:c>
      <x:c r="H439" s="26" t="str">
        <x:v>中</x:v>
      </x:c>
      <x:c r="I439" s="26" t="str">
        <x:v>ICN008</x:v>
      </x:c>
      <x:c r="J439" s="26" t="str">
        <x:v>基础设施与城市建设产业链/中游/基础设施建设与房地产开发</x:v>
      </x:c>
      <x:c r="K439" s="26" t="str">
        <x:v>建筑工程管理/项目经理是建筑/房地产行业中至关重要的角色，负责确保项目从设计阶段到竣工交付的全过程顺利进行。作为项目的核心领导者，他们不仅需要具备扎实的专业知识和技能，还需要拥有出色的沟通协调能力，以应对项目实施过程中可…</x:v>
      </x:c>
      <x:c r="L439" s="26" t="str">
        <x:v>1. 负责制定并执行详细的项目计划，包括时间表、预算分配、资源配置等，确保项目目标的达成。 2. 监控项目进度，及时调整策略以应对潜在风险，保证项目按预定计划顺利推进。 3. 协调内外部资源，组织召开定期会议，维护良好合…</x:v>
      </x:c>
    </x:row>
    <x:row r="440" ht="72" customHeight="1">
      <x:c r="A440" s="25" t="n">
        <x:v>11332</x:v>
      </x:c>
      <x:c r="B440" s="25" t="str">
        <x:v>IC-L3-589</x:v>
      </x:c>
      <x:c r="C440" s="25" t="str">
        <x:v>建筑工程验收</x:v>
      </x:c>
      <x:c r="D440" s="25" t="str">
        <x:v>2-02-18-01</x:v>
      </x:c>
      <x:c r="E440" s="25" t="str">
        <x:v>建筑和市政设计工程技术人员</x:v>
      </x:c>
      <x:c r="F440" s="28" t="n">
        <x:f>COUNTIF('岗位-产业节点关系'!$C$4:$C$709,B440)</x:f>
        <x:v>1</x:v>
      </x:c>
      <x:c r="G440" s="26" t="str">
        <x:f>IF(F440=0,"未匹配（现有产业链范围未覆盖或证据不足）",IF(COUNTIFS('岗位-产业节点关系'!$C$4:$C$709,B440,'岗位-产业节点关系'!$M$4:$M$709,"低")&gt;0,"已匹配，建议复核","已匹配"))</x:f>
        <x:v>已匹配</x:v>
      </x:c>
      <x:c r="H440" s="26" t="str">
        <x:v>中</x:v>
      </x:c>
      <x:c r="I440" s="26" t="str">
        <x:v>ICN008</x:v>
      </x:c>
      <x:c r="J440" s="26" t="str">
        <x:v>基础设施与城市建设产业链/中游/基础设施建设与房地产开发</x:v>
      </x:c>
      <x:c r="K440" s="26" t="str">
        <x:v>建筑工程验收是建筑与房地产行业中不可或缺的一环，该职位确保了所有施工项目均符合设计规范、质量标准及法律法规的要求，是连接建设方、施工方与监管机构的关键桥梁。作为建筑工程验收专员，其核心目标在于通过严谨细致的质量检查流程，…</x:v>
      </x:c>
      <x:c r="L440" s="26" t="str">
        <x:v>1. 负责依据国家相关法规及公司内部标准，对在建工程进行全面系统的验收工作，确保每个环节都达到预定的技术指标和安全要求。 2. 定期巡视施工现场，记录并分析发现的问题，及时提出整改建议，监督施工单位落实整改措施直至问题彻…</x:v>
      </x:c>
    </x:row>
    <x:row r="441" ht="72" customHeight="1">
      <x:c r="A441" s="25" t="n">
        <x:v>11333</x:v>
      </x:c>
      <x:c r="B441" s="25" t="str">
        <x:v>IC-L3-590</x:v>
      </x:c>
      <x:c r="C441" s="25" t="str">
        <x:v>建筑机电工程师</x:v>
      </x:c>
      <x:c r="D441" s="25" t="str">
        <x:v>2-02-18-01</x:v>
      </x:c>
      <x:c r="E441" s="25" t="str">
        <x:v>建筑和市政设计工程技术人员</x:v>
      </x:c>
      <x:c r="F441" s="28" t="n">
        <x:f>COUNTIF('岗位-产业节点关系'!$C$4:$C$709,B441)</x:f>
        <x:v>2</x:v>
      </x:c>
      <x:c r="G441" s="26" t="str">
        <x:f>IF(F441=0,"未匹配（现有产业链范围未覆盖或证据不足）",IF(COUNTIFS('岗位-产业节点关系'!$C$4:$C$709,B441,'岗位-产业节点关系'!$M$4:$M$709,"低")&gt;0,"已匹配，建议复核","已匹配"))</x:f>
        <x:v>已匹配，建议复核</x:v>
      </x:c>
      <x:c r="H441" s="26" t="str">
        <x:v>中</x:v>
      </x:c>
      <x:c r="I441" s="26" t="str">
        <x:v>ICN008、ICN005</x:v>
      </x:c>
      <x:c r="J441" s="26" t="str">
        <x:v>基础设施与城市建设产业链/中游/基础设施建设与房地产开发；高端装备与智能制造产业链/中游/高端装备制造与激光加工</x:v>
      </x:c>
      <x:c r="K441" s="26" t="str">
        <x:v>建筑机电工程师是建筑与房地产行业中不可或缺的专业技术人才，负责确保建筑物内的电气系统、暖通空调系统、给排水系统等机电设施的设计、安装与调试工作顺利进行。他们不仅需要具备扎实的专业知识和技术能力，还应拥有良好的项目管理和沟…</x:v>
      </x:c>
      <x:c r="L441" s="26" t="str">
        <x:v>1. 负责建筑项目中所有机电设备及系统的方案设计、图纸审核以及技术规范制定，确保符合国家相关标准和规范要求。 2. 与项目团队密切配合，监督并指导现场机电工程施工进度，及时解决施工中出现的问题，确保工程质量达到预期目标。…</x:v>
      </x:c>
    </x:row>
    <x:row r="442" ht="72" customHeight="1">
      <x:c r="A442" s="25" t="n">
        <x:v>11334</x:v>
      </x:c>
      <x:c r="B442" s="25" t="str">
        <x:v>IC-L3-591</x:v>
      </x:c>
      <x:c r="C442" s="25" t="str">
        <x:v>建筑项目助理</x:v>
      </x:c>
      <x:c r="D442" s="25" t="str">
        <x:v>2-02-18-01</x:v>
      </x:c>
      <x:c r="E442" s="25" t="str">
        <x:v>建筑和市政设计工程技术人员</x:v>
      </x:c>
      <x:c r="F442" s="28" t="n">
        <x:f>COUNTIF('岗位-产业节点关系'!$C$4:$C$709,B442)</x:f>
        <x:v>1</x:v>
      </x:c>
      <x:c r="G442" s="26" t="str">
        <x:f>IF(F442=0,"未匹配（现有产业链范围未覆盖或证据不足）",IF(COUNTIFS('岗位-产业节点关系'!$C$4:$C$709,B442,'岗位-产业节点关系'!$M$4:$M$709,"低")&gt;0,"已匹配，建议复核","已匹配"))</x:f>
        <x:v>已匹配</x:v>
      </x:c>
      <x:c r="H442" s="26" t="str">
        <x:v>中</x:v>
      </x:c>
      <x:c r="I442" s="26" t="str">
        <x:v>ICN008</x:v>
      </x:c>
      <x:c r="J442" s="26" t="str">
        <x:v>基础设施与城市建设产业链/中游/基础设施建设与房地产开发</x:v>
      </x:c>
      <x:c r="K442" s="26" t="str">
        <x:v>建筑项目助理是建筑与房地产行业中不可或缺的角色，他们负责支持项目经理完成项目的顺利实施，确保项目按时按质完成。作为项目管理团队的一员，建筑项目助理的核心目标在于协助进行项目计划的制定与执行，监控施工进度，协调资源分配，以…</x:v>
      </x:c>
      <x:c r="L442" s="26" t="str">
        <x:v>1. 协助项目经理编制详细的项目实施计划，包括时间表、成本预算及资源配置，确保项目目标的实现。 2. 负责跟踪记录项目进展情况，定期向项目经理汇报，及时发现并解决潜在问题，保障项目按计划推进。 3. 与设计、施工、供应商…</x:v>
      </x:c>
    </x:row>
    <x:row r="443" ht="72" customHeight="1">
      <x:c r="A443" s="25" t="n">
        <x:v>11335</x:v>
      </x:c>
      <x:c r="B443" s="25" t="str">
        <x:v>IC-L3-592</x:v>
      </x:c>
      <x:c r="C443" s="25" t="str">
        <x:v>房修工程师</x:v>
      </x:c>
      <x:c r="D443" s="25" t="str">
        <x:v>2-02-18-01</x:v>
      </x:c>
      <x:c r="E443" s="25" t="str">
        <x:v>建筑和市政设计工程技术人员</x:v>
      </x:c>
      <x:c r="F443" s="28" t="n">
        <x:f>COUNTIF('岗位-产业节点关系'!$C$4:$C$709,B443)</x:f>
        <x:v>1</x:v>
      </x:c>
      <x:c r="G443" s="26" t="str">
        <x:f>IF(F443=0,"未匹配（现有产业链范围未覆盖或证据不足）",IF(COUNTIFS('岗位-产业节点关系'!$C$4:$C$709,B443,'岗位-产业节点关系'!$M$4:$M$709,"低")&gt;0,"已匹配，建议复核","已匹配"))</x:f>
        <x:v>已匹配，建议复核</x:v>
      </x:c>
      <x:c r="H443" s="26" t="str">
        <x:v>低</x:v>
      </x:c>
      <x:c r="I443" s="26" t="str">
        <x:v>ICN008</x:v>
      </x:c>
      <x:c r="J443" s="26" t="str">
        <x:v>基础设施与城市建设产业链/中游/基础设施建设与房地产开发</x:v>
      </x:c>
      <x:c r="K443" s="26" t="str">
        <x:v>房修工程师是建筑与房地产行业中不可或缺的专业人才，主要负责房屋维修工程的技术指导与项目管理，确保建筑物的结构安全及功能完善。在建筑工程领域中，他们扮演着连接设计与施工的关键桥梁，通过其专业知识确保项目的顺利实施与高质量完…</x:v>
      </x:c>
      <x:c r="L443" s="26" t="str">
        <x:v>1. 负责对现有建筑进行定期检查，评估建筑状况，识别潜在风险点，提出合理的预防性维护建议，以防止重大事故的发生。 2. 根据客户需求制定详细的维修计划，包括材料选择、预算编制、时间安排等，确保维修工作高效有序地开展。 3…</x:v>
      </x:c>
    </x:row>
    <x:row r="444" ht="72" customHeight="1">
      <x:c r="A444" s="25" t="n">
        <x:v>11336</x:v>
      </x:c>
      <x:c r="B444" s="25" t="str">
        <x:v>IC-L3-593</x:v>
      </x:c>
      <x:c r="C444" s="25" t="str">
        <x:v>施工员</x:v>
      </x:c>
      <x:c r="D444" s="25" t="str">
        <x:v>2-02-18-01</x:v>
      </x:c>
      <x:c r="E444" s="25" t="str">
        <x:v>建筑和市政设计工程技术人员</x:v>
      </x:c>
      <x:c r="F444" s="28" t="n">
        <x:f>COUNTIF('岗位-产业节点关系'!$C$4:$C$709,B444)</x:f>
        <x:v>1</x:v>
      </x:c>
      <x:c r="G444" s="26" t="str">
        <x:f>IF(F444=0,"未匹配（现有产业链范围未覆盖或证据不足）",IF(COUNTIFS('岗位-产业节点关系'!$C$4:$C$709,B444,'岗位-产业节点关系'!$M$4:$M$709,"低")&gt;0,"已匹配，建议复核","已匹配"))</x:f>
        <x:v>已匹配</x:v>
      </x:c>
      <x:c r="H444" s="26" t="str">
        <x:v>中</x:v>
      </x:c>
      <x:c r="I444" s="26" t="str">
        <x:v>ICN008</x:v>
      </x:c>
      <x:c r="J444" s="26" t="str">
        <x:v>基础设施与城市建设产业链/中游/基础设施建设与房地产开发</x:v>
      </x:c>
      <x:c r="K444" s="26" t="str">
        <x:v>施工员是建筑行业中不可或缺的角色，主要负责现场施工的具体执行与管理。在建筑工程中，施工员不仅需要确保工程按设计图纸和规范要求顺利进行，还要在保证质量和安全的前提下控制成本，是连接设计意图与实际操作的关键桥梁。 施工员的核…</x:v>
      </x:c>
      <x:c r="L444" s="26" t="str">
        <x:v>1. 负责施工前的准备工作，包括材料准备、机械设备调配以及现场布置，确保施工活动能够按时开始。 2. 在施工过程中严格执行国家及地方相关法规标准，监督工人遵守安全生产规定，预防事故发生。 3. 定期检查施工质量，发现问题…</x:v>
      </x:c>
    </x:row>
    <x:row r="445" ht="72" customHeight="1">
      <x:c r="A445" s="25" t="n">
        <x:v>11337</x:v>
      </x:c>
      <x:c r="B445" s="25" t="str">
        <x:v>IC-L3-594</x:v>
      </x:c>
      <x:c r="C445" s="25" t="str">
        <x:v>智能大厦/综合布线/安防/弱电</x:v>
      </x:c>
      <x:c r="D445" s="25" t="str">
        <x:v>2-02-18-01</x:v>
      </x:c>
      <x:c r="E445" s="25" t="str">
        <x:v>建筑和市政设计工程技术人员</x:v>
      </x:c>
      <x:c r="F445" s="28" t="n">
        <x:f>COUNTIF('岗位-产业节点关系'!$C$4:$C$709,B445)</x:f>
        <x:v>1</x:v>
      </x:c>
      <x:c r="G445" s="26" t="str">
        <x:f>IF(F445=0,"未匹配（现有产业链范围未覆盖或证据不足）",IF(COUNTIFS('岗位-产业节点关系'!$C$4:$C$709,B445,'岗位-产业节点关系'!$M$4:$M$709,"低")&gt;0,"已匹配，建议复核","已匹配"))</x:f>
        <x:v>已匹配，建议复核</x:v>
      </x:c>
      <x:c r="H445" s="26" t="str">
        <x:v>低</x:v>
      </x:c>
      <x:c r="I445" s="26" t="str">
        <x:v>ICN008</x:v>
      </x:c>
      <x:c r="J445" s="26" t="str">
        <x:v>基础设施与城市建设产业链/中游/基础设施建设与房地产开发</x:v>
      </x:c>
      <x:c r="K445" s="26" t="str">
        <x:v>智能大厦/综合布线/安防/弱电工程师是建筑与房地产行业中不可或缺的技术角色，主要负责楼宇内的智能化系统设计、安装及维护工作。随着科技的进步和人们对于居住环境安全舒适度要求的提高，该职位的重要性日益凸显，成为推动行业发展的…</x:v>
      </x:c>
      <x:c r="L445" s="26" t="str">
        <x:v>1. 负责智能大厦内各类弱电系统的方案设计、设备选型与预算编制，确保符合国家相关标准和技术规范。 2. 对施工现场进行全面监督指导，确保施工质量和进度满足合同要求；同时负责协调各方资源，解决施工过程中出现的技术难题。 3…</x:v>
      </x:c>
    </x:row>
    <x:row r="446" ht="72" customHeight="1">
      <x:c r="A446" s="25" t="n">
        <x:v>11338</x:v>
      </x:c>
      <x:c r="B446" s="25" t="str">
        <x:v>IC-L3-595</x:v>
      </x:c>
      <x:c r="C446" s="25" t="str">
        <x:v>材料员</x:v>
      </x:c>
      <x:c r="D446" s="25" t="str">
        <x:v>2-02-18-01</x:v>
      </x:c>
      <x:c r="E446" s="25" t="str">
        <x:v>建筑和市政设计工程技术人员</x:v>
      </x:c>
      <x:c r="F446" s="28" t="n">
        <x:f>COUNTIF('岗位-产业节点关系'!$C$4:$C$709,B446)</x:f>
        <x:v>1</x:v>
      </x:c>
      <x:c r="G446" s="26" t="str">
        <x:f>IF(F446=0,"未匹配（现有产业链范围未覆盖或证据不足）",IF(COUNTIFS('岗位-产业节点关系'!$C$4:$C$709,B446,'岗位-产业节点关系'!$M$4:$M$709,"低")&gt;0,"已匹配，建议复核","已匹配"))</x:f>
        <x:v>已匹配，建议复核</x:v>
      </x:c>
      <x:c r="H446" s="26" t="str">
        <x:v>低</x:v>
      </x:c>
      <x:c r="I446" s="26" t="str">
        <x:v>ICN008</x:v>
      </x:c>
      <x:c r="J446" s="26" t="str">
        <x:v>基础设施与城市建设产业链/中游/基础设施建设与房地产开发</x:v>
      </x:c>
      <x:c r="K446" s="26" t="str">
        <x:v>材料员是建筑工程项目中不可或缺的角色，负责确保项目所需材料的质量与供应。在建筑/房地产行业中，材料员的工作对于控制成本、保证工程质量和进度至关重要。作为连接供应商与施工团队的桥梁，材料员不仅需要具备良好的沟通协调能力，还…</x:v>
      </x:c>
      <x:c r="L446" s="26" t="str">
        <x:v>1. 负责项目所需材料的采购计划编制，包括但不限于钢材、水泥、砖瓦等，确保材料按时按量到位，满足施工需求。 2. 与多家供应商建立并维护良好关系，定期评估供应商资质和服务质量，优化供应链体系。 3. 对进场材料进行验收检…</x:v>
      </x:c>
    </x:row>
    <x:row r="447" ht="72" customHeight="1">
      <x:c r="A447" s="25" t="n">
        <x:v>11339</x:v>
      </x:c>
      <x:c r="B447" s="25" t="str">
        <x:v>IC-L3-596</x:v>
      </x:c>
      <x:c r="C447" s="25" t="str">
        <x:v>测绘/测量</x:v>
      </x:c>
      <x:c r="D447" s="25" t="str">
        <x:v>2-02-18-01</x:v>
      </x:c>
      <x:c r="E447" s="25" t="str">
        <x:v>建筑和市政设计工程技术人员</x:v>
      </x:c>
      <x:c r="F447" s="28" t="n">
        <x:f>COUNTIF('岗位-产业节点关系'!$C$4:$C$709,B447)</x:f>
        <x:v>1</x:v>
      </x:c>
      <x:c r="G447" s="26" t="str">
        <x:f>IF(F447=0,"未匹配（现有产业链范围未覆盖或证据不足）",IF(COUNTIFS('岗位-产业节点关系'!$C$4:$C$709,B447,'岗位-产业节点关系'!$M$4:$M$709,"低")&gt;0,"已匹配，建议复核","已匹配"))</x:f>
        <x:v>已匹配</x:v>
      </x:c>
      <x:c r="H447" s="26" t="str">
        <x:v>中</x:v>
      </x:c>
      <x:c r="I447" s="26" t="str">
        <x:v>ICN007</x:v>
      </x:c>
      <x:c r="J447" s="26" t="str">
        <x:v>基础设施与城市建设产业链/上游/规划设计、建材与工程准备</x:v>
      </x:c>
      <x:c r="K447" s="26" t="str">
        <x:v>测绘/测量工程师是建筑与房地产行业中不可或缺的专业技术人才，他们通过精确的数据收集和分析，确保工程项目从设计到施工各阶段的空间定位准确无误。在项目启动初期，测绘人员负责现场勘查、地形图绘制等工作，为后续的设计提供基础资料…</x:v>
      </x:c>
      <x:c r="L447" s="26" t="str">
        <x:v>1. 负责项目前期的实地勘测工作，包括但不限于地形测量、地籍调查等，确保数据真实可靠。 2. 利用专业仪器（如全站仪、GPS等）及软件完成高精度测量任务，保证工程图纸与实际施工情况一致。 3. 定期对施工现场进行跟踪检测…</x:v>
      </x:c>
    </x:row>
    <x:row r="448" ht="72" customHeight="1">
      <x:c r="A448" s="25" t="n">
        <x:v>11340</x:v>
      </x:c>
      <x:c r="B448" s="25" t="str">
        <x:v>IC-L3-597</x:v>
      </x:c>
      <x:c r="C448" s="25" t="str">
        <x:v>消防安全</x:v>
      </x:c>
      <x:c r="D448" s="25" t="str">
        <x:v>2-02-18-01</x:v>
      </x:c>
      <x:c r="E448" s="25" t="str">
        <x:v>建筑和市政设计工程技术人员</x:v>
      </x:c>
      <x:c r="F448" s="28" t="n">
        <x:f>COUNTIF('岗位-产业节点关系'!$C$4:$C$709,B448)</x:f>
        <x:v>1</x:v>
      </x:c>
      <x:c r="G448" s="26" t="str">
        <x:f>IF(F448=0,"未匹配（现有产业链范围未覆盖或证据不足）",IF(COUNTIFS('岗位-产业节点关系'!$C$4:$C$709,B448,'岗位-产业节点关系'!$M$4:$M$709,"低")&gt;0,"已匹配，建议复核","已匹配"))</x:f>
        <x:v>已匹配，建议复核</x:v>
      </x:c>
      <x:c r="H448" s="26" t="str">
        <x:v>低</x:v>
      </x:c>
      <x:c r="I448" s="26" t="str">
        <x:v>ICN007</x:v>
      </x:c>
      <x:c r="J448" s="26" t="str">
        <x:v>基础设施与城市建设产业链/上游/规划设计、建材与工程准备</x:v>
      </x:c>
      <x:c r="K448" s="26" t="str">
        <x:v>消防安全专员是建筑与房地产行业中不可或缺的角色，他们负责确保所有建筑物的设计、施工及维护符合国家及地方的消防法规要求，对于保障人员生命安全和财产安全具有极其重要的作用。作为消防安全专家，其核心目标在于通过预防措施减少火灾…</x:v>
      </x:c>
      <x:c r="L448" s="26" t="str">
        <x:v>1. 负责审核建筑设计方案中的消防安全系统设计，确保其满足现行法律法规和技术规范的要求。 2. 定期组织并参与施工现场的安全检查，识别潜在的消防隐患并提出整改建议，直至问题得到彻底解决。 3. 协助制定和完善公司内部的消…</x:v>
      </x:c>
    </x:row>
    <x:row r="449" ht="72" customHeight="1">
      <x:c r="A449" s="25" t="n">
        <x:v>11341</x:v>
      </x:c>
      <x:c r="B449" s="25" t="str">
        <x:v>IC-L3-598</x:v>
      </x:c>
      <x:c r="C449" s="25" t="str">
        <x:v>生产安全员</x:v>
      </x:c>
      <x:c r="D449" s="25" t="str">
        <x:v>2-02-18-01</x:v>
      </x:c>
      <x:c r="E449" s="25" t="str">
        <x:v>建筑和市政设计工程技术人员</x:v>
      </x:c>
      <x:c r="F449" s="28" t="n">
        <x:f>COUNTIF('岗位-产业节点关系'!$C$4:$C$709,B449)</x:f>
        <x:v>1</x:v>
      </x:c>
      <x:c r="G449" s="26" t="str">
        <x:f>IF(F449=0,"未匹配（现有产业链范围未覆盖或证据不足）",IF(COUNTIFS('岗位-产业节点关系'!$C$4:$C$709,B449,'岗位-产业节点关系'!$M$4:$M$709,"低")&gt;0,"已匹配，建议复核","已匹配"))</x:f>
        <x:v>已匹配，建议复核</x:v>
      </x:c>
      <x:c r="H449" s="26" t="str">
        <x:v>低</x:v>
      </x:c>
      <x:c r="I449" s="26" t="str">
        <x:v>ICN008</x:v>
      </x:c>
      <x:c r="J449" s="26" t="str">
        <x:v>基础设施与城市建设产业链/中游/基础设施建设与房地产开发</x:v>
      </x:c>
      <x:c r="K449" s="26" t="str">
        <x:v>生产安全员是建筑/房地产行业中不可或缺的角色，负责确保施工过程的安全合规，预防事故发生，保障员工生命安全与身体健康，同时维护企业良好形象和社会责任感。作为生产安全员，其核心目标在于通过制定并执行严格的安全管理措施，降低施…</x:v>
      </x:c>
      <x:c r="L449" s="26" t="str">
        <x:v>1. 负责施工现场的安全监督工作，定期开展安全检查，及时发现并整改安全隐患，确保施工活动符合国家安全生产法律法规及公司内部管理制度要求。 2. 组织实施新入职员工的安全培训及在职员工的安全教育，提升全员安全意识和应急处理…</x:v>
      </x:c>
    </x:row>
    <x:row r="450" ht="72" customHeight="1">
      <x:c r="A450" s="25" t="n">
        <x:v>11342</x:v>
      </x:c>
      <x:c r="B450" s="25" t="str">
        <x:v>IC-L3-599</x:v>
      </x:c>
      <x:c r="C450" s="25" t="str">
        <x:v>结构/土木/土建工程师</x:v>
      </x:c>
      <x:c r="D450" s="25" t="str">
        <x:v>2-02-18-02</x:v>
      </x:c>
      <x:c r="E450" s="25" t="str">
        <x:v>土木建筑工程技术人员</x:v>
      </x:c>
      <x:c r="F450" s="28" t="n">
        <x:f>COUNTIF('岗位-产业节点关系'!$C$4:$C$709,B450)</x:f>
        <x:v>1</x:v>
      </x:c>
      <x:c r="G450" s="26" t="str">
        <x:f>IF(F450=0,"未匹配（现有产业链范围未覆盖或证据不足）",IF(COUNTIFS('岗位-产业节点关系'!$C$4:$C$709,B450,'岗位-产业节点关系'!$M$4:$M$709,"低")&gt;0,"已匹配，建议复核","已匹配"))</x:f>
        <x:v>已匹配</x:v>
      </x:c>
      <x:c r="H450" s="26" t="str">
        <x:v>高</x:v>
      </x:c>
      <x:c r="I450" s="26" t="str">
        <x:v>ICN008</x:v>
      </x:c>
      <x:c r="J450" s="26" t="str">
        <x:v>基础设施与城市建设产业链/中游/基础设施建设与房地产开发</x:v>
      </x:c>
      <x:c r="K450" s="26" t="str">
        <x:v>结构/土木/土建工程师是建筑与房地产行业中不可或缺的专业人才，负责确保建筑物的安全性和稳定性，通过科学计算与技术应用解决复杂的空间结构问题。这一职位不仅是工程项目成功实施的关键保障，也是连接设计与施工环节的重要桥梁。 该…</x:v>
      </x:c>
      <x:c r="L450" s="26" t="str">
        <x:v>1. 负责建筑项目的结构设计工作，包括但不限于基础、墙体、梁柱等关键部位的设计，确保设计方案既满足功能需求又具备良好的经济性。 2. 进行现场勘查，收集地质资料，分析土壤条件，为结构设计提供准确的数据支持，确保设计方案能…</x:v>
      </x:c>
    </x:row>
    <x:row r="451" ht="72" customHeight="1">
      <x:c r="A451" s="25" t="n">
        <x:v>11343</x:v>
      </x:c>
      <x:c r="B451" s="25" t="str">
        <x:v>IC-L3-600</x:v>
      </x:c>
      <x:c r="C451" s="25" t="str">
        <x:v>给排水/暖通工程</x:v>
      </x:c>
      <x:c r="D451" s="25" t="str">
        <x:v>2-02-18-01</x:v>
      </x:c>
      <x:c r="E451" s="25" t="str">
        <x:v>建筑和市政设计工程技术人员</x:v>
      </x:c>
      <x:c r="F451" s="28" t="n">
        <x:f>COUNTIF('岗位-产业节点关系'!$C$4:$C$709,B451)</x:f>
        <x:v>1</x:v>
      </x:c>
      <x:c r="G451" s="26" t="str">
        <x:f>IF(F451=0,"未匹配（现有产业链范围未覆盖或证据不足）",IF(COUNTIFS('岗位-产业节点关系'!$C$4:$C$709,B451,'岗位-产业节点关系'!$M$4:$M$709,"低")&gt;0,"已匹配，建议复核","已匹配"))</x:f>
        <x:v>已匹配</x:v>
      </x:c>
      <x:c r="H451" s="26" t="str">
        <x:v>高</x:v>
      </x:c>
      <x:c r="I451" s="26" t="str">
        <x:v>ICN008</x:v>
      </x:c>
      <x:c r="J451" s="26" t="str">
        <x:v>基础设施与城市建设产业链/中游/基础设施建设与房地产开发</x:v>
      </x:c>
      <x:c r="K451" s="26" t="str">
        <x:v>在建筑与房地产行业中，给排水/暖通工程师是确保建筑物内部环境舒适、安全及高效运行的关键角色。通过设计和实施先进的水处理系统以及供暖通风空调系统，他们不仅能够满足居民或使用者的基本需求，还能有效降低能耗，提升建筑的整体性能…</x:v>
      </x:c>
      <x:c r="L451" s="26" t="str">
        <x:v>1. 负责项目中给排水及暖通系统的方案设计，确保符合国家相关标准和规范，同时满足客户的具体需求。 2. 协调现场安装工作，监督施工过程，及时解决出现的技术问题，保证工程质量达到预期目标。 3. 对现有系统进行定期检查和维…</x:v>
      </x:c>
    </x:row>
    <x:row r="452" ht="72" customHeight="1">
      <x:c r="A452" s="25" t="n">
        <x:v>11344</x:v>
      </x:c>
      <x:c r="B452" s="25" t="str">
        <x:v>IC-L3-601</x:v>
      </x:c>
      <x:c r="C452" s="25" t="str">
        <x:v>资料员</x:v>
      </x:c>
      <x:c r="D452" s="25" t="str">
        <x:v>3-01-02-02</x:v>
      </x:c>
      <x:c r="E452" s="25" t="str">
        <x:v>秘书</x:v>
      </x:c>
      <x:c r="F452" s="28" t="n">
        <x:f>COUNTIF('岗位-产业节点关系'!$C$4:$C$709,B452)</x:f>
        <x:v>1</x:v>
      </x:c>
      <x:c r="G452" s="26" t="str">
        <x:f>IF(F452=0,"未匹配（现有产业链范围未覆盖或证据不足）",IF(COUNTIFS('岗位-产业节点关系'!$C$4:$C$709,B452,'岗位-产业节点关系'!$M$4:$M$709,"低")&gt;0,"已匹配，建议复核","已匹配"))</x:f>
        <x:v>已匹配，建议复核</x:v>
      </x:c>
      <x:c r="H452" s="26" t="str">
        <x:v>低</x:v>
      </x:c>
      <x:c r="I452" s="26" t="str">
        <x:v>ICN008</x:v>
      </x:c>
      <x:c r="J452" s="26" t="str">
        <x:v>基础设施与城市建设产业链/中游/基础设施建设与房地产开发</x:v>
      </x:c>
      <x:c r="K452" s="26" t="str">
        <x:v>资料员在建筑/房地产行业中扮演着至关重要的角色，负责项目文件的整理与管理，确保所有文档资料准确无误并及时更新，从而保障项目的顺利进行。通过高效的信息管理和沟通协调，资料员能够帮助团队成员快速获取所需信息，提高工作效率，降…</x:v>
      </x:c>
      <x:c r="L452" s="26" t="str">
        <x:v>1. 负责收集、整理及归档各类工程项目文件资料，确保资料完整、准确、安全，便于查阅和追溯。 2. 定期检查项目文档状态，及时发现并解决存在的问题，保证资料的时效性和有效性。 3. 协助编制施工日志、会议纪要等日常记录，支…</x:v>
      </x:c>
    </x:row>
    <x:row r="453" ht="72" customHeight="1">
      <x:c r="A453" s="25" t="n">
        <x:v>11345</x:v>
      </x:c>
      <x:c r="B453" s="25" t="str">
        <x:v>IC-L3-602</x:v>
      </x:c>
      <x:c r="C453" s="25" t="str">
        <x:v>高级建筑工程师/总工</x:v>
      </x:c>
      <x:c r="D453" s="25" t="str">
        <x:v>2-02-18-01</x:v>
      </x:c>
      <x:c r="E453" s="25" t="str">
        <x:v>建筑和市政设计工程技术人员</x:v>
      </x:c>
      <x:c r="F453" s="28" t="n">
        <x:f>COUNTIF('岗位-产业节点关系'!$C$4:$C$709,B453)</x:f>
        <x:v>1</x:v>
      </x:c>
      <x:c r="G453" s="26" t="str">
        <x:f>IF(F453=0,"未匹配（现有产业链范围未覆盖或证据不足）",IF(COUNTIFS('岗位-产业节点关系'!$C$4:$C$709,B453,'岗位-产业节点关系'!$M$4:$M$709,"低")&gt;0,"已匹配，建议复核","已匹配"))</x:f>
        <x:v>已匹配</x:v>
      </x:c>
      <x:c r="H453" s="26" t="str">
        <x:v>中</x:v>
      </x:c>
      <x:c r="I453" s="26" t="str">
        <x:v>ICN008</x:v>
      </x:c>
      <x:c r="J453" s="26" t="str">
        <x:v>基础设施与城市建设产业链/中游/基础设施建设与房地产开发</x:v>
      </x:c>
      <x:c r="K453" s="26" t="str">
        <x:v>高级建筑工程师/总工是建筑/房地产行业中不可或缺的关键技术人才，负责确保工程项目的设计与施工达到最高标准。作为项目的技术领导者，他们不仅需要具备深厚的专业知识，还应拥有卓越的管理能力和创新思维，以推动公司技术进步和业务发…</x:v>
      </x:c>
      <x:c r="L453" s="26" t="str">
        <x:v>1. 负责审核并优化建筑工程设计方案，确保其符合国家规范及客户需求，同时提高工程质量和效率。 2. 监督施工现场的技术实施情况，解决施工过程中出现的技术难题，保障项目按计划安全进行。 3. 组织编制施工组织设计、专项施工…</x:v>
      </x:c>
    </x:row>
    <x:row r="454" ht="72" customHeight="1">
      <x:c r="A454" s="25" t="n">
        <x:v>11346</x:v>
      </x:c>
      <x:c r="B454" s="25" t="str">
        <x:v>IC-L3-603</x:v>
      </x:c>
      <x:c r="C454" s="25" t="str">
        <x:v>BIM工程师</x:v>
      </x:c>
      <x:c r="D454" s="25" t="str">
        <x:v>2-02-18-01</x:v>
      </x:c>
      <x:c r="E454" s="25" t="str">
        <x:v>建筑和市政设计工程技术人员</x:v>
      </x:c>
      <x:c r="F454" s="28" t="n">
        <x:f>COUNTIF('岗位-产业节点关系'!$C$4:$C$709,B454)</x:f>
        <x:v>1</x:v>
      </x:c>
      <x:c r="G454" s="26" t="str">
        <x:f>IF(F454=0,"未匹配（现有产业链范围未覆盖或证据不足）",IF(COUNTIFS('岗位-产业节点关系'!$C$4:$C$709,B454,'岗位-产业节点关系'!$M$4:$M$709,"低")&gt;0,"已匹配，建议复核","已匹配"))</x:f>
        <x:v>已匹配，建议复核</x:v>
      </x:c>
      <x:c r="H454" s="26" t="str">
        <x:v>低</x:v>
      </x:c>
      <x:c r="I454" s="26" t="str">
        <x:v>ICN008</x:v>
      </x:c>
      <x:c r="J454" s="26" t="str">
        <x:v>基础设施与城市建设产业链/中游/基础设施建设与房地产开发</x:v>
      </x:c>
      <x:c r="K454" s="26" t="str">
        <x:v>BIM工程师是专门从事建筑信息模型技术应用的专业人员。该职位的核心目标是通过建立和管理BIM模型，实现建筑工程全生命周期的数字化协同。在日常工作中，需要进行模型创建与维护、碰撞检测分析、施工模拟及工程量统计等工作。</x:v>
      </x:c>
      <x:c r="L454" s="26" t="str">
        <x:v>1. 建立建筑信息模型 2. 优化BIM设计方案 3. 协调各专业模型 4. 输出BIM施工图纸 5. 解决模型碰撞问题 6. 培训BIM应用技术</x:v>
      </x:c>
    </x:row>
    <x:row r="455" ht="72" customHeight="1">
      <x:c r="A455" s="25" t="n">
        <x:v>11347</x:v>
      </x:c>
      <x:c r="B455" s="25" t="str">
        <x:v>IC-L3-604</x:v>
      </x:c>
      <x:c r="C455" s="25" t="str">
        <x:v>后期制作</x:v>
      </x:c>
      <x:c r="D455" s="25" t="str">
        <x:v>2-02-18-01</x:v>
      </x:c>
      <x:c r="E455" s="25" t="str">
        <x:v>建筑和市政设计工程技术人员</x:v>
      </x:c>
      <x:c r="F455" s="28" t="n">
        <x:f>COUNTIF('岗位-产业节点关系'!$C$4:$C$709,B455)</x:f>
        <x:v>1</x:v>
      </x:c>
      <x:c r="G455" s="26" t="str">
        <x:f>IF(F455=0,"未匹配（现有产业链范围未覆盖或证据不足）",IF(COUNTIFS('岗位-产业节点关系'!$C$4:$C$709,B455,'岗位-产业节点关系'!$M$4:$M$709,"低")&gt;0,"已匹配，建议复核","已匹配"))</x:f>
        <x:v>已匹配，建议复核</x:v>
      </x:c>
      <x:c r="H455" s="26" t="str">
        <x:v>低</x:v>
      </x:c>
      <x:c r="I455" s="26" t="str">
        <x:v>ICN008</x:v>
      </x:c>
      <x:c r="J455" s="26" t="str">
        <x:v>基础设施与城市建设产业链/中游/基础设施建设与房地产开发</x:v>
      </x:c>
      <x:c r="K455" s="26" t="str">
        <x:v>后期制作是专门从事建筑工程视觉呈现与成果交付的专业人员。该职位的核心目标是通过专业化的影像处理和文档编排，确保项目成果的精准展示与高效传递。在日常工作中，需要进行施工进度影像剪辑、BIM模型渲染、竣工资料排版及多媒体汇报…</x:v>
      </x:c>
      <x:c r="L455" s="26" t="str">
        <x:v>1. 整理施工影像资料 2. 优化工程展示效果 3. 制作三维施工动画 4. 处理项目宣传视频 5. 管理后期制作设备 6. 配合项目验收演示</x:v>
      </x:c>
    </x:row>
    <x:row r="456" ht="72" customHeight="1">
      <x:c r="A456" s="25" t="n">
        <x:v>11348</x:v>
      </x:c>
      <x:c r="B456" s="25" t="str">
        <x:v>IC-L3-605</x:v>
      </x:c>
      <x:c r="C456" s="25" t="str">
        <x:v>射频工程师</x:v>
      </x:c>
      <x:c r="D456" s="25" t="str">
        <x:v>2-02-18-01</x:v>
      </x:c>
      <x:c r="E456" s="25" t="str">
        <x:v>建筑和市政设计工程技术人员</x:v>
      </x:c>
      <x:c r="F456" s="28" t="n">
        <x:f>COUNTIF('岗位-产业节点关系'!$C$4:$C$709,B456)</x:f>
        <x:v>1</x:v>
      </x:c>
      <x:c r="G456" s="26" t="str">
        <x:f>IF(F456=0,"未匹配（现有产业链范围未覆盖或证据不足）",IF(COUNTIFS('岗位-产业节点关系'!$C$4:$C$709,B456,'岗位-产业节点关系'!$M$4:$M$709,"低")&gt;0,"已匹配，建议复核","已匹配"))</x:f>
        <x:v>已匹配，建议复核</x:v>
      </x:c>
      <x:c r="H456" s="26" t="str">
        <x:v>低</x:v>
      </x:c>
      <x:c r="I456" s="26" t="str">
        <x:v>ICN047</x:v>
      </x:c>
      <x:c r="J456" s="26" t="str">
        <x:v>半导体与集成电路产业链/中游/芯片设计、制造、封测与集成电路</x:v>
      </x:c>
      <x:c r="K456" s="26" t="str">
        <x:v>射频工程师是专门从事建筑智能化系统中无线通信技术应用的专业人员。该职位的核心目标是通过设计和优化射频系统，确保建筑物内无线通信设备的高效稳定运行。在日常工作中，需要进行射频系统规划、信号测试分析、设备调试及故障排查等工作…</x:v>
      </x:c>
      <x:c r="L456" s="26" t="str">
        <x:v>1. 设计射频通信系统 2. 优化无线信号覆盖 3. 测试射频设备性能 4. 分析电磁干扰问题 5. 维护基站设备运行 6. 编制技术方案文档</x:v>
      </x:c>
    </x:row>
    <x:row r="457" ht="72" customHeight="1">
      <x:c r="A457" s="25" t="n">
        <x:v>11349</x:v>
      </x:c>
      <x:c r="B457" s="25" t="str">
        <x:v>IC-L3-606</x:v>
      </x:c>
      <x:c r="C457" s="25" t="str">
        <x:v>BIM工程师</x:v>
      </x:c>
      <x:c r="D457" s="25" t="str">
        <x:v>2-02-18-01</x:v>
      </x:c>
      <x:c r="E457" s="25" t="str">
        <x:v>建筑和市政设计工程技术人员</x:v>
      </x:c>
      <x:c r="F457" s="28" t="n">
        <x:f>COUNTIF('岗位-产业节点关系'!$C$4:$C$709,B457)</x:f>
        <x:v>1</x:v>
      </x:c>
      <x:c r="G457" s="26" t="str">
        <x:f>IF(F457=0,"未匹配（现有产业链范围未覆盖或证据不足）",IF(COUNTIFS('岗位-产业节点关系'!$C$4:$C$709,B457,'岗位-产业节点关系'!$M$4:$M$709,"低")&gt;0,"已匹配，建议复核","已匹配"))</x:f>
        <x:v>已匹配，建议复核</x:v>
      </x:c>
      <x:c r="H457" s="26" t="str">
        <x:v>低</x:v>
      </x:c>
      <x:c r="I457" s="26" t="str">
        <x:v>ICN008</x:v>
      </x:c>
      <x:c r="J457" s="26" t="str">
        <x:v>基础设施与城市建设产业链/中游/基础设施建设与房地产开发</x:v>
      </x:c>
      <x:c r="K457" s="26" t="str">
        <x:v>BIM工程师是建筑规划与设计领域中不可或缺的专业人才，他们利用先进的建筑信息模型技术，将建筑设计、施工管理及后期运维等各个环节紧密联系起来，确保项目从概念到完成的每一个阶段都能高效、准确地进行。通过构建详细的三维数字模型…</x:v>
      </x:c>
      <x:c r="L457" s="26" t="str">
        <x:v>1. 负责创建和维护项目全生命周期内的BIM模型，确保模型数据的完整性和准确性，满足各阶段的设计需求。 2. 与建筑师、结构工程师等多专业团队协作，协调各专业间的信息交流与共享，促进设计流程的标准化和协同化。 3. 对比…</x:v>
      </x:c>
    </x:row>
    <x:row r="458" ht="72" customHeight="1">
      <x:c r="A458" s="25" t="n">
        <x:v>11350</x:v>
      </x:c>
      <x:c r="B458" s="25" t="str">
        <x:v>IC-L3-607</x:v>
      </x:c>
      <x:c r="C458" s="25" t="str">
        <x:v>园艺/园林/景观设计</x:v>
      </x:c>
      <x:c r="D458" s="25" t="str">
        <x:v>2-02-18-01</x:v>
      </x:c>
      <x:c r="E458" s="25" t="str">
        <x:v>建筑和市政设计工程技术人员</x:v>
      </x:c>
      <x:c r="F458" s="28" t="n">
        <x:f>COUNTIF('岗位-产业节点关系'!$C$4:$C$709,B458)</x:f>
        <x:v>1</x:v>
      </x:c>
      <x:c r="G458" s="26" t="str">
        <x:f>IF(F458=0,"未匹配（现有产业链范围未覆盖或证据不足）",IF(COUNTIFS('岗位-产业节点关系'!$C$4:$C$709,B458,'岗位-产业节点关系'!$M$4:$M$709,"低")&gt;0,"已匹配，建议复核","已匹配"))</x:f>
        <x:v>已匹配</x:v>
      </x:c>
      <x:c r="H458" s="26" t="str">
        <x:v>高</x:v>
      </x:c>
      <x:c r="I458" s="26" t="str">
        <x:v>ICN007</x:v>
      </x:c>
      <x:c r="J458" s="26" t="str">
        <x:v>基础设施与城市建设产业链/上游/规划设计、建材与工程准备</x:v>
      </x:c>
      <x:c r="K458" s="26" t="str">
        <x:v>园艺/园林/景观设计师是建筑规划与设计领域中不可或缺的专业人才，他们负责创造既美观又实用的户外空间，通过巧妙地结合自然元素与人工构造，提升人们的生活质量。该职位不仅关注于环境美学，更强调生态平衡与可持续发展的重要性，是实…</x:v>
      </x:c>
      <x:c r="L458" s="26" t="str">
        <x:v>1. 负责项目前期调研，收集分析相关资料，为景观设计提供依据。 2. 根据项目定位及客户要求，进行创意构思并绘制初步设计图。 3. 与团队成员密切配合，优化设计方案，确保其可行性与创新性。 4. 参与现场勘查，监督施工过…</x:v>
      </x:c>
    </x:row>
    <x:row r="459" ht="72" customHeight="1">
      <x:c r="A459" s="25" t="n">
        <x:v>11351</x:v>
      </x:c>
      <x:c r="B459" s="25" t="str">
        <x:v>IC-L3-608</x:v>
      </x:c>
      <x:c r="C459" s="25" t="str">
        <x:v>城市规划设计</x:v>
      </x:c>
      <x:c r="D459" s="25" t="str">
        <x:v>2-02-18-01</x:v>
      </x:c>
      <x:c r="E459" s="25" t="str">
        <x:v>建筑和市政设计工程技术人员</x:v>
      </x:c>
      <x:c r="F459" s="28" t="n">
        <x:f>COUNTIF('岗位-产业节点关系'!$C$4:$C$709,B459)</x:f>
        <x:v>1</x:v>
      </x:c>
      <x:c r="G459" s="26" t="str">
        <x:f>IF(F459=0,"未匹配（现有产业链范围未覆盖或证据不足）",IF(COUNTIFS('岗位-产业节点关系'!$C$4:$C$709,B459,'岗位-产业节点关系'!$M$4:$M$709,"低")&gt;0,"已匹配，建议复核","已匹配"))</x:f>
        <x:v>已匹配</x:v>
      </x:c>
      <x:c r="H459" s="26" t="str">
        <x:v>高</x:v>
      </x:c>
      <x:c r="I459" s="26" t="str">
        <x:v>ICN007</x:v>
      </x:c>
      <x:c r="J459" s="26" t="str">
        <x:v>基础设施与城市建设产业链/上游/规划设计、建材与工程准备</x:v>
      </x:c>
      <x:c r="K459" s="26" t="str">
        <x:v>城市规划设计师在建筑与房地产行业中扮演着至关重要的角色。他们负责将城市空间从概念转化为现实，通过科学合理的布局促进城市的可持续发展，不仅提高了居民的生活质量，还增强了城市的综合竞争力。作为公司发展战略的重要组成部分，城市…</x:v>
      </x:c>
      <x:c r="L459" s="26" t="str">
        <x:v>1. 负责城市规划项目的前期调研分析工作，收集整理相关资料，确保设计方案符合当地法律法规要求及社会经济发展需求。 2. 制定详细的项目规划方案，包括但不限于总体布局、功能分区、交通流线等内容，以达到优化城市空间结构的目的…</x:v>
      </x:c>
    </x:row>
    <x:row r="460" ht="72" customHeight="1">
      <x:c r="A460" s="25" t="n">
        <x:v>11352</x:v>
      </x:c>
      <x:c r="B460" s="25" t="str">
        <x:v>IC-L3-609</x:v>
      </x:c>
      <x:c r="C460" s="25" t="str">
        <x:v>室内设计</x:v>
      </x:c>
      <x:c r="D460" s="25" t="str">
        <x:v>2-02-18-01</x:v>
      </x:c>
      <x:c r="E460" s="25" t="str">
        <x:v>建筑和市政设计工程技术人员</x:v>
      </x:c>
      <x:c r="F460" s="28" t="n">
        <x:f>COUNTIF('岗位-产业节点关系'!$C$4:$C$709,B460)</x:f>
        <x:v>1</x:v>
      </x:c>
      <x:c r="G460" s="26" t="str">
        <x:f>IF(F460=0,"未匹配（现有产业链范围未覆盖或证据不足）",IF(COUNTIFS('岗位-产业节点关系'!$C$4:$C$709,B460,'岗位-产业节点关系'!$M$4:$M$709,"低")&gt;0,"已匹配，建议复核","已匹配"))</x:f>
        <x:v>已匹配，建议复核</x:v>
      </x:c>
      <x:c r="H460" s="26" t="str">
        <x:v>低</x:v>
      </x:c>
      <x:c r="I460" s="26" t="str">
        <x:v>ICN007</x:v>
      </x:c>
      <x:c r="J460" s="26" t="str">
        <x:v>基础设施与城市建设产业链/上游/规划设计、建材与工程准备</x:v>
      </x:c>
      <x:c r="K460" s="26" t="str">
        <x:v>室内设计师在建筑与房地产行业中扮演着至关重要的角色，他们不仅负责创造美观、实用的空间环境，还承担着提升项目品质、满足客户个性化需求的重要任务。通过将美学原理与功能布局相结合，室内设计师能够为住宅、商业及公共空间提供全方位…</x:v>
      </x:c>
      <x:c r="L460" s="26" t="str">
        <x:v>1. 根据客户需求进行初步方案构思，绘制平面布置图、立面图等，确保设计符合人体工程学原则及安全标准。 2. 选择合适的材料、色彩搭配方案，编制详细的材料清单，与供应商沟通协调以获取最优价格和服务。 3. 在项目施工阶段，…</x:v>
      </x:c>
    </x:row>
    <x:row r="461" ht="72" customHeight="1">
      <x:c r="A461" s="25" t="n">
        <x:v>11353</x:v>
      </x:c>
      <x:c r="B461" s="25" t="str">
        <x:v>IC-L3-610</x:v>
      </x:c>
      <x:c r="C461" s="25" t="str">
        <x:v>室内设计师助理</x:v>
      </x:c>
      <x:c r="D461" s="25" t="str">
        <x:v>2-02-18-01</x:v>
      </x:c>
      <x:c r="E461" s="25" t="str">
        <x:v>建筑和市政设计工程技术人员</x:v>
      </x:c>
      <x:c r="F461" s="28" t="n">
        <x:f>COUNTIF('岗位-产业节点关系'!$C$4:$C$709,B461)</x:f>
        <x:v>1</x:v>
      </x:c>
      <x:c r="G461" s="26" t="str">
        <x:f>IF(F461=0,"未匹配（现有产业链范围未覆盖或证据不足）",IF(COUNTIFS('岗位-产业节点关系'!$C$4:$C$709,B461,'岗位-产业节点关系'!$M$4:$M$709,"低")&gt;0,"已匹配，建议复核","已匹配"))</x:f>
        <x:v>已匹配，建议复核</x:v>
      </x:c>
      <x:c r="H461" s="26" t="str">
        <x:v>低</x:v>
      </x:c>
      <x:c r="I461" s="26" t="str">
        <x:v>ICN007</x:v>
      </x:c>
      <x:c r="J461" s="26" t="str">
        <x:v>基础设施与城市建设产业链/上游/规划设计、建材与工程准备</x:v>
      </x:c>
      <x:c r="K461" s="26" t="str">
        <x:v>室内设计师助理是建筑与房地产行业中不可或缺的角色，主要负责协助资深设计师完成项目的设计工作，确保设计方案能够满足客户的需求并实现空间的最大化利用。作为连接创意与实践的桥梁，室内设计师助理通过其专业技能和创新思维，不仅促进…</x:v>
      </x:c>
      <x:c r="L461" s="26" t="str">
        <x:v>1. 协助主设计师进行空间规划、平面布置及效果图制作，确保设计方案符合客户需求及行业标准。 2. 参与项目现场测量，收集相关数据资料，为设计提供准确依据。 3. 与客户沟通交流，了解其需求偏好，及时反馈至设计团队，优化设…</x:v>
      </x:c>
    </x:row>
    <x:row r="462" ht="72" customHeight="1">
      <x:c r="A462" s="25" t="n">
        <x:v>11354</x:v>
      </x:c>
      <x:c r="B462" s="25" t="str">
        <x:v>IC-L3-611</x:v>
      </x:c>
      <x:c r="C462" s="25" t="str">
        <x:v>室内设计总监</x:v>
      </x:c>
      <x:c r="D462" s="25" t="str">
        <x:v>2-02-18-01</x:v>
      </x:c>
      <x:c r="E462" s="25" t="str">
        <x:v>建筑和市政设计工程技术人员</x:v>
      </x:c>
      <x:c r="F462" s="28" t="n">
        <x:f>COUNTIF('岗位-产业节点关系'!$C$4:$C$709,B462)</x:f>
        <x:v>1</x:v>
      </x:c>
      <x:c r="G462" s="26" t="str">
        <x:f>IF(F462=0,"未匹配（现有产业链范围未覆盖或证据不足）",IF(COUNTIFS('岗位-产业节点关系'!$C$4:$C$709,B462,'岗位-产业节点关系'!$M$4:$M$709,"低")&gt;0,"已匹配，建议复核","已匹配"))</x:f>
        <x:v>已匹配，建议复核</x:v>
      </x:c>
      <x:c r="H462" s="26" t="str">
        <x:v>低</x:v>
      </x:c>
      <x:c r="I462" s="26" t="str">
        <x:v>ICN007</x:v>
      </x:c>
      <x:c r="J462" s="26" t="str">
        <x:v>基础设施与城市建设产业链/上游/规划设计、建材与工程准备</x:v>
      </x:c>
      <x:c r="K462" s="26" t="str">
        <x:v>室内设计总监是建筑与房地产行业中不可或缺的角色，负责领导室内设计团队，确保项目从概念到完成均达到最高标准。作为连接客户、施工团队和技术专家的关键人物，其在实现创新设计和高效执行中扮演着核心角色。 该职位的核心目标在于通过…</x:v>
      </x:c>
      <x:c r="L462" s="26" t="str">
        <x:v>1. 负责制定并执行公司所有室内设计项目的总体规划，确保设计成果符合公司品牌形象及客户要求。 2. 监督设计团队的工作流程，指导团队成员完成高质量的设计任务，解决设计过程中遇到的技术难题。 3. 与客户进行有效沟通，准确…</x:v>
      </x:c>
    </x:row>
    <x:row r="463" ht="72" customHeight="1">
      <x:c r="A463" s="25" t="n">
        <x:v>11355</x:v>
      </x:c>
      <x:c r="B463" s="25" t="str">
        <x:v>IC-L3-612</x:v>
      </x:c>
      <x:c r="C463" s="25" t="str">
        <x:v>室内设计经理/主管</x:v>
      </x:c>
      <x:c r="D463" s="25" t="str">
        <x:v>2-02-18-01</x:v>
      </x:c>
      <x:c r="E463" s="25" t="str">
        <x:v>建筑和市政设计工程技术人员</x:v>
      </x:c>
      <x:c r="F463" s="28" t="n">
        <x:f>COUNTIF('岗位-产业节点关系'!$C$4:$C$709,B463)</x:f>
        <x:v>1</x:v>
      </x:c>
      <x:c r="G463" s="26" t="str">
        <x:f>IF(F463=0,"未匹配（现有产业链范围未覆盖或证据不足）",IF(COUNTIFS('岗位-产业节点关系'!$C$4:$C$709,B463,'岗位-产业节点关系'!$M$4:$M$709,"低")&gt;0,"已匹配，建议复核","已匹配"))</x:f>
        <x:v>已匹配，建议复核</x:v>
      </x:c>
      <x:c r="H463" s="26" t="str">
        <x:v>低</x:v>
      </x:c>
      <x:c r="I463" s="26" t="str">
        <x:v>ICN007</x:v>
      </x:c>
      <x:c r="J463" s="26" t="str">
        <x:v>基础设施与城市建设产业链/上游/规划设计、建材与工程准备</x:v>
      </x:c>
      <x:c r="K463" s="26" t="str">
        <x:v>室内设计经理/主管是建筑规划与设计领域中的关键角色，负责领导团队完成从概念设计到最终施工的全过程，确保项目符合客户的需求及预算要求。该职位不仅需要具备出色的设计才能，还需要拥有良好的沟通能力和项目管理技巧，以协调各方资源…</x:v>
      </x:c>
      <x:c r="L463" s="26" t="str">
        <x:v>1. 负责组织并指导团队完成室内设计方案的制定，确保设计符合客户需求及行业标准。 2. 与客户保持良好沟通，了解其具体需求，及时调整设计方案以满足客户的期望。 3. 管理项目进度，合理分配团队成员的工作任务，确保按时高质…</x:v>
      </x:c>
    </x:row>
    <x:row r="464" ht="72" customHeight="1">
      <x:c r="A464" s="25" t="n">
        <x:v>11356</x:v>
      </x:c>
      <x:c r="B464" s="25" t="str">
        <x:v>IC-L3-613</x:v>
      </x:c>
      <x:c r="C464" s="25" t="str">
        <x:v>家装顾问</x:v>
      </x:c>
      <x:c r="D464" s="25" t="str">
        <x:v>2-02-18-01</x:v>
      </x:c>
      <x:c r="E464" s="25" t="str">
        <x:v>建筑和市政设计工程技术人员</x:v>
      </x:c>
      <x:c r="F464" s="28" t="n">
        <x:f>COUNTIF('岗位-产业节点关系'!$C$4:$C$709,B464)</x:f>
        <x:v>1</x:v>
      </x:c>
      <x:c r="G464" s="26" t="str">
        <x:f>IF(F464=0,"未匹配（现有产业链范围未覆盖或证据不足）",IF(COUNTIFS('岗位-产业节点关系'!$C$4:$C$709,B464,'岗位-产业节点关系'!$M$4:$M$709,"低")&gt;0,"已匹配，建议复核","已匹配"))</x:f>
        <x:v>已匹配，建议复核</x:v>
      </x:c>
      <x:c r="H464" s="26" t="str">
        <x:v>低</x:v>
      </x:c>
      <x:c r="I464" s="26" t="str">
        <x:v>ICN007</x:v>
      </x:c>
      <x:c r="J464" s="26" t="str">
        <x:v>基础设施与城市建设产业链/上游/规划设计、建材与工程准备</x:v>
      </x:c>
      <x:c r="K464" s="26" t="str">
        <x:v>家装顾问是建筑与房地产行业中不可或缺的角色，他们通过深入了解客户的需求，将美学与功能性完美结合，为客户提供个性化的家居设计方案，从而提升居住空间的舒适度与美观度。在家装顾问的专业指导下，无论是新建住宅还是旧房翻新，都能实…</x:v>
      </x:c>
      <x:c r="L464" s="26" t="str">
        <x:v>1. 与客户进行沟通，了解其装修需求和偏好，提供专业的家装咨询服务。 2. 根据客户需求制定详细的装修方案，包括但不限于风格选择、空间布局、材料选择等。 3. 负责监督整个装修过程，确保施工质量达到预期标准，及时解决现场…</x:v>
      </x:c>
    </x:row>
    <x:row r="465" ht="72" customHeight="1">
      <x:c r="A465" s="25" t="n">
        <x:v>11357</x:v>
      </x:c>
      <x:c r="B465" s="25" t="str">
        <x:v>IC-L3-614</x:v>
      </x:c>
      <x:c r="C465" s="25" t="str">
        <x:v>幕墙设计</x:v>
      </x:c>
      <x:c r="D465" s="25" t="str">
        <x:v>2-02-18-01</x:v>
      </x:c>
      <x:c r="E465" s="25" t="str">
        <x:v>建筑和市政设计工程技术人员</x:v>
      </x:c>
      <x:c r="F465" s="28" t="n">
        <x:f>COUNTIF('岗位-产业节点关系'!$C$4:$C$709,B465)</x:f>
        <x:v>1</x:v>
      </x:c>
      <x:c r="G465" s="26" t="str">
        <x:f>IF(F465=0,"未匹配（现有产业链范围未覆盖或证据不足）",IF(COUNTIFS('岗位-产业节点关系'!$C$4:$C$709,B465,'岗位-产业节点关系'!$M$4:$M$709,"低")&gt;0,"已匹配，建议复核","已匹配"))</x:f>
        <x:v>已匹配，建议复核</x:v>
      </x:c>
      <x:c r="H465" s="26" t="str">
        <x:v>低</x:v>
      </x:c>
      <x:c r="I465" s="26" t="str">
        <x:v>ICN007</x:v>
      </x:c>
      <x:c r="J465" s="26" t="str">
        <x:v>基础设施与城市建设产业链/上游/规划设计、建材与工程准备</x:v>
      </x:c>
      <x:c r="K465" s="26" t="str">
        <x:v>幕墙设计师是建筑规划与设计领域中不可或缺的专业人才，在整个建筑设计流程中扮演着至关重要的角色。他们不仅负责建筑外立面的设计工作，确保其美观性、实用性和安全性，而且还需要与建筑师、结构工程师等密切合作，确保设计方案的可行性…</x:v>
      </x:c>
      <x:c r="L465" s="26" t="str">
        <x:v>1. 负责幕墙系统的设计工作，包括但不限于初步方案设计、深化设计以及施工图绘制，确保设计符合相关规范和标准。 2. 与客户、建筑师及其他工程团队成员进行有效沟通，准确理解项目需求，提供专业的技术咨询和支持。 3. 参与幕…</x:v>
      </x:c>
    </x:row>
    <x:row r="466" ht="72" customHeight="1">
      <x:c r="A466" s="25" t="n">
        <x:v>11358</x:v>
      </x:c>
      <x:c r="B466" s="25" t="str">
        <x:v>IC-L3-615</x:v>
      </x:c>
      <x:c r="C466" s="25" t="str">
        <x:v>建筑制图/模型/渲染</x:v>
      </x:c>
      <x:c r="D466" s="25" t="str">
        <x:v>2-02-18-01</x:v>
      </x:c>
      <x:c r="E466" s="25" t="str">
        <x:v>建筑和市政设计工程技术人员</x:v>
      </x:c>
      <x:c r="F466" s="28" t="n">
        <x:f>COUNTIF('岗位-产业节点关系'!$C$4:$C$709,B466)</x:f>
        <x:v>1</x:v>
      </x:c>
      <x:c r="G466" s="26" t="str">
        <x:f>IF(F466=0,"未匹配（现有产业链范围未覆盖或证据不足）",IF(COUNTIFS('岗位-产业节点关系'!$C$4:$C$709,B466,'岗位-产业节点关系'!$M$4:$M$709,"低")&gt;0,"已匹配，建议复核","已匹配"))</x:f>
        <x:v>已匹配</x:v>
      </x:c>
      <x:c r="H466" s="26" t="str">
        <x:v>中</x:v>
      </x:c>
      <x:c r="I466" s="26" t="str">
        <x:v>ICN008</x:v>
      </x:c>
      <x:c r="J466" s="26" t="str">
        <x:v>基础设施与城市建设产业链/中游/基础设施建设与房地产开发</x:v>
      </x:c>
      <x:c r="K466" s="26" t="str">
        <x:v>在建筑与房地产行业中，建筑制图/模型/渲染师扮演着至关重要的角色。他们是将设计师的理念转化为实际视觉效果的关键人物，不仅能够精准地呈现建筑物的设计细节，还能够通过先进的技术手段模拟出建筑物建成后的实际效果，帮助客户更好地…</x:v>
      </x:c>
      <x:c r="L466" s="26" t="str">
        <x:v>1. 使用专业软件完成建筑设计图纸的绘制，包括但不限于平面布局图、立面图及剖面图等，确保所有图纸符合国家相关标准和技术规范。 2. 根据项目需求制作高质量的3D建筑模型，注重细节处理，保证模型的真实感与美观度。 3. 运…</x:v>
      </x:c>
    </x:row>
    <x:row r="467" ht="72" customHeight="1">
      <x:c r="A467" s="25" t="n">
        <x:v>11359</x:v>
      </x:c>
      <x:c r="B467" s="25" t="str">
        <x:v>IC-L3-616</x:v>
      </x:c>
      <x:c r="C467" s="25" t="str">
        <x:v>建筑机电设计</x:v>
      </x:c>
      <x:c r="D467" s="25" t="str">
        <x:v>2-02-18-01</x:v>
      </x:c>
      <x:c r="E467" s="25" t="str">
        <x:v>建筑和市政设计工程技术人员</x:v>
      </x:c>
      <x:c r="F467" s="28" t="n">
        <x:f>COUNTIF('岗位-产业节点关系'!$C$4:$C$709,B467)</x:f>
        <x:v>3</x:v>
      </x:c>
      <x:c r="G467" s="26" t="str">
        <x:f>IF(F467=0,"未匹配（现有产业链范围未覆盖或证据不足）",IF(COUNTIFS('岗位-产业节点关系'!$C$4:$C$709,B467,'岗位-产业节点关系'!$M$4:$M$709,"低")&gt;0,"已匹配，建议复核","已匹配"))</x:f>
        <x:v>已匹配，建议复核</x:v>
      </x:c>
      <x:c r="H467" s="26" t="str">
        <x:v>高</x:v>
      </x:c>
      <x:c r="I467" s="26" t="str">
        <x:v>ICN007、ICN008、ICN005</x:v>
      </x:c>
      <x:c r="J467" s="26" t="str">
        <x:v>基础设施与城市建设产业链/上游/规划设计、建材与工程准备；基础设施与城市建设产业链/中游/基础设施建设与房地产开发；高端装备与智能制造产业链/中游/高端装备制造与激光加工</x:v>
      </x:c>
      <x:c r="K467" s="26" t="str">
        <x:v>建筑机电设计是建筑/房地产行业中不可或缺的专业领域，其核心在于确保建筑物内部系统的高效运行与安全使用。作为建筑规划与设计的重要组成部分，建筑机电设计师负责将电气、暖通空调（HVAC）、给排水等系统融入建筑设计中，以满足功…</x:v>
      </x:c>
      <x:c r="L467" s="26" t="str">
        <x:v>1. 负责建筑项目的电气、给排水、暖通空调等机电系统的初步设计和深化设计工作，确保设计方案符合国家及行业标准。 2. 与项目经理、建筑师、结构工程师等团队成员密切配合，及时解决设计阶段出现的技术问题，确保项目顺利推进。 …</x:v>
      </x:c>
    </x:row>
    <x:row r="468" ht="72" customHeight="1">
      <x:c r="A468" s="25" t="n">
        <x:v>11360</x:v>
      </x:c>
      <x:c r="B468" s="25" t="str">
        <x:v>IC-L3-617</x:v>
      </x:c>
      <x:c r="C468" s="25" t="str">
        <x:v>建筑结构设计</x:v>
      </x:c>
      <x:c r="D468" s="25" t="str">
        <x:v>2-02-18-01</x:v>
      </x:c>
      <x:c r="E468" s="25" t="str">
        <x:v>建筑和市政设计工程技术人员</x:v>
      </x:c>
      <x:c r="F468" s="28" t="n">
        <x:f>COUNTIF('岗位-产业节点关系'!$C$4:$C$709,B468)</x:f>
        <x:v>1</x:v>
      </x:c>
      <x:c r="G468" s="26" t="str">
        <x:f>IF(F468=0,"未匹配（现有产业链范围未覆盖或证据不足）",IF(COUNTIFS('岗位-产业节点关系'!$C$4:$C$709,B468,'岗位-产业节点关系'!$M$4:$M$709,"低")&gt;0,"已匹配，建议复核","已匹配"))</x:f>
        <x:v>已匹配</x:v>
      </x:c>
      <x:c r="H468" s="26" t="str">
        <x:v>高</x:v>
      </x:c>
      <x:c r="I468" s="26" t="str">
        <x:v>ICN007</x:v>
      </x:c>
      <x:c r="J468" s="26" t="str">
        <x:v>基础设施与城市建设产业链/上游/规划设计、建材与工程准备</x:v>
      </x:c>
      <x:c r="K468" s="26" t="str">
        <x:v>建筑结构设计师是建筑/房地产行业中不可或缺的专业人才，他们负责确保建筑物的安全性、稳定性和功能性，是连接建筑设计创意与实际施工的重要桥梁。通过精确计算和科学分析，建筑结构设计师能够为公司提供符合法规标准、经济高效的设计方…</x:v>
      </x:c>
      <x:c r="L468" s="26" t="str">
        <x:v>1. 负责建筑项目的结构设计工作，包括但不限于初步设计、深化设计及施工图绘制，确保设计方案满足安全规范要求。 2. 进行结构计算分析，评估不同材料和构造方式对结构性能的影响，提出优化建议以降低建造成本并提高结构效率。 3…</x:v>
      </x:c>
    </x:row>
    <x:row r="469" ht="72" customHeight="1">
      <x:c r="A469" s="25" t="n">
        <x:v>11361</x:v>
      </x:c>
      <x:c r="B469" s="25" t="str">
        <x:v>IC-L3-618</x:v>
      </x:c>
      <x:c r="C469" s="25" t="str">
        <x:v>建筑设计师</x:v>
      </x:c>
      <x:c r="D469" s="25" t="str">
        <x:v>2-02-18-01</x:v>
      </x:c>
      <x:c r="E469" s="25" t="str">
        <x:v>建筑和市政设计工程技术人员</x:v>
      </x:c>
      <x:c r="F469" s="28" t="n">
        <x:f>COUNTIF('岗位-产业节点关系'!$C$4:$C$709,B469)</x:f>
        <x:v>1</x:v>
      </x:c>
      <x:c r="G469" s="26" t="str">
        <x:f>IF(F469=0,"未匹配（现有产业链范围未覆盖或证据不足）",IF(COUNTIFS('岗位-产业节点关系'!$C$4:$C$709,B469,'岗位-产业节点关系'!$M$4:$M$709,"低")&gt;0,"已匹配，建议复核","已匹配"))</x:f>
        <x:v>已匹配</x:v>
      </x:c>
      <x:c r="H469" s="26" t="str">
        <x:v>中</x:v>
      </x:c>
      <x:c r="I469" s="26" t="str">
        <x:v>ICN007</x:v>
      </x:c>
      <x:c r="J469" s="26" t="str">
        <x:v>基础设施与城市建设产业链/上游/规划设计、建材与工程准备</x:v>
      </x:c>
      <x:c r="K469" s="26" t="str">
        <x:v>建筑设计师是建筑/房地产行业中不可或缺的专业人才，他们负责将创意概念转化为实际可行的设计方案，确保建筑物既美观又实用。作为连接艺术与技术的桥梁，建筑设计师不仅塑造了我们生活的空间，还影响着城市的风貌和文化特色。 在公司内…</x:v>
      </x:c>
      <x:c r="L469" s="26" t="str">
        <x:v>1. 负责项目的整体设计工作，包括但不限于概念设计、方案深化、效果图制作及施工图绘制，确保设计方案符合客户需求并达到预期效果。 2. 与客户沟通交流，了解其需求和偏好，提供专业的设计建议和服务，协助客户做出最佳决策。 3…</x:v>
      </x:c>
    </x:row>
    <x:row r="470" ht="72" customHeight="1">
      <x:c r="A470" s="25" t="n">
        <x:v>11362</x:v>
      </x:c>
      <x:c r="B470" s="25" t="str">
        <x:v>IC-L3-619</x:v>
      </x:c>
      <x:c r="C470" s="25" t="str">
        <x:v>暖通设计</x:v>
      </x:c>
      <x:c r="D470" s="25" t="str">
        <x:v>2-02-18-01</x:v>
      </x:c>
      <x:c r="E470" s="25" t="str">
        <x:v>建筑和市政设计工程技术人员</x:v>
      </x:c>
      <x:c r="F470" s="28" t="n">
        <x:f>COUNTIF('岗位-产业节点关系'!$C$4:$C$709,B470)</x:f>
        <x:v>1</x:v>
      </x:c>
      <x:c r="G470" s="26" t="str">
        <x:f>IF(F470=0,"未匹配（现有产业链范围未覆盖或证据不足）",IF(COUNTIFS('岗位-产业节点关系'!$C$4:$C$709,B470,'岗位-产业节点关系'!$M$4:$M$709,"低")&gt;0,"已匹配，建议复核","已匹配"))</x:f>
        <x:v>已匹配</x:v>
      </x:c>
      <x:c r="H470" s="26" t="str">
        <x:v>中</x:v>
      </x:c>
      <x:c r="I470" s="26" t="str">
        <x:v>ICN007</x:v>
      </x:c>
      <x:c r="J470" s="26" t="str">
        <x:v>基础设施与城市建设产业链/上游/规划设计、建材与工程准备</x:v>
      </x:c>
      <x:c r="K470" s="26" t="str">
        <x:v>暖通设计是建筑规划与设计领域中不可或缺的一部分，它不仅确保了建筑物内部环境的舒适度，还对节能减排具有重要意义。作为暖通设计师，其工作涵盖了从初步概念设计到施工图设计的全过程，通过科学合理的设计方案，提高能源利用效率，降低…</x:v>
      </x:c>
      <x:c r="L470" s="26" t="str">
        <x:v>1. 负责项目中空调系统、通风系统以及供暖系统的方案设计与优化，确保设计方案符合国家相关标准及客户要求。 2. 根据项目进度安排，按时提交准确无误的施工图纸和技术文件，为现场施工提供技术支持。 3. 参与项目投标过程，编…</x:v>
      </x:c>
    </x:row>
    <x:row r="471" ht="72" customHeight="1">
      <x:c r="A471" s="25" t="n">
        <x:v>11363</x:v>
      </x:c>
      <x:c r="B471" s="25" t="str">
        <x:v>IC-L3-620</x:v>
      </x:c>
      <x:c r="C471" s="25" t="str">
        <x:v>给排水设计</x:v>
      </x:c>
      <x:c r="D471" s="25" t="str">
        <x:v>2-02-18-01</x:v>
      </x:c>
      <x:c r="E471" s="25" t="str">
        <x:v>建筑和市政设计工程技术人员</x:v>
      </x:c>
      <x:c r="F471" s="28" t="n">
        <x:f>COUNTIF('岗位-产业节点关系'!$C$4:$C$709,B471)</x:f>
        <x:v>1</x:v>
      </x:c>
      <x:c r="G471" s="26" t="str">
        <x:f>IF(F471=0,"未匹配（现有产业链范围未覆盖或证据不足）",IF(COUNTIFS('岗位-产业节点关系'!$C$4:$C$709,B471,'岗位-产业节点关系'!$M$4:$M$709,"低")&gt;0,"已匹配，建议复核","已匹配"))</x:f>
        <x:v>已匹配</x:v>
      </x:c>
      <x:c r="H471" s="26" t="str">
        <x:v>高</x:v>
      </x:c>
      <x:c r="I471" s="26" t="str">
        <x:v>ICN007</x:v>
      </x:c>
      <x:c r="J471" s="26" t="str">
        <x:v>基础设施与城市建设产业链/上游/规划设计、建材与工程准备</x:v>
      </x:c>
      <x:c r="K471" s="26" t="str">
        <x:v>给排水设计师是建筑规划与设计领域中不可或缺的专业人才，主要负责建筑物内部及周边环境的给水排水系统的设计工作，确保项目符合安全、环保及法律法规的要求。在建筑与房地产行业中，他们通过专业的知识和技术，为项目的顺利进行提供强有…</x:v>
      </x:c>
      <x:c r="L471" s="26" t="str">
        <x:v>1. 负责项目前期调研，收集相关资料，进行现场勘查，准确把握项目需求，制定合理的给排水设计方案。 2. 根据国家规范标准，完成给排水施工图绘制，确保图纸质量满足项目要求，并及时解决施工过程中出现的技术问题。 3. 与项目…</x:v>
      </x:c>
    </x:row>
    <x:row r="472" ht="72" customHeight="1">
      <x:c r="A472" s="25" t="n">
        <x:v>11364</x:v>
      </x:c>
      <x:c r="B472" s="25" t="str">
        <x:v>IC-L3-621</x:v>
      </x:c>
      <x:c r="C472" s="25" t="str">
        <x:v>规划与设计</x:v>
      </x:c>
      <x:c r="D472" s="25" t="str">
        <x:v>2-02-18-01</x:v>
      </x:c>
      <x:c r="E472" s="25" t="str">
        <x:v>建筑和市政设计工程技术人员</x:v>
      </x:c>
      <x:c r="F472" s="28" t="n">
        <x:f>COUNTIF('岗位-产业节点关系'!$C$4:$C$709,B472)</x:f>
        <x:v>1</x:v>
      </x:c>
      <x:c r="G472" s="26" t="str">
        <x:f>IF(F472=0,"未匹配（现有产业链范围未覆盖或证据不足）",IF(COUNTIFS('岗位-产业节点关系'!$C$4:$C$709,B472,'岗位-产业节点关系'!$M$4:$M$709,"低")&gt;0,"已匹配，建议复核","已匹配"))</x:f>
        <x:v>已匹配</x:v>
      </x:c>
      <x:c r="H472" s="26" t="str">
        <x:v>中</x:v>
      </x:c>
      <x:c r="I472" s="26" t="str">
        <x:v>ICN007</x:v>
      </x:c>
      <x:c r="J472" s="26" t="str">
        <x:v>基础设施与城市建设产业链/上游/规划设计、建材与工程准备</x:v>
      </x:c>
      <x:c r="K472" s="26" t="str">
        <x:v>规划与设计是建筑/房地产行业中不可或缺的重要组成部分，负责从宏观角度出发，确保项目从概念到实施的每一个环节都符合城市发展的整体规划要求，同时兼顾美观性、实用性和可持续发展性。作为规划与设计师，其核心目标在于通过创新的设计…</x:v>
      </x:c>
      <x:c r="L472" s="26" t="str">
        <x:v>1. 负责项目前期调研工作，收集并分析相关资料，制定合理可行的规划设计方案，确保满足客户需求及法律法规要求。 2. 与客户进行沟通交流，了解其需求和期望，结合实际情况提出建设性意见，协助解决项目推进过程中遇到的问题。 3…</x:v>
      </x:c>
    </x:row>
    <x:row r="473" ht="72" customHeight="1">
      <x:c r="A473" s="25" t="n">
        <x:v>11365</x:v>
      </x:c>
      <x:c r="B473" s="25" t="str">
        <x:v>IC-L3-622</x:v>
      </x:c>
      <x:c r="C473" s="25" t="str">
        <x:v>软装设计</x:v>
      </x:c>
      <x:c r="D473" s="25" t="str">
        <x:v>2-02-18-01</x:v>
      </x:c>
      <x:c r="E473" s="25" t="str">
        <x:v>建筑和市政设计工程技术人员</x:v>
      </x:c>
      <x:c r="F473" s="28" t="n">
        <x:f>COUNTIF('岗位-产业节点关系'!$C$4:$C$709,B473)</x:f>
        <x:v>1</x:v>
      </x:c>
      <x:c r="G473" s="26" t="str">
        <x:f>IF(F473=0,"未匹配（现有产业链范围未覆盖或证据不足）",IF(COUNTIFS('岗位-产业节点关系'!$C$4:$C$709,B473,'岗位-产业节点关系'!$M$4:$M$709,"低")&gt;0,"已匹配，建议复核","已匹配"))</x:f>
        <x:v>已匹配</x:v>
      </x:c>
      <x:c r="H473" s="26" t="str">
        <x:v>中</x:v>
      </x:c>
      <x:c r="I473" s="26" t="str">
        <x:v>ICN007</x:v>
      </x:c>
      <x:c r="J473" s="26" t="str">
        <x:v>基础设施与城市建设产业链/上游/规划设计、建材与工程准备</x:v>
      </x:c>
      <x:c r="K473" s="26" t="str">
        <x:v>软装设计师在建筑与房地产行业中扮演着至关重要的角色，他们是空间美学与功能性的完美结合者。通过精心挑选家具、布艺、装饰品等元素，软装设计师能够将一个空旷的空间转变为温馨舒适的居住或办公环境，极大地提升用户的体验感和满意度。…</x:v>
      </x:c>
      <x:c r="L473" s="26" t="str">
        <x:v>软装设计师的主要职责包括：根据项目需求进行空间分析与规划，制定软装配饰方案；负责软装材料的选择、采购及成本控制；与客户沟通，确保设计方案符合客户需求；参与项目现场的软装配饰实施，监督施工质量；协调与其他设计团队的合作，确…</x:v>
      </x:c>
    </x:row>
    <x:row r="474" ht="72" customHeight="1">
      <x:c r="A474" s="25" t="n">
        <x:v>11366</x:v>
      </x:c>
      <x:c r="B474" s="25" t="str">
        <x:v>IC-L3-623</x:v>
      </x:c>
      <x:c r="C474" s="25" t="str">
        <x:v>钢结构设计</x:v>
      </x:c>
      <x:c r="D474" s="25" t="str">
        <x:v>2-02-18-01</x:v>
      </x:c>
      <x:c r="E474" s="25" t="str">
        <x:v>建筑和市政设计工程技术人员</x:v>
      </x:c>
      <x:c r="F474" s="28" t="n">
        <x:f>COUNTIF('岗位-产业节点关系'!$C$4:$C$709,B474)</x:f>
        <x:v>1</x:v>
      </x:c>
      <x:c r="G474" s="26" t="str">
        <x:f>IF(F474=0,"未匹配（现有产业链范围未覆盖或证据不足）",IF(COUNTIFS('岗位-产业节点关系'!$C$4:$C$709,B474,'岗位-产业节点关系'!$M$4:$M$709,"低")&gt;0,"已匹配，建议复核","已匹配"))</x:f>
        <x:v>已匹配</x:v>
      </x:c>
      <x:c r="H474" s="26" t="str">
        <x:v>中</x:v>
      </x:c>
      <x:c r="I474" s="26" t="str">
        <x:v>ICN007</x:v>
      </x:c>
      <x:c r="J474" s="26" t="str">
        <x:v>基础设施与城市建设产业链/上游/规划设计、建材与工程准备</x:v>
      </x:c>
      <x:c r="K474" s="26" t="str">
        <x:v>钢结构设计师在建筑/房地产行业中扮演着至关重要的角色，他们负责确保建筑物的安全性、稳定性和美观度。作为连接结构工程与建筑设计的桥梁，钢结构设计师不仅需要具备扎实的专业技术知识，还需要拥有良好的创新意识和审美能力。通过精准…</x:v>
      </x:c>
      <x:c r="L474" s="26" t="str">
        <x:v>1. 负责钢结构建筑的初步设计和深化设计工作，确保设计方案符合国家相关标准和技术规范。 2. 对现有钢结构体系进行优化，提高材料利用率，减少浪费，降低成本。 3. 与客户沟通交流，了解其需求并据此调整设计方案，直至客户满…</x:v>
      </x:c>
    </x:row>
    <x:row r="475" ht="72" customHeight="1">
      <x:c r="A475" s="25" t="n">
        <x:v>11367</x:v>
      </x:c>
      <x:c r="B475" s="25" t="str">
        <x:v>IC-L3-624</x:v>
      </x:c>
      <x:c r="C475" s="25" t="str">
        <x:v>房产项目配套工程师</x:v>
      </x:c>
      <x:c r="D475" s="25" t="str">
        <x:v>2-02-18-06</x:v>
      </x:c>
      <x:c r="E475" s="25" t="str">
        <x:v>城镇燃气与供热工程技术人员</x:v>
      </x:c>
      <x:c r="F475" s="28" t="n">
        <x:f>COUNTIF('岗位-产业节点关系'!$C$4:$C$709,B475)</x:f>
        <x:v>1</x:v>
      </x:c>
      <x:c r="G475" s="26" t="str">
        <x:f>IF(F475=0,"未匹配（现有产业链范围未覆盖或证据不足）",IF(COUNTIFS('岗位-产业节点关系'!$C$4:$C$709,B475,'岗位-产业节点关系'!$M$4:$M$709,"低")&gt;0,"已匹配，建议复核","已匹配"))</x:f>
        <x:v>已匹配，建议复核</x:v>
      </x:c>
      <x:c r="H475" s="26" t="str">
        <x:v>低</x:v>
      </x:c>
      <x:c r="I475" s="26" t="str">
        <x:v>ICN008</x:v>
      </x:c>
      <x:c r="J475" s="26" t="str">
        <x:v>基础设施与城市建设产业链/中游/基础设施建设与房地产开发</x:v>
      </x:c>
      <x:c r="K475" s="26" t="str">
        <x:v>房产项目配套工程师是房地产开发中不可或缺的专业技术人才，主要负责确保项目配套设施的合理规划与高效实施，对于提升项目的整体品质和市场竞争力有着至关重要的作用。该职位以实现项目配套系统的优化配置为核心目标，通过科学合理的规划…</x:v>
      </x:c>
      <x:c r="L475" s="26" t="str">
        <x:v>1. 负责项目配套方案的设计工作，包括但不限于交通、绿化、水电暖通等基础设施的布局与选型，确保方案符合国家相关法规标准并满足实际使用需求。 2. 协调内外部资源，组织召开技术交流会，及时解决项目实施过程中出现的技术问题，…</x:v>
      </x:c>
    </x:row>
    <x:row r="476" ht="72" customHeight="1">
      <x:c r="A476" s="25" t="n">
        <x:v>11368</x:v>
      </x:c>
      <x:c r="B476" s="25" t="str">
        <x:v>IC-L3-625</x:v>
      </x:c>
      <x:c r="C476" s="25" t="str">
        <x:v>房地产投资分析</x:v>
      </x:c>
      <x:c r="D476" s="25" t="str">
        <x:v>2-06-07-06</x:v>
      </x:c>
      <x:c r="E476" s="25" t="str">
        <x:v>房地产开发专业人员</x:v>
      </x:c>
      <x:c r="F476" s="28" t="n">
        <x:f>COUNTIF('岗位-产业节点关系'!$C$4:$C$709,B476)</x:f>
        <x:v>1</x:v>
      </x:c>
      <x:c r="G476" s="26" t="str">
        <x:f>IF(F476=0,"未匹配（现有产业链范围未覆盖或证据不足）",IF(COUNTIFS('岗位-产业节点关系'!$C$4:$C$709,B476,'岗位-产业节点关系'!$M$4:$M$709,"低")&gt;0,"已匹配，建议复核","已匹配"))</x:f>
        <x:v>已匹配</x:v>
      </x:c>
      <x:c r="H476" s="26" t="str">
        <x:v>中</x:v>
      </x:c>
      <x:c r="I476" s="26" t="str">
        <x:v>ICN008</x:v>
      </x:c>
      <x:c r="J476" s="26" t="str">
        <x:v>基础设施与城市建设产业链/中游/基础设施建设与房地产开发</x:v>
      </x:c>
      <x:c r="K476" s="26" t="str">
        <x:v>房地产投资分析师在建筑与房地产业中扮演着至关重要的角色。他们负责评估潜在的投资机会，通过深入的数据分析来支持公司的战略决策过程，确保资源的有效配置和最大化的投资回报。作为连接市场研究与项目开发之间的桥梁，投资分析师不仅需…</x:v>
      </x:c>
      <x:c r="L476" s="26" t="str">
        <x:v>1. 收集并分析房地产市场的历史数据及趋势预测，为新项目选址提供科学依据，旨在降低投资风险。 2. 对拟投资项目进行全面的财务评估，包括但不限于成本估算、收益预测以及现金流分析，确保投资方案的经济可行性和盈利能力。 3.…</x:v>
      </x:c>
    </x:row>
    <x:row r="477" ht="72" customHeight="1">
      <x:c r="A477" s="25" t="n">
        <x:v>11369</x:v>
      </x:c>
      <x:c r="B477" s="25" t="str">
        <x:v>IC-L3-626</x:v>
      </x:c>
      <x:c r="C477" s="25" t="str">
        <x:v>房地产投资管理</x:v>
      </x:c>
      <x:c r="D477" s="25" t="str">
        <x:v>2-06-07-06</x:v>
      </x:c>
      <x:c r="E477" s="25" t="str">
        <x:v>房地产开发专业人员</x:v>
      </x:c>
      <x:c r="F477" s="28" t="n">
        <x:f>COUNTIF('岗位-产业节点关系'!$C$4:$C$709,B477)</x:f>
        <x:v>1</x:v>
      </x:c>
      <x:c r="G477" s="26" t="str">
        <x:f>IF(F477=0,"未匹配（现有产业链范围未覆盖或证据不足）",IF(COUNTIFS('岗位-产业节点关系'!$C$4:$C$709,B477,'岗位-产业节点关系'!$M$4:$M$709,"低")&gt;0,"已匹配，建议复核","已匹配"))</x:f>
        <x:v>已匹配</x:v>
      </x:c>
      <x:c r="H477" s="26" t="str">
        <x:v>中</x:v>
      </x:c>
      <x:c r="I477" s="26" t="str">
        <x:v>ICN008</x:v>
      </x:c>
      <x:c r="J477" s="26" t="str">
        <x:v>基础设施与城市建设产业链/中游/基础设施建设与房地产开发</x:v>
      </x:c>
      <x:c r="K477" s="26" t="str">
        <x:v>房地产投资管理是房地产开发领域中的关键角色，负责评估和实施投资项目，确保资本的有效利用和增值。这一职位不仅影响着项目的成败，还直接关系到公司的发展战略和市场竞争力。通过精准的投资决策和风险管理，房地产投资管理者能够为公司…</x:v>
      </x:c>
      <x:c r="L477" s="26" t="str">
        <x:v>1. 负责房地产市场的调研工作，收集整理相关信息，定期编制市场分析报告，为公司决策提供数据支持。 2. 对潜在投资项目进行全面评估，包括但不限于项目可行性研究、成本效益分析等，确保投资决策科学合理。 3. 与内外部合作伙…</x:v>
      </x:c>
    </x:row>
    <x:row r="478" ht="72" customHeight="1">
      <x:c r="A478" s="25" t="n">
        <x:v>11370</x:v>
      </x:c>
      <x:c r="B478" s="25" t="str">
        <x:v>IC-L3-627</x:v>
      </x:c>
      <x:c r="C478" s="25" t="str">
        <x:v>房地产资产管理</x:v>
      </x:c>
      <x:c r="D478" s="25" t="str">
        <x:v>2-06-07-06</x:v>
      </x:c>
      <x:c r="E478" s="25" t="str">
        <x:v>房地产开发专业人员</x:v>
      </x:c>
      <x:c r="F478" s="28" t="n">
        <x:f>COUNTIF('岗位-产业节点关系'!$C$4:$C$709,B478)</x:f>
        <x:v>1</x:v>
      </x:c>
      <x:c r="G478" s="26" t="str">
        <x:f>IF(F478=0,"未匹配（现有产业链范围未覆盖或证据不足）",IF(COUNTIFS('岗位-产业节点关系'!$C$4:$C$709,B478,'岗位-产业节点关系'!$M$4:$M$709,"低")&gt;0,"已匹配，建议复核","已匹配"))</x:f>
        <x:v>已匹配</x:v>
      </x:c>
      <x:c r="H478" s="26" t="str">
        <x:v>中</x:v>
      </x:c>
      <x:c r="I478" s="26" t="str">
        <x:v>ICN008</x:v>
      </x:c>
      <x:c r="J478" s="26" t="str">
        <x:v>基础设施与城市建设产业链/中游/基础设施建设与房地产开发</x:v>
      </x:c>
      <x:c r="K478" s="26" t="str">
        <x:v>房地产资产管理是房地产开发领域中一个至关重要的角色，它负责确保公司投资的物业资产能够实现最大化的经济效益和社会效益。该职位不仅涉及到资产的日常管理和维护，还涉及到资产的优化配置和价值提升策略的制定，对于提高公司竞争力具有…</x:v>
      </x:c>
      <x:c r="L478" s="26" t="str">
        <x:v>1. 负责对现有房地产项目进行全面的市场调研和财务分析，为公司提供准确的投资建议。 2. 制定并执行房地产资产的优化配置方案，确保资产组合符合公司战略目标。 3. 监控房地产市场的动态变化，及时调整资产管理和处置策略，以…</x:v>
      </x:c>
    </x:row>
    <x:row r="479" ht="72" customHeight="1">
      <x:c r="A479" s="25" t="n">
        <x:v>11371</x:v>
      </x:c>
      <x:c r="B479" s="25" t="str">
        <x:v>IC-L3-628</x:v>
      </x:c>
      <x:c r="C479" s="25" t="str">
        <x:v>房地产项目/策划专员</x:v>
      </x:c>
      <x:c r="D479" s="25" t="str">
        <x:v>2-06-07-03</x:v>
      </x:c>
      <x:c r="E479" s="25" t="str">
        <x:v>商务策划专业人员</x:v>
      </x:c>
      <x:c r="F479" s="28" t="n">
        <x:f>COUNTIF('岗位-产业节点关系'!$C$4:$C$709,B479)</x:f>
        <x:v>1</x:v>
      </x:c>
      <x:c r="G479" s="26" t="str">
        <x:f>IF(F479=0,"未匹配（现有产业链范围未覆盖或证据不足）",IF(COUNTIFS('岗位-产业节点关系'!$C$4:$C$709,B479,'岗位-产业节点关系'!$M$4:$M$709,"低")&gt;0,"已匹配，建议复核","已匹配"))</x:f>
        <x:v>已匹配，建议复核</x:v>
      </x:c>
      <x:c r="H479" s="26" t="str">
        <x:v>低</x:v>
      </x:c>
      <x:c r="I479" s="26" t="str">
        <x:v>ICN008</x:v>
      </x:c>
      <x:c r="J479" s="26" t="str">
        <x:v>基础设施与城市建设产业链/中游/基础设施建设与房地产开发</x:v>
      </x:c>
      <x:c r="K479" s="26" t="str">
        <x:v>房地产项目/策划专员是房地产开发领域中不可或缺的角色，负责从市场调研到项目策划的全过程，确保项目的成功实施。通过精准的市场分析和创新的项目策划，该职位能够为公司发现新的商业机会，优化资源配置，提升项目竞争力，实现经济效益…</x:v>
      </x:c>
      <x:c r="L479" s="26" t="str">
        <x:v>1. 负责进行市场调研，收集并分析行业动态及竞争对手信息，为项目策划提供数据支持，确保项目符合市场需求。 2. 制定详细的项目策划方案，包括但不限于产品定位、营销策略、成本预算等，以指导项目顺利推进。 3. 协调内外部资…</x:v>
      </x:c>
    </x:row>
    <x:row r="480" ht="72" customHeight="1">
      <x:c r="A480" s="25" t="n">
        <x:v>11372</x:v>
      </x:c>
      <x:c r="B480" s="25" t="str">
        <x:v>IC-L3-629</x:v>
      </x:c>
      <x:c r="C480" s="25" t="str">
        <x:v>房地产项目/策划主管</x:v>
      </x:c>
      <x:c r="D480" s="25" t="str">
        <x:v>2-06-07-03</x:v>
      </x:c>
      <x:c r="E480" s="25" t="str">
        <x:v>商务策划专业人员</x:v>
      </x:c>
      <x:c r="F480" s="28" t="n">
        <x:f>COUNTIF('岗位-产业节点关系'!$C$4:$C$709,B480)</x:f>
        <x:v>1</x:v>
      </x:c>
      <x:c r="G480" s="26" t="str">
        <x:f>IF(F480=0,"未匹配（现有产业链范围未覆盖或证据不足）",IF(COUNTIFS('岗位-产业节点关系'!$C$4:$C$709,B480,'岗位-产业节点关系'!$M$4:$M$709,"低")&gt;0,"已匹配，建议复核","已匹配"))</x:f>
        <x:v>已匹配，建议复核</x:v>
      </x:c>
      <x:c r="H480" s="26" t="str">
        <x:v>低</x:v>
      </x:c>
      <x:c r="I480" s="26" t="str">
        <x:v>ICN008</x:v>
      </x:c>
      <x:c r="J480" s="26" t="str">
        <x:v>基础设施与城市建设产业链/中游/基础设施建设与房地产开发</x:v>
      </x:c>
      <x:c r="K480" s="26" t="str">
        <x:v>房地产项目/策划主管是房地产开发领域中不可或缺的关键角色，负责从项目的初步构思到最终实施的全过程管理，确保项目符合市场需求并实现预期的经济效益。该职位的核心目标在于通过精准的市场分析与有效的资源调配，为公司创造具有竞争力…</x:v>
      </x:c>
      <x:c r="L480" s="26" t="str">
        <x:v>1. 负责房地产项目的前期调研工作，包括市场趋势分析、竞争对手评估以及潜在客户群体研究，以制定符合公司战略目标的项目策划方案。 2. 组织并参与项目启动会议，明确项目目标、时间表及预算安排，协调各方资源，确保项目按计划顺…</x:v>
      </x:c>
    </x:row>
    <x:row r="481" ht="72" customHeight="1">
      <x:c r="A481" s="25" t="n">
        <x:v>11373</x:v>
      </x:c>
      <x:c r="B481" s="25" t="str">
        <x:v>IC-L3-630</x:v>
      </x:c>
      <x:c r="C481" s="25" t="str">
        <x:v>房地产项目/策划经理</x:v>
      </x:c>
      <x:c r="D481" s="25" t="str">
        <x:v>2-06-07-03</x:v>
      </x:c>
      <x:c r="E481" s="25" t="str">
        <x:v>商务策划专业人员</x:v>
      </x:c>
      <x:c r="F481" s="28" t="n">
        <x:f>COUNTIF('岗位-产业节点关系'!$C$4:$C$709,B481)</x:f>
        <x:v>1</x:v>
      </x:c>
      <x:c r="G481" s="26" t="str">
        <x:f>IF(F481=0,"未匹配（现有产业链范围未覆盖或证据不足）",IF(COUNTIFS('岗位-产业节点关系'!$C$4:$C$709,B481,'岗位-产业节点关系'!$M$4:$M$709,"低")&gt;0,"已匹配，建议复核","已匹配"))</x:f>
        <x:v>已匹配</x:v>
      </x:c>
      <x:c r="H481" s="26" t="str">
        <x:v>中</x:v>
      </x:c>
      <x:c r="I481" s="26" t="str">
        <x:v>ICN008</x:v>
      </x:c>
      <x:c r="J481" s="26" t="str">
        <x:v>基础设施与城市建设产业链/中游/基础设施建设与房地产开发</x:v>
      </x:c>
      <x:c r="K481" s="26" t="str">
        <x:v>房地产项目/策划经理是房地产开发领域中至关重要的角色，负责从项目启动到竣工交付的全过程管理与策划工作，确保项目的顺利推进和成功实施。该职位的核心目标在于通过精准的市场调研、周密的项目规划以及高效的资源调配，为公司创造最大…</x:v>
      </x:c>
      <x:c r="L481" s="26" t="str">
        <x:v>1. 负责房地产项目的前期调研与分析，制定详细的项目开发计划及预算方案，确保项目按时按质完成。 2. 组织并指导项目团队开展各项开发活动，包括土地获取、规划设计、工程建造等环节，监督项目进度，解决过程中出现的问题。 3.…</x:v>
      </x:c>
    </x:row>
    <x:row r="482" ht="72" customHeight="1">
      <x:c r="A482" s="25" t="n">
        <x:v>11374</x:v>
      </x:c>
      <x:c r="B482" s="25" t="str">
        <x:v>IC-L3-631</x:v>
      </x:c>
      <x:c r="C482" s="25" t="str">
        <x:v>房地产项目招投标</x:v>
      </x:c>
      <x:c r="D482" s="25" t="str">
        <x:v>2-06-07-06</x:v>
      </x:c>
      <x:c r="E482" s="25" t="str">
        <x:v>房地产开发专业人员</x:v>
      </x:c>
      <x:c r="F482" s="28" t="n">
        <x:f>COUNTIF('岗位-产业节点关系'!$C$4:$C$709,B482)</x:f>
        <x:v>1</x:v>
      </x:c>
      <x:c r="G482" s="26" t="str">
        <x:f>IF(F482=0,"未匹配（现有产业链范围未覆盖或证据不足）",IF(COUNTIFS('岗位-产业节点关系'!$C$4:$C$709,B482,'岗位-产业节点关系'!$M$4:$M$709,"低")&gt;0,"已匹配，建议复核","已匹配"))</x:f>
        <x:v>已匹配</x:v>
      </x:c>
      <x:c r="H482" s="26" t="str">
        <x:v>中</x:v>
      </x:c>
      <x:c r="I482" s="26" t="str">
        <x:v>ICN008</x:v>
      </x:c>
      <x:c r="J482" s="26" t="str">
        <x:v>基础设施与城市建设产业链/中游/基础设施建设与房地产开发</x:v>
      </x:c>
      <x:c r="K482" s="26" t="str">
        <x:v>房地产项目招投标专员是房地产开发领域中不可或缺的专业人才。他们负责从多个供应商或承包商处获取报价，并通过综合评估选择最优方案，以确保项目的顺利进行和成本控制。该职位不仅需要具备出色的沟通协调能力，还要求有扎实的法律知识基…</x:v>
      </x:c>
      <x:c r="L482" s="26" t="str">
        <x:v>1. 负责编制招标文件，包括但不限于技术规格书、商务条款、评标办法等内容，确保文件的完整性和规范性。 2. 组织实施招标活动，包括发布招标公告、接受投标申请、安排现场踏勘、召开答疑会等环节，保障流程透明公正。 3. 对收…</x:v>
      </x:c>
    </x:row>
    <x:row r="483" ht="72" customHeight="1">
      <x:c r="A483" s="25" t="n">
        <x:v>11375</x:v>
      </x:c>
      <x:c r="B483" s="25" t="str">
        <x:v>IC-L3-632</x:v>
      </x:c>
      <x:c r="C483" s="25" t="str">
        <x:v>房地产中介/置业顾问</x:v>
      </x:c>
      <x:c r="D483" s="25" t="str">
        <x:v>4-01-02-01</x:v>
      </x:c>
      <x:c r="E483" s="25" t="str">
        <x:v>营销员</x:v>
      </x:c>
      <x:c r="F483" s="28" t="n">
        <x:f>COUNTIF('岗位-产业节点关系'!$C$4:$C$709,B483)</x:f>
        <x:v>1</x:v>
      </x:c>
      <x:c r="G483" s="26" t="str">
        <x:f>IF(F483=0,"未匹配（现有产业链范围未覆盖或证据不足）",IF(COUNTIFS('岗位-产业节点关系'!$C$4:$C$709,B483,'岗位-产业节点关系'!$M$4:$M$709,"低")&gt;0,"已匹配，建议复核","已匹配"))</x:f>
        <x:v>已匹配</x:v>
      </x:c>
      <x:c r="H483" s="26" t="str">
        <x:v>中</x:v>
      </x:c>
      <x:c r="I483" s="26" t="str">
        <x:v>ICN009</x:v>
      </x:c>
      <x:c r="J483" s="26" t="str">
        <x:v>基础设施与城市建设产业链/下游/城市运营、公用事业与物业服务</x:v>
      </x:c>
      <x:c r="K483" s="26" t="str">
        <x:v>房地产中介/置业顾问是建筑与房地产行业中不可或缺的专业人才，他们不仅是连接买家与卖家之间的桥梁，还承担着提供专业市场分析、投资建议以及促成交易的重要任务。作为房地产市场的前线人员，他们对于推动项目销售、维护公司品牌形象及…</x:v>
      </x:c>
      <x:c r="L483" s="26" t="str">
        <x:v>1. 负责收集并分析房地产市场信息，为客户提供最新最全的房产资讯，引导其做出明智的投资决策。 2. 主动寻找潜在客户，通过电话沟通、网络推广等多种渠道进行客户拓展，不断扩大客户基础。 3. 根据客户需求推荐合适的房源，陪…</x:v>
      </x:c>
    </x:row>
    <x:row r="484" ht="72" customHeight="1">
      <x:c r="A484" s="25" t="n">
        <x:v>11376</x:v>
      </x:c>
      <x:c r="B484" s="25" t="str">
        <x:v>IC-L3-633</x:v>
      </x:c>
      <x:c r="C484" s="25" t="str">
        <x:v>房地产客服</x:v>
      </x:c>
      <x:c r="D484" s="25" t="str">
        <x:v>4-04-05-01</x:v>
      </x:c>
      <x:c r="E484" s="25" t="str">
        <x:v>计算机程序设计员</x:v>
      </x:c>
      <x:c r="F484" s="28" t="n">
        <x:f>COUNTIF('岗位-产业节点关系'!$C$4:$C$709,B484)</x:f>
        <x:v>1</x:v>
      </x:c>
      <x:c r="G484" s="26" t="str">
        <x:f>IF(F484=0,"未匹配（现有产业链范围未覆盖或证据不足）",IF(COUNTIFS('岗位-产业节点关系'!$C$4:$C$709,B484,'岗位-产业节点关系'!$M$4:$M$709,"低")&gt;0,"已匹配，建议复核","已匹配"))</x:f>
        <x:v>已匹配</x:v>
      </x:c>
      <x:c r="H484" s="26" t="str">
        <x:v>中</x:v>
      </x:c>
      <x:c r="I484" s="26" t="str">
        <x:v>ICN009</x:v>
      </x:c>
      <x:c r="J484" s="26" t="str">
        <x:v>基础设施与城市建设产业链/下游/城市运营、公用事业与物业服务</x:v>
      </x:c>
      <x:c r="K484" s="26" t="str">
        <x:v>房地产客服是建筑与房地产业中不可或缺的一环，主要负责处理客户咨询、提供购房建议以及维护良好的客户关系。作为公司与客户之间的桥梁，房地产客服对于塑造企业形象、提升客户满意度具有举足轻重的作用。通过高效沟通和专业服务，能够有…</x:v>
      </x:c>
      <x:c r="L484" s="26" t="str">
        <x:v>1. 负责接听客户电话，解答关于楼盘信息、价格政策等方面的疑问，确保信息准确无误。 2. 通过线上平台（如微信、QQ）及线下活动主动联系潜在客户，推广公司项目并激发其购买兴趣。 3. 记录客户需求与偏好，定期跟进客户状态…</x:v>
      </x:c>
    </x:row>
    <x:row r="485" ht="72" customHeight="1">
      <x:c r="A485" s="25" t="n">
        <x:v>11377</x:v>
      </x:c>
      <x:c r="B485" s="25" t="str">
        <x:v>IC-L3-634</x:v>
      </x:c>
      <x:c r="C485" s="25" t="str">
        <x:v>房地产店长/经理</x:v>
      </x:c>
      <x:c r="D485" s="25" t="str">
        <x:v>4-01-02-03</x:v>
      </x:c>
      <x:c r="E485" s="25" t="str">
        <x:v>商品营业员</x:v>
      </x:c>
      <x:c r="F485" s="28" t="n">
        <x:f>COUNTIF('岗位-产业节点关系'!$C$4:$C$709,B485)</x:f>
        <x:v>1</x:v>
      </x:c>
      <x:c r="G485" s="26" t="str">
        <x:f>IF(F485=0,"未匹配（现有产业链范围未覆盖或证据不足）",IF(COUNTIFS('岗位-产业节点关系'!$C$4:$C$709,B485,'岗位-产业节点关系'!$M$4:$M$709,"低")&gt;0,"已匹配，建议复核","已匹配"))</x:f>
        <x:v>已匹配，建议复核</x:v>
      </x:c>
      <x:c r="H485" s="26" t="str">
        <x:v>低</x:v>
      </x:c>
      <x:c r="I485" s="26" t="str">
        <x:v>ICN008</x:v>
      </x:c>
      <x:c r="J485" s="26" t="str">
        <x:v>基础设施与城市建设产业链/中游/基础设施建设与房地产开发</x:v>
      </x:c>
      <x:c r="K485" s="26" t="str">
        <x:v>作为房地产行业的关键人物，房地产店长/经理不仅负责店面的整体运营，还承担着领导销售团队、推动业绩增长的重要职责。他们不仅是业务发展的核心驱动力，也是公司品牌形象的直接代表，在市场中扮演着至关重要的角色。 房地产店长/经理…</x:v>
      </x:c>
      <x:c r="L485" s="26" t="str">
        <x:v>1. 负责店面日常运营管理，包括人员调度、库存控制、环境维护等，确保为客户提供优质的服务体验。 2. 制定并实施销售计划，定期跟踪销售进度，分析销售数据，及时调整策略以达成既定的销售目标。 3. 组织培训活动，提高销售人…</x:v>
      </x:c>
    </x:row>
    <x:row r="486" ht="72" customHeight="1">
      <x:c r="A486" s="25" t="n">
        <x:v>11378</x:v>
      </x:c>
      <x:c r="B486" s="25" t="str">
        <x:v>IC-L3-635</x:v>
      </x:c>
      <x:c r="C486" s="25" t="str">
        <x:v>房地产评估</x:v>
      </x:c>
      <x:c r="D486" s="25" t="str">
        <x:v>4-01-02-01</x:v>
      </x:c>
      <x:c r="E486" s="25" t="str">
        <x:v>营销员</x:v>
      </x:c>
      <x:c r="F486" s="28" t="n">
        <x:f>COUNTIF('岗位-产业节点关系'!$C$4:$C$709,B486)</x:f>
        <x:v>1</x:v>
      </x:c>
      <x:c r="G486" s="26" t="str">
        <x:f>IF(F486=0,"未匹配（现有产业链范围未覆盖或证据不足）",IF(COUNTIFS('岗位-产业节点关系'!$C$4:$C$709,B486,'岗位-产业节点关系'!$M$4:$M$709,"低")&gt;0,"已匹配，建议复核","已匹配"))</x:f>
        <x:v>已匹配</x:v>
      </x:c>
      <x:c r="H486" s="26" t="str">
        <x:v>中</x:v>
      </x:c>
      <x:c r="I486" s="26" t="str">
        <x:v>ICN008</x:v>
      </x:c>
      <x:c r="J486" s="26" t="str">
        <x:v>基础设施与城市建设产业链/中游/基础设施建设与房地产开发</x:v>
      </x:c>
      <x:c r="K486" s="26" t="str">
        <x:v>房地产评估师是建筑与房地产行业中不可或缺的专业人才，他们通过科学的方法和技术手段，对房地产的价值进行客观公正的评估，为市场交易提供重要的参考依据。作为公司的重要组成部分，房地产评估师不仅需要确保所有评估报告的准确性和可靠…</x:v>
      </x:c>
      <x:c r="L486" s="26" t="str">
        <x:v>1. 负责对各类房产项目进行全面细致的实地考察与调研，收集并分析相关资料，以确定其真实价值。 2. 运用专业知识和技术工具编制详细的房地产评估报告，确保报告内容准确无误，满足客户及法律法规的要求。 3. 与客户沟通交流，…</x:v>
      </x:c>
    </x:row>
    <x:row r="487" ht="72" customHeight="1">
      <x:c r="A487" s="25" t="n">
        <x:v>11379</x:v>
      </x:c>
      <x:c r="B487" s="25" t="str">
        <x:v>IC-L3-636</x:v>
      </x:c>
      <x:c r="C487" s="25" t="str">
        <x:v>房地产销售专员</x:v>
      </x:c>
      <x:c r="D487" s="25" t="str">
        <x:v>4-01-02-01</x:v>
      </x:c>
      <x:c r="E487" s="25" t="str">
        <x:v>营销员</x:v>
      </x:c>
      <x:c r="F487" s="28" t="n">
        <x:f>COUNTIF('岗位-产业节点关系'!$C$4:$C$709,B487)</x:f>
        <x:v>1</x:v>
      </x:c>
      <x:c r="G487" s="26" t="str">
        <x:f>IF(F487=0,"未匹配（现有产业链范围未覆盖或证据不足）",IF(COUNTIFS('岗位-产业节点关系'!$C$4:$C$709,B487,'岗位-产业节点关系'!$M$4:$M$709,"低")&gt;0,"已匹配，建议复核","已匹配"))</x:f>
        <x:v>已匹配</x:v>
      </x:c>
      <x:c r="H487" s="26" t="str">
        <x:v>中</x:v>
      </x:c>
      <x:c r="I487" s="26" t="str">
        <x:v>ICN009</x:v>
      </x:c>
      <x:c r="J487" s="26" t="str">
        <x:v>基础设施与城市建设产业链/下游/城市运营、公用事业与物业服务</x:v>
      </x:c>
      <x:c r="K487" s="26" t="str">
        <x:v>房地产销售专员是建筑与房地产行业中不可或缺的角色之一，他们不仅作为公司与客户之间的桥梁，还负责将优质的房产项目推向市场，促进房产交易的顺利进行。该职位的核心目标在于通过专业的销售技巧和市场洞察力，实现公司房源的有效推广和…</x:v>
      </x:c>
      <x:c r="L487" s="26" t="str">
        <x:v>1. 负责收集并分析市场信息，了解客户需求，制定个性化的销售策略，确保每月销售任务的完成。 2. 主动开拓新客户资源，维护现有客户关系，提供专业咨询和服务，以促成更多交易。 3. 参与公司组织的各种营销活动，配合团队完成…</x:v>
      </x:c>
    </x:row>
    <x:row r="488" ht="72" customHeight="1">
      <x:c r="A488" s="25" t="n">
        <x:v>11380</x:v>
      </x:c>
      <x:c r="B488" s="25" t="str">
        <x:v>IC-L3-637</x:v>
      </x:c>
      <x:c r="C488" s="25" t="str">
        <x:v>房地产销售经理/主管</x:v>
      </x:c>
      <x:c r="D488" s="25" t="str">
        <x:v>4-01-02-01</x:v>
      </x:c>
      <x:c r="E488" s="25" t="str">
        <x:v>营销员</x:v>
      </x:c>
      <x:c r="F488" s="28" t="n">
        <x:f>COUNTIF('岗位-产业节点关系'!$C$4:$C$709,B488)</x:f>
        <x:v>1</x:v>
      </x:c>
      <x:c r="G488" s="26" t="str">
        <x:f>IF(F488=0,"未匹配（现有产业链范围未覆盖或证据不足）",IF(COUNTIFS('岗位-产业节点关系'!$C$4:$C$709,B488,'岗位-产业节点关系'!$M$4:$M$709,"低")&gt;0,"已匹配，建议复核","已匹配"))</x:f>
        <x:v>已匹配</x:v>
      </x:c>
      <x:c r="H488" s="26" t="str">
        <x:v>中</x:v>
      </x:c>
      <x:c r="I488" s="26" t="str">
        <x:v>ICN009</x:v>
      </x:c>
      <x:c r="J488" s="26" t="str">
        <x:v>基础设施与城市建设产业链/下游/城市运营、公用事业与物业服务</x:v>
      </x:c>
      <x:c r="K488" s="26" t="str">
        <x:v>**岗位简介** 房地产销售经理/主管是建筑与房地产行业中至关重要的角色之一，负责推动公司房产项目的销售业绩，确保完成甚至超越销售目标。作为团队的领导者，他们不仅需要具备出色的市场分析能力，还要能够制定并执行有效的销售策…</x:v>
      </x:c>
      <x:c r="L488" s="26" t="str">
        <x:v>房地产销售经理/主管的主要职责包括：制定并执行销售策略和计划，达成销售目标；管理销售团队，进行销售培训和业绩考核；维护客户关系，处理客户咨询和投诉；分析市场动态，提供市场反馈；协调内部资源，确保销售流程顺畅；参与项目推广…</x:v>
      </x:c>
    </x:row>
    <x:row r="489" ht="72" customHeight="1">
      <x:c r="A489" s="25" t="n">
        <x:v>11381</x:v>
      </x:c>
      <x:c r="B489" s="25" t="str">
        <x:v>IC-L3-638</x:v>
      </x:c>
      <x:c r="C489" s="25" t="str">
        <x:v>保安人员</x:v>
      </x:c>
      <x:c r="D489" s="25" t="str">
        <x:v>4-07-04-01</x:v>
      </x:c>
      <x:c r="E489" s="25" t="str">
        <x:v>导游</x:v>
      </x:c>
      <x:c r="F489" s="28" t="n">
        <x:f>COUNTIF('岗位-产业节点关系'!$C$4:$C$709,B489)</x:f>
        <x:v>1</x:v>
      </x:c>
      <x:c r="G489" s="26" t="str">
        <x:f>IF(F489=0,"未匹配（现有产业链范围未覆盖或证据不足）",IF(COUNTIFS('岗位-产业节点关系'!$C$4:$C$709,B489,'岗位-产业节点关系'!$M$4:$M$709,"低")&gt;0,"已匹配，建议复核","已匹配"))</x:f>
        <x:v>已匹配，建议复核</x:v>
      </x:c>
      <x:c r="H489" s="26" t="str">
        <x:v>低</x:v>
      </x:c>
      <x:c r="I489" s="26" t="str">
        <x:v>ICN008</x:v>
      </x:c>
      <x:c r="J489" s="26" t="str">
        <x:v>基础设施与城市建设产业链/中游/基础设施建设与房地产开发</x:v>
      </x:c>
      <x:c r="K489" s="26" t="str">
        <x:v>作为建筑与房地产行业中物业管理领域的重要组成部分，保安人员是确保社区安全、维护秩序的第一道防线。他们不仅代表了公司的形象，也是居民日常生活中不可或缺的安全守护者。 保安人员的核心目标在于通过高效、专业的服务，预防并处理各…</x:v>
      </x:c>
      <x:c r="L489" s="26" t="str">
        <x:v>1. 负责项目出入口的秩序维护，对进出车辆及人员进行检查登记，确保无异常情况发生。 2. 定期巡逻检查公共区域的安全状况，及时发现并报告潜在的风险点，预防安全事故的发生。 3. 遇到紧急事件时迅速响应，采取有效措施控制现…</x:v>
      </x:c>
    </x:row>
    <x:row r="490" ht="72" customHeight="1">
      <x:c r="A490" s="25" t="n">
        <x:v>11382</x:v>
      </x:c>
      <x:c r="B490" s="25" t="str">
        <x:v>IC-L3-639</x:v>
      </x:c>
      <x:c r="C490" s="25" t="str">
        <x:v>保安经理</x:v>
      </x:c>
      <x:c r="D490" s="25" t="str">
        <x:v>4-07-04-01</x:v>
      </x:c>
      <x:c r="E490" s="25" t="str">
        <x:v>导游</x:v>
      </x:c>
      <x:c r="F490" s="28" t="n">
        <x:f>COUNTIF('岗位-产业节点关系'!$C$4:$C$709,B490)</x:f>
        <x:v>1</x:v>
      </x:c>
      <x:c r="G490" s="26" t="str">
        <x:f>IF(F490=0,"未匹配（现有产业链范围未覆盖或证据不足）",IF(COUNTIFS('岗位-产业节点关系'!$C$4:$C$709,B490,'岗位-产业节点关系'!$M$4:$M$709,"低")&gt;0,"已匹配，建议复核","已匹配"))</x:f>
        <x:v>已匹配，建议复核</x:v>
      </x:c>
      <x:c r="H490" s="26" t="str">
        <x:v>低</x:v>
      </x:c>
      <x:c r="I490" s="26" t="str">
        <x:v>ICN008</x:v>
      </x:c>
      <x:c r="J490" s="26" t="str">
        <x:v>基础设施与城市建设产业链/中游/基础设施建设与房地产开发</x:v>
      </x:c>
      <x:c r="K490" s="26" t="str">
        <x:v>保安经理是建筑与房地产行业中物业管理领域不可或缺的角色，负责确保物业区域的安全稳定，提升居住或办公环境的安全水平。该职位不仅需要具备专业的安全知识，还需要有较强的管理能力和沟通技巧，以应对各种突发情况，保障人员和财产的安…</x:v>
      </x:c>
      <x:c r="L490" s="26" t="str">
        <x:v>1. 制定和完善物业管理区域的安全管理制度和应急预案，确保所有员工熟悉并遵守相关规定，提高整体安全管理水平。 2. 组织实施日常巡逻检查，监控重点部位的安全状况，及时发现并排除潜在的安全隐患，保证区域内无重大安全事故的发…</x:v>
      </x:c>
    </x:row>
    <x:row r="491" ht="72" customHeight="1">
      <x:c r="A491" s="25" t="n">
        <x:v>11383</x:v>
      </x:c>
      <x:c r="B491" s="25" t="str">
        <x:v>IC-L3-640</x:v>
      </x:c>
      <x:c r="C491" s="25" t="str">
        <x:v>写字楼运营</x:v>
      </x:c>
      <x:c r="D491" s="25" t="str">
        <x:v>4-06-01-04</x:v>
      </x:c>
      <x:c r="E491" s="25" t="str">
        <x:v>智能楼宇管理员</x:v>
      </x:c>
      <x:c r="F491" s="28" t="n">
        <x:f>COUNTIF('岗位-产业节点关系'!$C$4:$C$709,B491)</x:f>
        <x:v>1</x:v>
      </x:c>
      <x:c r="G491" s="26" t="str">
        <x:f>IF(F491=0,"未匹配（现有产业链范围未覆盖或证据不足）",IF(COUNTIFS('岗位-产业节点关系'!$C$4:$C$709,B491,'岗位-产业节点关系'!$M$4:$M$709,"低")&gt;0,"已匹配，建议复核","已匹配"))</x:f>
        <x:v>已匹配，建议复核</x:v>
      </x:c>
      <x:c r="H491" s="26" t="str">
        <x:v>低</x:v>
      </x:c>
      <x:c r="I491" s="26" t="str">
        <x:v>ICN008</x:v>
      </x:c>
      <x:c r="J491" s="26" t="str">
        <x:v>基础设施与城市建设产业链/中游/基础设施建设与房地产开发</x:v>
      </x:c>
      <x:c r="K491" s="26" t="str">
        <x:v>写字楼运营在建筑与房地产行业中扮演着至关重要的角色，它不仅确保了商业楼宇的高效运作，还直接关系到租户满意度及物业价值的提升。作为物业管理方向的关键职位，写字楼运营经理通过优化日常管理流程、维护良好的设施状态以及提供高品质…</x:v>
      </x:c>
      <x:c r="L491" s="26" t="str">
        <x:v>1. 负责制定并执行写字楼的年度运营计划，确保各项服务标准达到预期目标，提高客户满意度。 2. 监督物业管理团队的日常工作，包括但不限于安全保卫、清洁卫生、设备维修等方面，保障写字楼正常运转。 3. 定期进行市场调研，分…</x:v>
      </x:c>
    </x:row>
    <x:row r="492" ht="72" customHeight="1">
      <x:c r="A492" s="25" t="n">
        <x:v>11384</x:v>
      </x:c>
      <x:c r="B492" s="25" t="str">
        <x:v>IC-L3-641</x:v>
      </x:c>
      <x:c r="C492" s="25" t="str">
        <x:v>房地产项目招投标</x:v>
      </x:c>
      <x:c r="D492" s="25" t="str">
        <x:v>4-06-01-04</x:v>
      </x:c>
      <x:c r="E492" s="25" t="str">
        <x:v>智能楼宇管理员</x:v>
      </x:c>
      <x:c r="F492" s="28" t="n">
        <x:f>COUNTIF('岗位-产业节点关系'!$C$4:$C$709,B492)</x:f>
        <x:v>1</x:v>
      </x:c>
      <x:c r="G492" s="26" t="str">
        <x:f>IF(F492=0,"未匹配（现有产业链范围未覆盖或证据不足）",IF(COUNTIFS('岗位-产业节点关系'!$C$4:$C$709,B492,'岗位-产业节点关系'!$M$4:$M$709,"低")&gt;0,"已匹配，建议复核","已匹配"))</x:f>
        <x:v>已匹配</x:v>
      </x:c>
      <x:c r="H492" s="26" t="str">
        <x:v>中</x:v>
      </x:c>
      <x:c r="I492" s="26" t="str">
        <x:v>ICN008</x:v>
      </x:c>
      <x:c r="J492" s="26" t="str">
        <x:v>基础设施与城市建设产业链/中游/基础设施建设与房地产开发</x:v>
      </x:c>
      <x:c r="K492" s="26" t="str">
        <x:v>在建筑与房地产行业中，房地产项目招投标专员扮演着至关重要的角色。作为公司与外部合作伙伴之间的桥梁，他们不仅负责筛选合适的供应商和承包商，还确保项目从启动到完成的每个阶段都能高效运作。通过精准地评估市场需求、制定合理的招标…</x:v>
      </x:c>
      <x:c r="L492" s="26" t="str">
        <x:v>1. 负责编制并发布招标文件，明确项目需求、技术标准及商务条款，确保信息准确无误地传达给潜在投标方。 2. 组织召开招标会议，解答投标方提出的问题，促进双方深入交流，提高招标效率。 3. 对收到的投标书进行初步审查，剔除…</x:v>
      </x:c>
    </x:row>
    <x:row r="493" ht="72" customHeight="1">
      <x:c r="A493" s="25" t="n">
        <x:v>11385</x:v>
      </x:c>
      <x:c r="B493" s="25" t="str">
        <x:v>IC-L3-642</x:v>
      </x:c>
      <x:c r="C493" s="25" t="str">
        <x:v>物业机电工程师</x:v>
      </x:c>
      <x:c r="D493" s="25" t="str">
        <x:v>4-06-01-04</x:v>
      </x:c>
      <x:c r="E493" s="25" t="str">
        <x:v>智能楼宇管理员</x:v>
      </x:c>
      <x:c r="F493" s="28" t="n">
        <x:f>COUNTIF('岗位-产业节点关系'!$C$4:$C$709,B493)</x:f>
        <x:v>2</x:v>
      </x:c>
      <x:c r="G493" s="26" t="str">
        <x:f>IF(F493=0,"未匹配（现有产业链范围未覆盖或证据不足）",IF(COUNTIFS('岗位-产业节点关系'!$C$4:$C$709,B493,'岗位-产业节点关系'!$M$4:$M$709,"低")&gt;0,"已匹配，建议复核","已匹配"))</x:f>
        <x:v>已匹配，建议复核</x:v>
      </x:c>
      <x:c r="H493" s="26" t="str">
        <x:v>中</x:v>
      </x:c>
      <x:c r="I493" s="26" t="str">
        <x:v>ICN009、ICN005</x:v>
      </x:c>
      <x:c r="J493" s="26" t="str">
        <x:v>基础设施与城市建设产业链/下游/城市运营、公用事业与物业服务；高端装备与智能制造产业链/中游/高端装备制造与激光加工</x:v>
      </x:c>
      <x:c r="K493" s="26" t="str">
        <x:v>物业机电工程师是建筑与房地产行业中不可或缺的专业技术人才，主要负责确保物业管理区域内各类机电设备的正常运行及维护工作，对于保障业主的生活质量和提升物业服务质量具有重要作用。通过定期检查、维护和及时修复各类机电系统（如电梯…</x:v>
      </x:c>
      <x:c r="L493" s="26" t="str">
        <x:v>1. 负责对管辖区域内的所有机电设备进行日常巡检，记录设备运行状态，发现潜在问题并采取预防措施，确保设备持续稳定运行。 2. 在接到报修请求时，迅速响应并组织人员前往现场进行故障排查与紧急维修，确保最短时间内恢复设备功能…</x:v>
      </x:c>
    </x:row>
    <x:row r="494" ht="72" customHeight="1">
      <x:c r="A494" s="25" t="n">
        <x:v>11386</x:v>
      </x:c>
      <x:c r="B494" s="25" t="str">
        <x:v>IC-L3-643</x:v>
      </x:c>
      <x:c r="C494" s="25" t="str">
        <x:v>物业机电维修工</x:v>
      </x:c>
      <x:c r="D494" s="25" t="str">
        <x:v>4-06-01-04</x:v>
      </x:c>
      <x:c r="E494" s="25" t="str">
        <x:v>智能楼宇管理员</x:v>
      </x:c>
      <x:c r="F494" s="28" t="n">
        <x:f>COUNTIF('岗位-产业节点关系'!$C$4:$C$709,B494)</x:f>
        <x:v>2</x:v>
      </x:c>
      <x:c r="G494" s="26" t="str">
        <x:f>IF(F494=0,"未匹配（现有产业链范围未覆盖或证据不足）",IF(COUNTIFS('岗位-产业节点关系'!$C$4:$C$709,B494,'岗位-产业节点关系'!$M$4:$M$709,"低")&gt;0,"已匹配，建议复核","已匹配"))</x:f>
        <x:v>已匹配</x:v>
      </x:c>
      <x:c r="H494" s="26" t="str">
        <x:v>高</x:v>
      </x:c>
      <x:c r="I494" s="26" t="str">
        <x:v>ICN009、ICN005</x:v>
      </x:c>
      <x:c r="J494" s="26" t="str">
        <x:v>基础设施与城市建设产业链/下游/城市运营、公用事业与物业服务；高端装备与智能制造产业链/中游/高端装备制造与激光加工</x:v>
      </x:c>
      <x:c r="K494" s="26" t="str">
        <x:v>物业机电维修工是建筑与房地产行业中不可或缺的角色，他们负责确保物业内的所有机械设备和系统正常运行，从而保障居民和商业客户的日常生活和工作环境的安全与舒适。作为物业机电维修工，其核心目标在于通过及时有效的维护和修理服务，降…</x:v>
      </x:c>
      <x:c r="L494" s="26" t="str">
        <x:v>1. 定期检查物业内各类机电设施（如电梯、空调系统、给排水系统）的运行状态，记录检查结果并及时报告异常情况。 2. 对出现故障的机电设备进行诊断分析，制定合理的维修方案并实施修复工作，确保设备恢复正常运作。 3. 遵循国…</x:v>
      </x:c>
    </x:row>
    <x:row r="495" ht="72" customHeight="1">
      <x:c r="A495" s="25" t="n">
        <x:v>11387</x:v>
      </x:c>
      <x:c r="B495" s="25" t="str">
        <x:v>IC-L3-644</x:v>
      </x:c>
      <x:c r="C495" s="25" t="str">
        <x:v>物业管理专员/助理</x:v>
      </x:c>
      <x:c r="D495" s="25" t="str">
        <x:v>4-06-01-04</x:v>
      </x:c>
      <x:c r="E495" s="25" t="str">
        <x:v>智能楼宇管理员</x:v>
      </x:c>
      <x:c r="F495" s="28" t="n">
        <x:f>COUNTIF('岗位-产业节点关系'!$C$4:$C$709,B495)</x:f>
        <x:v>1</x:v>
      </x:c>
      <x:c r="G495" s="26" t="str">
        <x:f>IF(F495=0,"未匹配（现有产业链范围未覆盖或证据不足）",IF(COUNTIFS('岗位-产业节点关系'!$C$4:$C$709,B495,'岗位-产业节点关系'!$M$4:$M$709,"低")&gt;0,"已匹配，建议复核","已匹配"))</x:f>
        <x:v>已匹配</x:v>
      </x:c>
      <x:c r="H495" s="26" t="str">
        <x:v>中</x:v>
      </x:c>
      <x:c r="I495" s="26" t="str">
        <x:v>ICN009</x:v>
      </x:c>
      <x:c r="J495" s="26" t="str">
        <x:v>基础设施与城市建设产业链/下游/城市运营、公用事业与物业服务</x:v>
      </x:c>
      <x:c r="K495" s="26" t="str">
        <x:v>物业管理专员/助理是建筑与房地产行业中不可或缺的角色，主要负责确保物业的高效运行和维护，为业主及租户提供满意的服务体验。通过专业的管理和服务，物业管理专员能够有效提升物业的价值，增强公司在市场上的竞争力，同时促进良好的社…</x:v>
      </x:c>
      <x:c r="L495" s="26" t="str">
        <x:v>物业管理专员/助理的主要职责包括：负责物业管理区域内的日常巡查，确保公共设施设备正常运行；处理业主投诉和建议，协调解决相关问题；维护小区环境卫生，监督清洁工作；管理进出人员和车辆，确保安全；协助制定和执行物业管理计划，参…</x:v>
      </x:c>
    </x:row>
    <x:row r="496" ht="72" customHeight="1">
      <x:c r="A496" s="25" t="n">
        <x:v>11388</x:v>
      </x:c>
      <x:c r="B496" s="25" t="str">
        <x:v>IC-L3-645</x:v>
      </x:c>
      <x:c r="C496" s="25" t="str">
        <x:v>物业管理主管</x:v>
      </x:c>
      <x:c r="D496" s="25" t="str">
        <x:v>4-06-01-04</x:v>
      </x:c>
      <x:c r="E496" s="25" t="str">
        <x:v>智能楼宇管理员</x:v>
      </x:c>
      <x:c r="F496" s="28" t="n">
        <x:f>COUNTIF('岗位-产业节点关系'!$C$4:$C$709,B496)</x:f>
        <x:v>1</x:v>
      </x:c>
      <x:c r="G496" s="26" t="str">
        <x:f>IF(F496=0,"未匹配（现有产业链范围未覆盖或证据不足）",IF(COUNTIFS('岗位-产业节点关系'!$C$4:$C$709,B496,'岗位-产业节点关系'!$M$4:$M$709,"低")&gt;0,"已匹配，建议复核","已匹配"))</x:f>
        <x:v>已匹配</x:v>
      </x:c>
      <x:c r="H496" s="26" t="str">
        <x:v>中</x:v>
      </x:c>
      <x:c r="I496" s="26" t="str">
        <x:v>ICN009</x:v>
      </x:c>
      <x:c r="J496" s="26" t="str">
        <x:v>基础设施与城市建设产业链/下游/城市运营、公用事业与物业服务</x:v>
      </x:c>
      <x:c r="K496" s="26" t="str">
        <x:v>物业管理主管是建筑与房地产行业中不可或缺的角色，他们负责确保物业项目的顺利运行，提高业主满意度，同时维护和提升物业的价值。作为连接物业与业主之间的桥梁，物业管理主管不仅需要具备良好的沟通协调能力，还需拥有扎实的专业知识和…</x:v>
      </x:c>
      <x:c r="L496" s="26" t="str">
        <x:v>1. 制定并实施物业管理方案，确保各项服务标准达到或超过行业要求，以提高客户满意度。 2. 监督日常运营活动，包括但不限于清洁、绿化、安全保卫等工作，保证设施设备正常运转。 3. 负责处理业主投诉及建议，及时解决问题，维…</x:v>
      </x:c>
    </x:row>
    <x:row r="497" ht="72" customHeight="1">
      <x:c r="A497" s="25" t="n">
        <x:v>11389</x:v>
      </x:c>
      <x:c r="B497" s="25" t="str">
        <x:v>IC-L3-646</x:v>
      </x:c>
      <x:c r="C497" s="25" t="str">
        <x:v>物业管理经理</x:v>
      </x:c>
      <x:c r="D497" s="25" t="str">
        <x:v>4-06-01-04</x:v>
      </x:c>
      <x:c r="E497" s="25" t="str">
        <x:v>智能楼宇管理员</x:v>
      </x:c>
      <x:c r="F497" s="28" t="n">
        <x:f>COUNTIF('岗位-产业节点关系'!$C$4:$C$709,B497)</x:f>
        <x:v>1</x:v>
      </x:c>
      <x:c r="G497" s="26" t="str">
        <x:f>IF(F497=0,"未匹配（现有产业链范围未覆盖或证据不足）",IF(COUNTIFS('岗位-产业节点关系'!$C$4:$C$709,B497,'岗位-产业节点关系'!$M$4:$M$709,"低")&gt;0,"已匹配，建议复核","已匹配"))</x:f>
        <x:v>已匹配</x:v>
      </x:c>
      <x:c r="H497" s="26" t="str">
        <x:v>中</x:v>
      </x:c>
      <x:c r="I497" s="26" t="str">
        <x:v>ICN009</x:v>
      </x:c>
      <x:c r="J497" s="26" t="str">
        <x:v>基础设施与城市建设产业链/下游/城市运营、公用事业与物业服务</x:v>
      </x:c>
      <x:c r="K497" s="26" t="str">
        <x:v>物业管理经理是建筑与房地产行业中不可或缺的角色，负责确保物业项目的高效运营和服务质量。作为连接业主、租户和物业管理团队的关键桥梁，物业管理经理不仅需要具备出色的服务意识，还应拥有良好的沟通协调能力以及解决问题的能力，以促…</x:v>
      </x:c>
      <x:c r="L497" s="26" t="str">
        <x:v>1. 负责物业项目的全面管理工作，包括但不限于安全管理、环境卫生、设备维修保养等，确保各项服务达到预期标准。 2. 制定并实施物业管理方案，监控预算执行情况，合理调配资源，降低运营成本，提高经济效益。 3. 组织开展客户…</x:v>
      </x:c>
    </x:row>
    <x:row r="498" ht="72" customHeight="1">
      <x:c r="A498" s="25" t="n">
        <x:v>11390</x:v>
      </x:c>
      <x:c r="B498" s="25" t="str">
        <x:v>IC-L3-647</x:v>
      </x:c>
      <x:c r="C498" s="25" t="str">
        <x:v>物业设施管理人员</x:v>
      </x:c>
      <x:c r="D498" s="25" t="str">
        <x:v>4-06-01-04</x:v>
      </x:c>
      <x:c r="E498" s="25" t="str">
        <x:v>智能楼宇管理员</x:v>
      </x:c>
      <x:c r="F498" s="28" t="n">
        <x:f>COUNTIF('岗位-产业节点关系'!$C$4:$C$709,B498)</x:f>
        <x:v>1</x:v>
      </x:c>
      <x:c r="G498" s="26" t="str">
        <x:f>IF(F498=0,"未匹配（现有产业链范围未覆盖或证据不足）",IF(COUNTIFS('岗位-产业节点关系'!$C$4:$C$709,B498,'岗位-产业节点关系'!$M$4:$M$709,"低")&gt;0,"已匹配，建议复核","已匹配"))</x:f>
        <x:v>已匹配</x:v>
      </x:c>
      <x:c r="H498" s="26" t="str">
        <x:v>中</x:v>
      </x:c>
      <x:c r="I498" s="26" t="str">
        <x:v>ICN009</x:v>
      </x:c>
      <x:c r="J498" s="26" t="str">
        <x:v>基础设施与城市建设产业链/下游/城市运营、公用事业与物业服务</x:v>
      </x:c>
      <x:c r="K498" s="26" t="str">
        <x:v>物业设施管理人员是建筑与房地产行业中不可或缺的专业人才，他们负责确保物业管理项目的设施设备正常运行，不仅提升业主的生活质量，还直接关系到物业的安全稳定。作为物业管理的重要组成部分，物业设施管理人员通过维护保养各类设施设备…</x:v>
      </x:c>
      <x:c r="L498" s="26" t="str">
        <x:v>物业设施管理人员的主要职责包括：负责物业区域内公共设施设备的日常运行维护与管理，确保设施设备正常运转；定期进行设施设备的检查与保养，及时处理设施设备故障，保障物业安全；制定并执行设施设备的维护保养计划，建立设施设备档案，…</x:v>
      </x:c>
    </x:row>
    <x:row r="499" ht="72" customHeight="1">
      <x:c r="A499" s="25" t="n">
        <x:v>11391</x:v>
      </x:c>
      <x:c r="B499" s="25" t="str">
        <x:v>IC-L3-648</x:v>
      </x:c>
      <x:c r="C499" s="25" t="str">
        <x:v>绿化工</x:v>
      </x:c>
      <x:c r="D499" s="25" t="str">
        <x:v>4-06-01-04</x:v>
      </x:c>
      <x:c r="E499" s="25" t="str">
        <x:v>智能楼宇管理员</x:v>
      </x:c>
      <x:c r="F499" s="28" t="n">
        <x:f>COUNTIF('岗位-产业节点关系'!$C$4:$C$709,B499)</x:f>
        <x:v>1</x:v>
      </x:c>
      <x:c r="G499" s="26" t="str">
        <x:f>IF(F499=0,"未匹配（现有产业链范围未覆盖或证据不足）",IF(COUNTIFS('岗位-产业节点关系'!$C$4:$C$709,B499,'岗位-产业节点关系'!$M$4:$M$709,"低")&gt;0,"已匹配，建议复核","已匹配"))</x:f>
        <x:v>已匹配，建议复核</x:v>
      </x:c>
      <x:c r="H499" s="26" t="str">
        <x:v>低</x:v>
      </x:c>
      <x:c r="I499" s="26" t="str">
        <x:v>ICN007</x:v>
      </x:c>
      <x:c r="J499" s="26" t="str">
        <x:v>基础设施与城市建设产业链/上游/规划设计、建材与工程准备</x:v>
      </x:c>
      <x:c r="K499" s="26" t="str">
        <x:v>绿化工在建筑与房地产行业的物业管理领域中扮演着至关重要的角色。他们不仅负责美化社区环境，提升居住品质，而且通过专业的绿化维护工作，营造出健康和谐的生活氛围，增强业主的归属感和幸福感。作为物业团队的一员，绿化工需要与其他部…</x:v>
      </x:c>
      <x:c r="L499" s="26" t="str">
        <x:v>1. 定期修剪树木花草，清理杂草，确保园区内植物生长良好，外观整洁美观。 2. 根据季节变化调整浇水频率，施加肥料，防治病虫害，保障植物健康成长。 3. 对公共区域的草坪进行定期维护，包括播种、施肥、除虫等工作，维持草坪…</x:v>
      </x:c>
    </x:row>
    <x:row r="500" ht="72" customHeight="1">
      <x:c r="A500" s="25" t="n">
        <x:v>11392</x:v>
      </x:c>
      <x:c r="B500" s="25" t="str">
        <x:v>IC-L3-649</x:v>
      </x:c>
      <x:c r="C500" s="25" t="str">
        <x:v>长租公寓管家/养老专员</x:v>
      </x:c>
      <x:c r="D500" s="25" t="str">
        <x:v>4-06-01-04</x:v>
      </x:c>
      <x:c r="E500" s="25" t="str">
        <x:v>智能楼宇管理员</x:v>
      </x:c>
      <x:c r="F500" s="28" t="n">
        <x:f>COUNTIF('岗位-产业节点关系'!$C$4:$C$709,B500)</x:f>
        <x:v>1</x:v>
      </x:c>
      <x:c r="G500" s="26" t="str">
        <x:f>IF(F500=0,"未匹配（现有产业链范围未覆盖或证据不足）",IF(COUNTIFS('岗位-产业节点关系'!$C$4:$C$709,B500,'岗位-产业节点关系'!$M$4:$M$709,"低")&gt;0,"已匹配，建议复核","已匹配"))</x:f>
        <x:v>已匹配，建议复核</x:v>
      </x:c>
      <x:c r="H500" s="26" t="str">
        <x:v>低</x:v>
      </x:c>
      <x:c r="I500" s="26" t="str">
        <x:v>ICN008</x:v>
      </x:c>
      <x:c r="J500" s="26" t="str">
        <x:v>基础设施与城市建设产业链/中游/基础设施建设与房地产开发</x:v>
      </x:c>
      <x:c r="K500" s="26" t="str">
        <x:v>长租公寓管家/养老专员是建筑与房地产行业中物业管理领域的重要职位，主要负责确保长租公寓或养老服务设施内的居民享受高质量的生活环境和服务体验。通过专业的服务和管理，不仅能够提升居民的满意度和忠诚度，还能有效维护物业的品牌形…</x:v>
      </x:c>
      <x:c r="L500" s="26" t="str">
        <x:v>1. 负责接待来访客户，了解客户需求并提供相应的入住指导，确保客户顺利入住； 2. 定期巡查公寓内公共区域及住户房间，检查设施设备运行情况，及时发现并处理安全隐患； 3. 为长租公寓住户或老年群体提供生活照料服务，包括但…</x:v>
      </x:c>
    </x:row>
    <x:row r="501" ht="72" customHeight="1">
      <x:c r="A501" s="25" t="n">
        <x:v>11393</x:v>
      </x:c>
      <x:c r="B501" s="25" t="str">
        <x:v>IC-L3-650</x:v>
      </x:c>
      <x:c r="C501" s="25" t="str">
        <x:v>高级物业顾问/物业顾问</x:v>
      </x:c>
      <x:c r="D501" s="25" t="str">
        <x:v>4-06-01-04</x:v>
      </x:c>
      <x:c r="E501" s="25" t="str">
        <x:v>智能楼宇管理员</x:v>
      </x:c>
      <x:c r="F501" s="28" t="n">
        <x:f>COUNTIF('岗位-产业节点关系'!$C$4:$C$709,B501)</x:f>
        <x:v>1</x:v>
      </x:c>
      <x:c r="G501" s="26" t="str">
        <x:f>IF(F501=0,"未匹配（现有产业链范围未覆盖或证据不足）",IF(COUNTIFS('岗位-产业节点关系'!$C$4:$C$709,B501,'岗位-产业节点关系'!$M$4:$M$709,"低")&gt;0,"已匹配，建议复核","已匹配"))</x:f>
        <x:v>已匹配</x:v>
      </x:c>
      <x:c r="H501" s="26" t="str">
        <x:v>中</x:v>
      </x:c>
      <x:c r="I501" s="26" t="str">
        <x:v>ICN009</x:v>
      </x:c>
      <x:c r="J501" s="26" t="str">
        <x:v>基础设施与城市建设产业链/下游/城市运营、公用事业与物业服务</x:v>
      </x:c>
      <x:c r="K501" s="26" t="str">
        <x:v>高级物业顾问或物业顾问在建筑与房地产行业中扮演着至关重要的角色，他们是连接业主、租户与物业管理公司之间的桥梁，负责确保物业的高效运作及维护其长期价值。通过提供专业的咨询服务，帮助客户解决各种复杂问题，促进社区和谐发展的同…</x:v>
      </x:c>
      <x:c r="L501" s="26" t="str">
        <x:v>1. 负责分析物业现状，评估潜在风险点，提出改进措施，以提高整体管理水平和服务质量。 2. 定期走访项目现场，检查设施设备运行状况，及时发现并协调解决各类突发事件，保障业主权益。 3. 与客户保持密切沟通，了解他们的需求…</x:v>
      </x:c>
    </x:row>
    <x:row r="502" ht="72" customHeight="1">
      <x:c r="A502" s="25" t="n">
        <x:v>11394</x:v>
      </x:c>
      <x:c r="B502" s="25" t="str">
        <x:v>IC-L3-651</x:v>
      </x:c>
      <x:c r="C502" s="25" t="str">
        <x:v>养殖部主管</x:v>
      </x:c>
      <x:c r="D502" s="25" t="str">
        <x:v>5-05-01-01</x:v>
      </x:c>
      <x:c r="E502" s="25" t="str">
        <x:v>农业技术员</x:v>
      </x:c>
      <x:c r="F502" s="28" t="n">
        <x:f>COUNTIF('岗位-产业节点关系'!$C$4:$C$709,B502)</x:f>
        <x:v>0</x:v>
      </x:c>
      <x:c r="G502" s="26" t="str">
        <x:f>IF(F502=0,"未匹配（现有产业链范围未覆盖或证据不足）",IF(COUNTIFS('岗位-产业节点关系'!$C$4:$C$709,B502,'岗位-产业节点关系'!$M$4:$M$709,"低")&gt;0,"已匹配，建议复核","已匹配"))</x:f>
        <x:v>未匹配（现有产业链范围未覆盖或证据不足）</x:v>
      </x:c>
      <x:c r="H502" s="26" t="str">
        <x:v>-</x:v>
      </x:c>
      <x:c r="I502" s="26" t="str"/>
      <x:c r="J502" s="26" t="str"/>
      <x:c r="K502" s="26" t="str">
        <x:v>养殖部主管是政府机构或农业企业中不可或缺的关键角色，负责确保畜禽养殖的高效运作与可持续发展，对促进农林牧渔业的健康发展具有重要意义。该职位的核心目标在于通过科学管理与技术创新提升畜禽产品的产量与质量，降低生产成本，增强企…</x:v>
      </x:c>
      <x:c r="L502" s="26" t="str">
        <x:v>1. 制定并执行年度养殖计划，确保畜禽养殖活动符合国家法律法规要求，同时满足市场需求，实现预期的经济收益。 2. 监督指导养殖团队实施标准化操作规程，提高养殖效率，控制疾病发生率，保障畜禽健康生长。 3. 定期分析养殖数…</x:v>
      </x:c>
    </x:row>
    <x:row r="503" ht="72" customHeight="1">
      <x:c r="A503" s="25" t="n">
        <x:v>11395</x:v>
      </x:c>
      <x:c r="B503" s="25" t="str">
        <x:v>IC-L3-652</x:v>
      </x:c>
      <x:c r="C503" s="25" t="str">
        <x:v>农业技术员</x:v>
      </x:c>
      <x:c r="D503" s="25" t="str">
        <x:v>5-05-01-01</x:v>
      </x:c>
      <x:c r="E503" s="25" t="str">
        <x:v>农业技术员</x:v>
      </x:c>
      <x:c r="F503" s="28" t="n">
        <x:f>COUNTIF('岗位-产业节点关系'!$C$4:$C$709,B503)</x:f>
        <x:v>1</x:v>
      </x:c>
      <x:c r="G503" s="26" t="str">
        <x:f>IF(F503=0,"未匹配（现有产业链范围未覆盖或证据不足）",IF(COUNTIFS('岗位-产业节点关系'!$C$4:$C$709,B503,'岗位-产业节点关系'!$M$4:$M$709,"低")&gt;0,"已匹配，建议复核","已匹配"))</x:f>
        <x:v>已匹配</x:v>
      </x:c>
      <x:c r="H503" s="26" t="str">
        <x:v>高</x:v>
      </x:c>
      <x:c r="I503" s="26" t="str">
        <x:v>ICN025</x:v>
      </x:c>
      <x:c r="J503" s="26" t="str">
        <x:v>食品饮料产业链/上游/农产品原料与食品配料</x:v>
      </x:c>
      <x:c r="K503" s="26" t="str">
        <x:v>农业技术员是政府机构与农业领域中不可或缺的专业人才，他们通过科学的方法和技术手段促进农业生产效率和质量的提升，确保农业可持续发展的同时保障国家粮食安全。农业技术员的主要任务是研究并推广先进的农业技术和管理方法，以提高作物…</x:v>
      </x:c>
      <x:c r="L503" s="26" t="str">
        <x:v>1. 负责农作物生长过程中的技术指导工作，包括土壤检测、种子选择、施肥灌溉等环节，确保农作物健康生长，达到预期产量。 2. 定期深入田间地头开展调研活动，收集一线数据资料，分析农业生产现状及存在问题，提出切实可行的技术改…</x:v>
      </x:c>
    </x:row>
    <x:row r="504" ht="72" customHeight="1">
      <x:c r="A504" s="25" t="n">
        <x:v>11396</x:v>
      </x:c>
      <x:c r="B504" s="25" t="str">
        <x:v>IC-L3-653</x:v>
      </x:c>
      <x:c r="C504" s="25" t="str">
        <x:v>农艺师</x:v>
      </x:c>
      <x:c r="D504" s="25" t="str">
        <x:v>5-05-01-01</x:v>
      </x:c>
      <x:c r="E504" s="25" t="str">
        <x:v>农业技术员</x:v>
      </x:c>
      <x:c r="F504" s="28" t="n">
        <x:f>COUNTIF('岗位-产业节点关系'!$C$4:$C$709,B504)</x:f>
        <x:v>1</x:v>
      </x:c>
      <x:c r="G504" s="26" t="str">
        <x:f>IF(F504=0,"未匹配（现有产业链范围未覆盖或证据不足）",IF(COUNTIFS('岗位-产业节点关系'!$C$4:$C$709,B504,'岗位-产业节点关系'!$M$4:$M$709,"低")&gt;0,"已匹配，建议复核","已匹配"))</x:f>
        <x:v>已匹配，建议复核</x:v>
      </x:c>
      <x:c r="H504" s="26" t="str">
        <x:v>低</x:v>
      </x:c>
      <x:c r="I504" s="26" t="str">
        <x:v>ICN025</x:v>
      </x:c>
      <x:c r="J504" s="26" t="str">
        <x:v>食品饮料产业链/上游/农产品原料与食品配料</x:v>
      </x:c>
      <x:c r="K504" s="26" t="str">
        <x:v>农艺师是政府机构与农业领域中不可或缺的专业技术人才，他们通过科学的方法和技术手段提高农业生产效率和产品质量，确保国家粮食安全和社会稳定。作为连接科研成果与实际生产的桥梁，农艺师不仅能够将最新的农业科技应用于田间地头，还能…</x:v>
      </x:c>
      <x:c r="L504" s="26" t="str">
        <x:v>1. 负责对辖区内的农田进行定期巡查，监测作物生长状况及病虫害发生情况，及时采取有效措施保障作物健康生长。 2. 根据当地气候条件和土壤特性，制定合理的耕作制度、施肥方案和灌溉计划，指导农户科学合理地利用土地资源。 3.…</x:v>
      </x:c>
    </x:row>
    <x:row r="505" ht="72" customHeight="1">
      <x:c r="A505" s="25" t="n">
        <x:v>11397</x:v>
      </x:c>
      <x:c r="B505" s="25" t="str">
        <x:v>IC-L3-654</x:v>
      </x:c>
      <x:c r="C505" s="25" t="str">
        <x:v>动物营养/饲料研发</x:v>
      </x:c>
      <x:c r="D505" s="25" t="str">
        <x:v>5-05-01-01</x:v>
      </x:c>
      <x:c r="E505" s="25" t="str">
        <x:v>农业技术员</x:v>
      </x:c>
      <x:c r="F505" s="28" t="n">
        <x:f>COUNTIF('岗位-产业节点关系'!$C$4:$C$709,B505)</x:f>
        <x:v>2</x:v>
      </x:c>
      <x:c r="G505" s="26" t="str">
        <x:f>IF(F505=0,"未匹配（现有产业链范围未覆盖或证据不足）",IF(COUNTIFS('岗位-产业节点关系'!$C$4:$C$709,B505,'岗位-产业节点关系'!$M$4:$M$709,"低")&gt;0,"已匹配，建议复核","已匹配"))</x:f>
        <x:v>已匹配</x:v>
      </x:c>
      <x:c r="H505" s="26" t="str">
        <x:v>中</x:v>
      </x:c>
      <x:c r="I505" s="26" t="str">
        <x:v>ICN027、ICN026</x:v>
      </x:c>
      <x:c r="J505" s="26" t="str">
        <x:v>食品饮料产业链/下游/品牌渠道、餐饮零售与消费服务；食品饮料产业链/中游/食品饮料加工制造</x:v>
      </x:c>
      <x:c r="K505" s="26" t="str">
        <x:v>动物营养与饲料研发是农林牧渔领域中至关重要的环节，它不仅关乎畜牧业的发展，更直接影响到食品安全与公众健康。本职位致力于通过科学研究与技术创新，提升饲料品质，优化动物生长环境，从而促进农业可持续发展，确保国家粮食安全。 该…</x:v>
      </x:c>
      <x:c r="L505" s="26" t="str">
        <x:v>1. 负责收集并分析国内外最新的动物营养学资料，结合公司实际情况，制定科学合理的饲料配方。 2. 与科研机构及高校开展合作项目，引进先进技术，进行新产品的研发与试验，确保产品符合国家相关法规要求。 3. 定期走访客户现场…</x:v>
      </x:c>
    </x:row>
    <x:row r="506" ht="72" customHeight="1">
      <x:c r="A506" s="25" t="n">
        <x:v>11398</x:v>
      </x:c>
      <x:c r="B506" s="25" t="str">
        <x:v>IC-L3-655</x:v>
      </x:c>
      <x:c r="C506" s="25" t="str">
        <x:v>场长</x:v>
      </x:c>
      <x:c r="D506" s="25" t="str">
        <x:v>5-05-01-01</x:v>
      </x:c>
      <x:c r="E506" s="25" t="str">
        <x:v>农业技术员</x:v>
      </x:c>
      <x:c r="F506" s="28" t="n">
        <x:f>COUNTIF('岗位-产业节点关系'!$C$4:$C$709,B506)</x:f>
        <x:v>0</x:v>
      </x:c>
      <x:c r="G506" s="26" t="str">
        <x:f>IF(F506=0,"未匹配（现有产业链范围未覆盖或证据不足）",IF(COUNTIFS('岗位-产业节点关系'!$C$4:$C$709,B506,'岗位-产业节点关系'!$M$4:$M$709,"低")&gt;0,"已匹配，建议复核","已匹配"))</x:f>
        <x:v>未匹配（现有产业链范围未覆盖或证据不足）</x:v>
      </x:c>
      <x:c r="H506" s="26" t="str">
        <x:v>-</x:v>
      </x:c>
      <x:c r="I506" s="26" t="str"/>
      <x:c r="J506" s="26" t="str"/>
      <x:c r="K506" s="26" t="str">
        <x:v>场长在政府机构/农业领域中扮演着至关重要的角色，主要负责农场或牧场的整体运营与管理，确保农业生产活动顺利进行。作为农业生产的直接领导者，场长不仅需要具备扎实的专业知识，还需要拥有较强的组织协调能力，以应对复杂的生产环境和…</x:v>
      </x:c>
      <x:c r="L506" s="26" t="str">
        <x:v>1. 负责制定并执行农场年度生产计划，确保按时完成各项生产任务，达到预期产量目标。 2. 监督日常生产活动，包括种植、养殖、病虫害防治等工作，确保操作规范、安全高效。 3. 与技术人员密切配合，引进先进农业技术和设备，持…</x:v>
      </x:c>
    </x:row>
    <x:row r="507" ht="72" customHeight="1">
      <x:c r="A507" s="25" t="n">
        <x:v>11399</x:v>
      </x:c>
      <x:c r="B507" s="25" t="str">
        <x:v>IC-L3-656</x:v>
      </x:c>
      <x:c r="C507" s="25" t="str">
        <x:v>畜牧师</x:v>
      </x:c>
      <x:c r="D507" s="25" t="str">
        <x:v>5-05-01-01</x:v>
      </x:c>
      <x:c r="E507" s="25" t="str">
        <x:v>农业技术员</x:v>
      </x:c>
      <x:c r="F507" s="28" t="n">
        <x:f>COUNTIF('岗位-产业节点关系'!$C$4:$C$709,B507)</x:f>
        <x:v>1</x:v>
      </x:c>
      <x:c r="G507" s="26" t="str">
        <x:f>IF(F507=0,"未匹配（现有产业链范围未覆盖或证据不足）",IF(COUNTIFS('岗位-产业节点关系'!$C$4:$C$709,B507,'岗位-产业节点关系'!$M$4:$M$709,"低")&gt;0,"已匹配，建议复核","已匹配"))</x:f>
        <x:v>已匹配，建议复核</x:v>
      </x:c>
      <x:c r="H507" s="26" t="str">
        <x:v>低</x:v>
      </x:c>
      <x:c r="I507" s="26" t="str">
        <x:v>ICN025</x:v>
      </x:c>
      <x:c r="J507" s="26" t="str">
        <x:v>食品饮料产业链/上游/农产品原料与食品配料</x:v>
      </x:c>
      <x:c r="K507" s="26" t="str">
        <x:v>畜牧师是政府机构/农业领域中不可或缺的专业人才，负责确保动物健康与生产效率，促进可持续发展。在农林牧渔业中扮演着重要角色，通过科学管理动物养殖过程，提高产品质量和安全性，保障食品安全，推动农业现代化进程。此外，畜牧师还参…</x:v>
      </x:c>
      <x:c r="L507" s="26" t="str">
        <x:v>1. 负责养殖场内家畜的日常饲养管理和疾病预防，确保动物健康生长，提高繁殖率和存活率。 2. 定期进行畜舍环境监测，评估并改进饲养条件，优化资源配置，降低生产成本，提升经济效益。 3. 开展畜牧业新技术新方法的研究与应用…</x:v>
      </x:c>
    </x:row>
    <x:row r="508" ht="72" customHeight="1">
      <x:c r="A508" s="25" t="n">
        <x:v>11400</x:v>
      </x:c>
      <x:c r="B508" s="25" t="str">
        <x:v>IC-L3-657</x:v>
      </x:c>
      <x:c r="C508" s="25" t="str">
        <x:v>饲养员</x:v>
      </x:c>
      <x:c r="D508" s="25" t="str">
        <x:v>5-05-01-01</x:v>
      </x:c>
      <x:c r="E508" s="25" t="str">
        <x:v>农业技术员</x:v>
      </x:c>
      <x:c r="F508" s="28" t="n">
        <x:f>COUNTIF('岗位-产业节点关系'!$C$4:$C$709,B508)</x:f>
        <x:v>1</x:v>
      </x:c>
      <x:c r="G508" s="26" t="str">
        <x:f>IF(F508=0,"未匹配（现有产业链范围未覆盖或证据不足）",IF(COUNTIFS('岗位-产业节点关系'!$C$4:$C$709,B508,'岗位-产业节点关系'!$M$4:$M$709,"低")&gt;0,"已匹配，建议复核","已匹配"))</x:f>
        <x:v>已匹配，建议复核</x:v>
      </x:c>
      <x:c r="H508" s="26" t="str">
        <x:v>低</x:v>
      </x:c>
      <x:c r="I508" s="26" t="str">
        <x:v>ICN027</x:v>
      </x:c>
      <x:c r="J508" s="26" t="str">
        <x:v>食品饮料产业链/下游/品牌渠道、餐饮零售与消费服务</x:v>
      </x:c>
      <x:c r="K508" s="26" t="str">
        <x:v>饲养员是政府机构/农业领域中不可或缺的专业人才，他们负责确保家畜或家禽的健康与生长，对于提高农业生产效率、保障食品安全以及促进农村经济发展起着至关重要的作用。作为饲养员，其核心目标在于通过科学合理的饲养管理措施，实现畜禽…</x:v>
      </x:c>
      <x:c r="L508" s="26" t="str">
        <x:v>1. 负责日常巡查圈舍，观察动物行为表现，记录健康状况并采取相应措施预防疾病。 2. 根据不同生长阶段的需求，合理配比饲料，定时定量投喂，保证营养均衡。 3. 定期清洁消毒栏舍环境，维护良好的卫生条件，防止交叉感染。 4…</x:v>
      </x:c>
    </x:row>
    <x:row r="509" ht="72" customHeight="1">
      <x:c r="A509" s="25" t="n">
        <x:v>11401</x:v>
      </x:c>
      <x:c r="B509" s="25" t="str">
        <x:v>IC-L3-658</x:v>
      </x:c>
      <x:c r="C509" s="25" t="str">
        <x:v>驯兽师/助理驯兽师</x:v>
      </x:c>
      <x:c r="D509" s="25" t="str">
        <x:v>5-05-01-01</x:v>
      </x:c>
      <x:c r="E509" s="25" t="str">
        <x:v>农业技术员</x:v>
      </x:c>
      <x:c r="F509" s="28" t="n">
        <x:f>COUNTIF('岗位-产业节点关系'!$C$4:$C$709,B509)</x:f>
        <x:v>1</x:v>
      </x:c>
      <x:c r="G509" s="26" t="str">
        <x:f>IF(F509=0,"未匹配（现有产业链范围未覆盖或证据不足）",IF(COUNTIFS('岗位-产业节点关系'!$C$4:$C$709,B509,'岗位-产业节点关系'!$M$4:$M$709,"低")&gt;0,"已匹配，建议复核","已匹配"))</x:f>
        <x:v>已匹配，建议复核</x:v>
      </x:c>
      <x:c r="H509" s="26" t="str">
        <x:v>低</x:v>
      </x:c>
      <x:c r="I509" s="26" t="str">
        <x:v>ICN012</x:v>
      </x:c>
      <x:c r="J509" s="26" t="str">
        <x:v>医药生物与医疗健康产业链/下游/医疗服务、临床应用与健康管理</x:v>
      </x:c>
      <x:c r="K509" s="26" t="str">
        <x:v>助理驯兽师是政府机构中农林牧渔业的重要角色之一，主要负责动物的训练、护理以及行为管理。在野生动物保护与家畜养殖等领域，助理驯兽师的专业技能对于维护生物多样性、促进畜牧业可持续发展等方面发挥着不可替代的作用。通过科学合理地…</x:v>
      </x:c>
      <x:c r="L509" s="26" t="str">
        <x:v>1. 根据动物种类和特性，设计并实施个性化的训练方案，以达到预期的行为表现标准。 2. 监测并记录动物的日常活动情况，包括饮食、睡眠、情绪变化等，确保其身心健康。 3. 与兽医密切配合，参与疾病预防、治疗及康复过程中的辅…</x:v>
      </x:c>
    </x:row>
    <x:row r="510" ht="72" customHeight="1">
      <x:c r="A510" s="25" t="n">
        <x:v>11402</x:v>
      </x:c>
      <x:c r="B510" s="25" t="str">
        <x:v>IC-L3-659</x:v>
      </x:c>
      <x:c r="C510" s="25" t="str">
        <x:v>公务员</x:v>
      </x:c>
      <x:c r="D510" s="25" t="str">
        <x:v>3-01-01-02</x:v>
      </x:c>
      <x:c r="E510" s="25" t="str">
        <x:v>政务服务办事员</x:v>
      </x:c>
      <x:c r="F510" s="28" t="n">
        <x:f>COUNTIF('岗位-产业节点关系'!$C$4:$C$709,B510)</x:f>
        <x:v>0</x:v>
      </x:c>
      <x:c r="G510" s="26" t="str">
        <x:f>IF(F510=0,"未匹配（现有产业链范围未覆盖或证据不足）",IF(COUNTIFS('岗位-产业节点关系'!$C$4:$C$709,B510,'岗位-产业节点关系'!$M$4:$M$709,"低")&gt;0,"已匹配，建议复核","已匹配"))</x:f>
        <x:v>未匹配（现有产业链范围未覆盖或证据不足）</x:v>
      </x:c>
      <x:c r="H510" s="26" t="str">
        <x:v>-</x:v>
      </x:c>
      <x:c r="I510" s="26" t="str"/>
      <x:c r="J510" s="26" t="str"/>
      <x:c r="K510" s="26" t="str">
        <x:v>作为政府机构农业部门的公务员，您将扮演着确保国家粮食安全、促进农村经济发展和维护农民利益的关键角色。通过制定和实施相关政策，您不仅能够直接影响我国农业生产的效率与质量，还能够推动农业科技的进步和社会经济的可持续发展。 您…</x:v>
      </x:c>
      <x:c r="L510" s="26" t="str">
        <x:v>1. 负责收集整理国内外农业发展动态及政策法规信息，为领导决策提供参考。 2. 参与制定和完善农业相关政策，确保其符合国家发展战略要求，并具备可操作性。 3. 组织开展农业项目的立项审批、过程监管及效果评估工作，确保项目…</x:v>
      </x:c>
    </x:row>
    <x:row r="511" ht="72" customHeight="1">
      <x:c r="A511" s="25" t="n">
        <x:v>11403</x:v>
      </x:c>
      <x:c r="B511" s="25" t="str">
        <x:v>IC-L3-660</x:v>
      </x:c>
      <x:c r="C511" s="25" t="str">
        <x:v>城市管理网格员</x:v>
      </x:c>
      <x:c r="D511" s="25" t="str">
        <x:v>3-01-01-02</x:v>
      </x:c>
      <x:c r="E511" s="25" t="str">
        <x:v>政务服务办事员</x:v>
      </x:c>
      <x:c r="F511" s="28" t="n">
        <x:f>COUNTIF('岗位-产业节点关系'!$C$4:$C$709,B511)</x:f>
        <x:v>0</x:v>
      </x:c>
      <x:c r="G511" s="26" t="str">
        <x:f>IF(F511=0,"未匹配（现有产业链范围未覆盖或证据不足）",IF(COUNTIFS('岗位-产业节点关系'!$C$4:$C$709,B511,'岗位-产业节点关系'!$M$4:$M$709,"低")&gt;0,"已匹配，建议复核","已匹配"))</x:f>
        <x:v>未匹配（现有产业链范围未覆盖或证据不足）</x:v>
      </x:c>
      <x:c r="H511" s="26" t="str">
        <x:v>-</x:v>
      </x:c>
      <x:c r="I511" s="26" t="str"/>
      <x:c r="J511" s="26" t="str"/>
      <x:c r="K511" s="26" t="str">
        <x:v>城市管理网格员是政府机构中不可或缺的角色，主要负责城市社区内的日常管理和监督工作，确保社区环境整洁、安全有序。这一职位在促进社会稳定和谐、提升居民生活质量方面发挥着重要作用，是连接政府与民众之间的桥梁。 作为城市管理网格…</x:v>
      </x:c>
      <x:c r="L511" s="26" t="str">
        <x:v>1. 定期巡查所辖区域，记录并上报环境卫生、公共设施维护等方面存在的问题，确保问题能够得到快速响应和有效解决。 2. 协助相关部门开展各类宣传活动，如垃圾分类指导、防灾减灾教育等，提高居民的自我保护意识和社会责任感。 3…</x:v>
      </x:c>
    </x:row>
    <x:row r="512" ht="72" customHeight="1">
      <x:c r="A512" s="25" t="n">
        <x:v>11404</x:v>
      </x:c>
      <x:c r="B512" s="25" t="str">
        <x:v>IC-L3-661</x:v>
      </x:c>
      <x:c r="C512" s="25" t="str">
        <x:v>志愿者/社会工作者</x:v>
      </x:c>
      <x:c r="D512" s="25" t="str">
        <x:v>3-01-01-02</x:v>
      </x:c>
      <x:c r="E512" s="25" t="str">
        <x:v>政务服务办事员</x:v>
      </x:c>
      <x:c r="F512" s="28" t="n">
        <x:f>COUNTIF('岗位-产业节点关系'!$C$4:$C$709,B512)</x:f>
        <x:v>0</x:v>
      </x:c>
      <x:c r="G512" s="26" t="str">
        <x:f>IF(F512=0,"未匹配（现有产业链范围未覆盖或证据不足）",IF(COUNTIFS('岗位-产业节点关系'!$C$4:$C$709,B512,'岗位-产业节点关系'!$M$4:$M$709,"低")&gt;0,"已匹配，建议复核","已匹配"))</x:f>
        <x:v>未匹配（现有产业链范围未覆盖或证据不足）</x:v>
      </x:c>
      <x:c r="H512" s="26" t="str">
        <x:v>-</x:v>
      </x:c>
      <x:c r="I512" s="26" t="str"/>
      <x:c r="J512" s="26" t="str"/>
      <x:c r="K512" s="26" t="str">
        <x:v>作为政府机构农业部门的社会工作者或志愿者，您将在促进农村社区发展、提高农民生活质量方面发挥关键作用。通过与政府机构合作，您将参与制定并实施各种项目，以解决农村地区面临的挑战，如贫困、教育不足、健康问题等，同时推动可持续农…</x:v>
      </x:c>
      <x:c r="L512" s="26" t="str">
        <x:v>1. 与当地政府官员、社区领袖及其他利益相关方进行有效沟通，了解农村地区的需求，共同设计和规划符合实际需要的服务项目。 2. 组织并执行各类公益活动，如农业技术培训、儿童营养计划、老年人关怀服务等，确保活动顺利进行，达到…</x:v>
      </x:c>
    </x:row>
    <x:row r="513" ht="72" customHeight="1">
      <x:c r="A513" s="25" t="n">
        <x:v>11405</x:v>
      </x:c>
      <x:c r="B513" s="25" t="str">
        <x:v>IC-L3-662</x:v>
      </x:c>
      <x:c r="C513" s="25" t="str">
        <x:v>制片人</x:v>
      </x:c>
      <x:c r="D513" s="25" t="str">
        <x:v>2-09-06-01</x:v>
      </x:c>
      <x:c r="E513" s="25" t="str">
        <x:v>视觉传达设计人员</x:v>
      </x:c>
      <x:c r="F513" s="28" t="n">
        <x:f>COUNTIF('岗位-产业节点关系'!$C$4:$C$709,B513)</x:f>
        <x:v>0</x:v>
      </x:c>
      <x:c r="G513" s="26" t="str">
        <x:f>IF(F513=0,"未匹配（现有产业链范围未覆盖或证据不足）",IF(COUNTIFS('岗位-产业节点关系'!$C$4:$C$709,B513,'岗位-产业节点关系'!$M$4:$M$709,"低")&gt;0,"已匹配，建议复核","已匹配"))</x:f>
        <x:v>未匹配（现有产业链范围未覆盖或证据不足）</x:v>
      </x:c>
      <x:c r="H513" s="26" t="str">
        <x:v>-</x:v>
      </x:c>
      <x:c r="I513" s="26" t="str"/>
      <x:c r="J513" s="26" t="str"/>
      <x:c r="K513" s="26" t="str">
        <x:v>制片人在文化/传媒行业中扮演着至关重要的角色，是连接创意与商业的桥梁。他们负责从项目的初期开发到最终成品的每一个环节，确保项目能够按时、按预算并达到预期的艺术和技术标准完成。作为影视作品的幕后指挥官，制片人的工作不仅关乎…</x:v>
      </x:c>
      <x:c r="L513" s="26" t="str">
        <x:v>1. 负责项目从策划阶段至后期制作的全过程管理，确保各阶段任务按时高质量完成。 2. 组织并领导项目团队，明确分工，激发团队成员潜能，提高整体工作效率。 3. 制定详细的拍摄计划和预算方案，合理分配资金，有效控制成本，保…</x:v>
      </x:c>
    </x:row>
    <x:row r="514" ht="72" customHeight="1">
      <x:c r="A514" s="25" t="n">
        <x:v>11406</x:v>
      </x:c>
      <x:c r="B514" s="25" t="str">
        <x:v>IC-L3-663</x:v>
      </x:c>
      <x:c r="C514" s="25" t="str">
        <x:v>后期制作</x:v>
      </x:c>
      <x:c r="D514" s="25" t="str">
        <x:v>2-09-06-01</x:v>
      </x:c>
      <x:c r="E514" s="25" t="str">
        <x:v>视觉传达设计人员</x:v>
      </x:c>
      <x:c r="F514" s="28" t="n">
        <x:f>COUNTIF('岗位-产业节点关系'!$C$4:$C$709,B514)</x:f>
        <x:v>1</x:v>
      </x:c>
      <x:c r="G514" s="26" t="str">
        <x:f>IF(F514=0,"未匹配（现有产业链范围未覆盖或证据不足）",IF(COUNTIFS('岗位-产业节点关系'!$C$4:$C$709,B514,'岗位-产业节点关系'!$M$4:$M$709,"低")&gt;0,"已匹配，建议复核","已匹配"))</x:f>
        <x:v>已匹配，建议复核</x:v>
      </x:c>
      <x:c r="H514" s="26" t="str">
        <x:v>低</x:v>
      </x:c>
      <x:c r="I514" s="26" t="str">
        <x:v>ICN003</x:v>
      </x:c>
      <x:c r="J514" s="26" t="str">
        <x:v>数据要素与数字经济产业链/下游/数字经济场景应用与内容创意</x:v>
      </x:c>
      <x:c r="K514" s="26" t="str">
        <x:v>后期制作者在影视/媒体行业中扮演着至关重要的角色，他们是将原始素材转化为最终成品的关键人物。通过剪辑、调色、特效等技术手段，他们不仅能够提升作品的艺术品质，还能确保项目按时交付，满足客户或观众的期待。此外，后期制作人员与…</x:v>
      </x:c>
      <x:c r="L514" s="26" t="str">
        <x:v>1. 负责视频项目的剪辑工作，根据剧本和导演要求，合理安排镜头顺序，保证故事连贯性和逻辑性。 2. 运用专业软件进行色彩校正和视觉特效处理，提升画面质量，营造特定氛围，强化情感表达。 3. 协调音效师完成音频编辑任务，确…</x:v>
      </x:c>
    </x:row>
    <x:row r="515" ht="72" customHeight="1">
      <x:c r="A515" s="25" t="n">
        <x:v>11407</x:v>
      </x:c>
      <x:c r="B515" s="25" t="str">
        <x:v>IC-L3-664</x:v>
      </x:c>
      <x:c r="C515" s="25" t="str">
        <x:v>导演/编导</x:v>
      </x:c>
      <x:c r="D515" s="25" t="str">
        <x:v>2-09-06-01</x:v>
      </x:c>
      <x:c r="E515" s="25" t="str">
        <x:v>视觉传达设计人员</x:v>
      </x:c>
      <x:c r="F515" s="28" t="n">
        <x:f>COUNTIF('岗位-产业节点关系'!$C$4:$C$709,B515)</x:f>
        <x:v>1</x:v>
      </x:c>
      <x:c r="G515" s="26" t="str">
        <x:f>IF(F515=0,"未匹配（现有产业链范围未覆盖或证据不足）",IF(COUNTIFS('岗位-产业节点关系'!$C$4:$C$709,B515,'岗位-产业节点关系'!$M$4:$M$709,"低")&gt;0,"已匹配，建议复核","已匹配"))</x:f>
        <x:v>已匹配</x:v>
      </x:c>
      <x:c r="H515" s="26" t="str">
        <x:v>中</x:v>
      </x:c>
      <x:c r="I515" s="26" t="str">
        <x:v>ICN003</x:v>
      </x:c>
      <x:c r="J515" s="26" t="str">
        <x:v>数据要素与数字经济产业链/下游/数字经济场景应用与内容创意</x:v>
      </x:c>
      <x:c r="K515" s="26" t="str">
        <x:v>导演/编导是文化/传媒行业中影视/媒体方向的关键角色之一，他们不仅负责作品的艺术创作与技术实现，更是项目成功与否的灵魂人物。通过独特的视角和创新的手法，导演/编导能够将剧本转化为富有感染力的视听盛宴，塑造出深入人心的故事…</x:v>
      </x:c>
      <x:c r="L515" s="26" t="str">
        <x:v>1. 负责影视项目的整体创意设计与风格把控，确保最终成品符合项目预期及市场需求。 2. 组织并指导拍摄现场工作，包括但不限于镜头调度、演员表演、场景布置等，以达到最佳视觉效果。 3. 与剪辑师密切配合，监督后期制作流程，…</x:v>
      </x:c>
    </x:row>
    <x:row r="516" ht="72" customHeight="1">
      <x:c r="A516" s="25" t="n">
        <x:v>11408</x:v>
      </x:c>
      <x:c r="B516" s="25" t="str">
        <x:v>IC-L3-665</x:v>
      </x:c>
      <x:c r="C516" s="25" t="str">
        <x:v>影视策划/制作人员</x:v>
      </x:c>
      <x:c r="D516" s="25" t="str">
        <x:v>2-06-07-03</x:v>
      </x:c>
      <x:c r="E516" s="25" t="str">
        <x:v>商务策划专业人员</x:v>
      </x:c>
      <x:c r="F516" s="28" t="n">
        <x:f>COUNTIF('岗位-产业节点关系'!$C$4:$C$709,B516)</x:f>
        <x:v>0</x:v>
      </x:c>
      <x:c r="G516" s="26" t="str">
        <x:f>IF(F516=0,"未匹配（现有产业链范围未覆盖或证据不足）",IF(COUNTIFS('岗位-产业节点关系'!$C$4:$C$709,B516,'岗位-产业节点关系'!$M$4:$M$709,"低")&gt;0,"已匹配，建议复核","已匹配"))</x:f>
        <x:v>未匹配（现有产业链范围未覆盖或证据不足）</x:v>
      </x:c>
      <x:c r="H516" s="26" t="str">
        <x:v>-</x:v>
      </x:c>
      <x:c r="I516" s="26" t="str"/>
      <x:c r="J516" s="26" t="str"/>
      <x:c r="K516" s="26" t="str">
        <x:v>影视策划/制作人员是文化/传媒行业中不可或缺的角色，他们负责从创意构思到最终作品呈现的全过程，确保项目能够吸引目标观众并传达核心信息。通过深入研究市场趋势、观众偏好及技术发展，策划与制作人员制定并执行详细的项目计划，不仅…</x:v>
      </x:c>
      <x:c r="L516" s="26" t="str">
        <x:v>1. 负责影视项目的前期调研工作，分析市场需求，确定项目定位与风格，确保作品符合目标受众期待。 2. 协调内部资源，组织召开项目启动会，明确各环节任务分配与时间节点，监督执行过程，保证项目按时高质量完成。 3. 与创意团…</x:v>
      </x:c>
    </x:row>
    <x:row r="517" ht="72" customHeight="1">
      <x:c r="A517" s="25" t="n">
        <x:v>11409</x:v>
      </x:c>
      <x:c r="B517" s="25" t="str">
        <x:v>IC-L3-666</x:v>
      </x:c>
      <x:c r="C517" s="25" t="str">
        <x:v>摄影师/摄像师</x:v>
      </x:c>
      <x:c r="D517" s="25" t="str">
        <x:v>2-09-06-01</x:v>
      </x:c>
      <x:c r="E517" s="25" t="str">
        <x:v>视觉传达设计人员</x:v>
      </x:c>
      <x:c r="F517" s="28" t="n">
        <x:f>COUNTIF('岗位-产业节点关系'!$C$4:$C$709,B517)</x:f>
        <x:v>1</x:v>
      </x:c>
      <x:c r="G517" s="26" t="str">
        <x:f>IF(F517=0,"未匹配（现有产业链范围未覆盖或证据不足）",IF(COUNTIFS('岗位-产业节点关系'!$C$4:$C$709,B517,'岗位-产业节点关系'!$M$4:$M$709,"低")&gt;0,"已匹配，建议复核","已匹配"))</x:f>
        <x:v>已匹配</x:v>
      </x:c>
      <x:c r="H517" s="26" t="str">
        <x:v>中</x:v>
      </x:c>
      <x:c r="I517" s="26" t="str">
        <x:v>ICN003</x:v>
      </x:c>
      <x:c r="J517" s="26" t="str">
        <x:v>数据要素与数字经济产业链/下游/数字经济场景应用与内容创意</x:v>
      </x:c>
      <x:c r="K517" s="26" t="str">
        <x:v>在文化与传媒行业中，摄影师/摄像师是创造视觉故事的关键人物。他们不仅负责捕捉画面，更是在整个制作过程中发挥着不可替代的作用，通过镜头语言传达情感、营造氛围，为观众提供直观的艺术享受。 该职位的核心目标在于确保所有拍摄任务…</x:v>
      </x:c>
      <x:c r="L517" s="26" t="str">
        <x:v>1. 负责根据项目需求进行现场拍摄，确保画面质量符合艺术要求和商业目的。 2. 与导演、制片人等沟通协调，理解并实现其对镜头语言的具体设想。 3. 在拍摄前做好充分准备，包括设备检查、场地考察等工作，确保拍摄流程顺畅无误…</x:v>
      </x:c>
    </x:row>
    <x:row r="518" ht="72" customHeight="1">
      <x:c r="A518" s="25" t="n">
        <x:v>11410</x:v>
      </x:c>
      <x:c r="B518" s="25" t="str">
        <x:v>IC-L3-667</x:v>
      </x:c>
      <x:c r="C518" s="25" t="str">
        <x:v>放映员</x:v>
      </x:c>
      <x:c r="D518" s="25" t="str">
        <x:v>2-09-06-01</x:v>
      </x:c>
      <x:c r="E518" s="25" t="str">
        <x:v>视觉传达设计人员</x:v>
      </x:c>
      <x:c r="F518" s="28" t="n">
        <x:f>COUNTIF('岗位-产业节点关系'!$C$4:$C$709,B518)</x:f>
        <x:v>0</x:v>
      </x:c>
      <x:c r="G518" s="26" t="str">
        <x:f>IF(F518=0,"未匹配（现有产业链范围未覆盖或证据不足）",IF(COUNTIFS('岗位-产业节点关系'!$C$4:$C$709,B518,'岗位-产业节点关系'!$M$4:$M$709,"低")&gt;0,"已匹配，建议复核","已匹配"))</x:f>
        <x:v>未匹配（现有产业链范围未覆盖或证据不足）</x:v>
      </x:c>
      <x:c r="H518" s="26" t="str">
        <x:v>-</x:v>
      </x:c>
      <x:c r="I518" s="26" t="str"/>
      <x:c r="J518" s="26" t="str"/>
      <x:c r="K518" s="26" t="str">
        <x:v>放映员是文化/传媒行业中不可或缺的角色之一，尤其在影视/媒体领域中扮演着至关重要的技术执行者。他们负责确保电影或视频内容能够以最佳状态呈现给观众，不仅影响观影体验的质量，也是连接创作与受众的重要桥梁。 该职位的核心目标在…</x:v>
      </x:c>
      <x:c r="L518" s="26" t="str">
        <x:v>1. 负责安装、调试和操作各种类型的放映设备，确保所有硬件设施处于良好工作状态。 2. 定期检查和维护放映系统，预防故障发生，一旦出现问题能迅速采取措施进行修复。 3. 在电影放映前进行全面的技术准备，包括但不限于音视频…</x:v>
      </x:c>
    </x:row>
    <x:row r="519" ht="72" customHeight="1">
      <x:c r="A519" s="25" t="n">
        <x:v>11411</x:v>
      </x:c>
      <x:c r="B519" s="25" t="str">
        <x:v>IC-L3-668</x:v>
      </x:c>
      <x:c r="C519" s="25" t="str">
        <x:v>放映经理/主管</x:v>
      </x:c>
      <x:c r="D519" s="25" t="str">
        <x:v>2-09-06-01</x:v>
      </x:c>
      <x:c r="E519" s="25" t="str">
        <x:v>视觉传达设计人员</x:v>
      </x:c>
      <x:c r="F519" s="28" t="n">
        <x:f>COUNTIF('岗位-产业节点关系'!$C$4:$C$709,B519)</x:f>
        <x:v>0</x:v>
      </x:c>
      <x:c r="G519" s="26" t="str">
        <x:f>IF(F519=0,"未匹配（现有产业链范围未覆盖或证据不足）",IF(COUNTIFS('岗位-产业节点关系'!$C$4:$C$709,B519,'岗位-产业节点关系'!$M$4:$M$709,"低")&gt;0,"已匹配，建议复核","已匹配"))</x:f>
        <x:v>未匹配（现有产业链范围未覆盖或证据不足）</x:v>
      </x:c>
      <x:c r="H519" s="26" t="str">
        <x:v>-</x:v>
      </x:c>
      <x:c r="I519" s="26" t="str"/>
      <x:c r="J519" s="26" t="str"/>
      <x:c r="K519" s="26" t="str">
        <x:v>放映经理或主管是文化与传媒行业中不可或缺的角色，尤其在影视媒体领域内扮演着重要的角色。他们不仅负责确保影院放映设备的正常运行，还承担着提升观影体验、维护品牌形象的责任，是连接电影制作者与观众的关键桥梁。 作为放映部门的领…</x:v>
      </x:c>
      <x:c r="L519" s="26" t="str">
        <x:v>1. 负责影院放映系统的日常维护与故障排除，确保所有设备处于最佳工作状态，提供无中断的观影服务。 2. 制定并实施放映质量控制标准，监督放映流程，确保每次放映均能达到高标准的视听效果。 3. 管理放映团队，包括但不限于人…</x:v>
      </x:c>
    </x:row>
    <x:row r="520" ht="72" customHeight="1">
      <x:c r="A520" s="25" t="n">
        <x:v>11412</x:v>
      </x:c>
      <x:c r="B520" s="25" t="str">
        <x:v>IC-L3-669</x:v>
      </x:c>
      <x:c r="C520" s="25" t="str">
        <x:v>灯光师</x:v>
      </x:c>
      <x:c r="D520" s="25" t="str">
        <x:v>2-09-06-01</x:v>
      </x:c>
      <x:c r="E520" s="25" t="str">
        <x:v>视觉传达设计人员</x:v>
      </x:c>
      <x:c r="F520" s="28" t="n">
        <x:f>COUNTIF('岗位-产业节点关系'!$C$4:$C$709,B520)</x:f>
        <x:v>0</x:v>
      </x:c>
      <x:c r="G520" s="26" t="str">
        <x:f>IF(F520=0,"未匹配（现有产业链范围未覆盖或证据不足）",IF(COUNTIFS('岗位-产业节点关系'!$C$4:$C$709,B520,'岗位-产业节点关系'!$M$4:$M$709,"低")&gt;0,"已匹配，建议复核","已匹配"))</x:f>
        <x:v>未匹配（现有产业链范围未覆盖或证据不足）</x:v>
      </x:c>
      <x:c r="H520" s="26" t="str">
        <x:v>-</x:v>
      </x:c>
      <x:c r="I520" s="26" t="str"/>
      <x:c r="J520" s="26" t="str"/>
      <x:c r="K520" s="26" t="str">
        <x:v>灯光师是影视制作中不可或缺的专业技术人才，在整个拍摄过程中扮演着至关重要的角色。通过精心设计与操作灯光设备，他们能够营造出符合剧本要求的画面氛围，提升视觉效果，使观众更好地沉浸在故事之中。作为公司创意团队的一员，灯光师不…</x:v>
      </x:c>
      <x:c r="L520" s="26" t="str">
        <x:v>1. 根据项目需求及导演意图，制定详细的灯光设计方案，确保画面色彩和谐统一，突出主题。 2. 负责现场灯光布置与调试工作，保证拍摄过程中灯光效果达到预期标准。 3. 与摄影指导紧密合作，不断调整优化灯光方案，解决突发状况…</x:v>
      </x:c>
    </x:row>
    <x:row r="521" ht="72" customHeight="1">
      <x:c r="A521" s="25" t="n">
        <x:v>11413</x:v>
      </x:c>
      <x:c r="B521" s="25" t="str">
        <x:v>IC-L3-670</x:v>
      </x:c>
      <x:c r="C521" s="25" t="str">
        <x:v>直播助理</x:v>
      </x:c>
      <x:c r="D521" s="25" t="str">
        <x:v>2-09-06-01</x:v>
      </x:c>
      <x:c r="E521" s="25" t="str">
        <x:v>视觉传达设计人员</x:v>
      </x:c>
      <x:c r="F521" s="28" t="n">
        <x:f>COUNTIF('岗位-产业节点关系'!$C$4:$C$709,B521)</x:f>
        <x:v>1</x:v>
      </x:c>
      <x:c r="G521" s="26" t="str">
        <x:f>IF(F521=0,"未匹配（现有产业链范围未覆盖或证据不足）",IF(COUNTIFS('岗位-产业节点关系'!$C$4:$C$709,B521,'岗位-产业节点关系'!$M$4:$M$709,"低")&gt;0,"已匹配，建议复核","已匹配"))</x:f>
        <x:v>已匹配</x:v>
      </x:c>
      <x:c r="H521" s="26" t="str">
        <x:v>中</x:v>
      </x:c>
      <x:c r="I521" s="26" t="str">
        <x:v>ICN003</x:v>
      </x:c>
      <x:c r="J521" s="26" t="str">
        <x:v>数据要素与数字经济产业链/下游/数字经济场景应用与内容创意</x:v>
      </x:c>
      <x:c r="K521" s="26" t="str">
        <x:v>直播助理是文化与传媒行业中不可或缺的角色之一，尤其在影视/媒体领域，随着互联网直播的兴起，这一职位的重要性日益凸显。直播助理不仅负责直播活动的技术支持，还承担着与观众互动、提升直播质量等多重任务，是连接主播与观众的重要桥…</x:v>
      </x:c>
      <x:c r="L521" s="26" t="str">
        <x:v>1. 负责直播前的准备工作，包括设备检查、网络测试及场地布置，确保直播环境的安全稳定。 2. 协助主播进行内容创作，根据节目需求准备相关素材，提升直播内容的吸引力和互动性。 3. 监控直播过程中的各项指标，及时发现并解决…</x:v>
      </x:c>
    </x:row>
    <x:row r="522" ht="72" customHeight="1">
      <x:c r="A522" s="25" t="n">
        <x:v>11414</x:v>
      </x:c>
      <x:c r="B522" s="25" t="str">
        <x:v>IC-L3-671</x:v>
      </x:c>
      <x:c r="C522" s="25" t="str">
        <x:v>直播场控</x:v>
      </x:c>
      <x:c r="D522" s="25" t="str">
        <x:v>2-09-06-01</x:v>
      </x:c>
      <x:c r="E522" s="25" t="str">
        <x:v>视觉传达设计人员</x:v>
      </x:c>
      <x:c r="F522" s="28" t="n">
        <x:f>COUNTIF('岗位-产业节点关系'!$C$4:$C$709,B522)</x:f>
        <x:v>1</x:v>
      </x:c>
      <x:c r="G522" s="26" t="str">
        <x:f>IF(F522=0,"未匹配（现有产业链范围未覆盖或证据不足）",IF(COUNTIFS('岗位-产业节点关系'!$C$4:$C$709,B522,'岗位-产业节点关系'!$M$4:$M$709,"低")&gt;0,"已匹配，建议复核","已匹配"))</x:f>
        <x:v>已匹配</x:v>
      </x:c>
      <x:c r="H522" s="26" t="str">
        <x:v>中</x:v>
      </x:c>
      <x:c r="I522" s="26" t="str">
        <x:v>ICN003</x:v>
      </x:c>
      <x:c r="J522" s="26" t="str">
        <x:v>数据要素与数字经济产业链/下游/数字经济场景应用与内容创意</x:v>
      </x:c>
      <x:c r="K522" s="26" t="str">
        <x:v>直播场控是文化/传媒行业中，特别是在影视/媒体领域内不可或缺的角色之一。该职位主要负责直播活动的现场控制与协调，确保直播流程顺畅进行，对于提升用户体验和直播效果具有至关重要的作用。通过精准把控节目节奏、及时处理突发状况，…</x:v>
      </x:c>
      <x:c r="L522" s="26" t="str">
        <x:v>1. 负责直播前的各项准备工作，包括但不限于设备调试、网络环境检测等，确保直播顺利开始。 2. 监控直播过程中的画面质量、音效效果及互动环节，及时发现并解决可能出现的技术问题或异常情况。 3. 与主播及其他工作人员保持良…</x:v>
      </x:c>
    </x:row>
    <x:row r="523" ht="72" customHeight="1">
      <x:c r="A523" s="25" t="n">
        <x:v>11415</x:v>
      </x:c>
      <x:c r="B523" s="25" t="str">
        <x:v>IC-L3-672</x:v>
      </x:c>
      <x:c r="C523" s="25" t="str">
        <x:v>编剧</x:v>
      </x:c>
      <x:c r="D523" s="25" t="str">
        <x:v>2-09-06-01</x:v>
      </x:c>
      <x:c r="E523" s="25" t="str">
        <x:v>视觉传达设计人员</x:v>
      </x:c>
      <x:c r="F523" s="28" t="n">
        <x:f>COUNTIF('岗位-产业节点关系'!$C$4:$C$709,B523)</x:f>
        <x:v>1</x:v>
      </x:c>
      <x:c r="G523" s="26" t="str">
        <x:f>IF(F523=0,"未匹配（现有产业链范围未覆盖或证据不足）",IF(COUNTIFS('岗位-产业节点关系'!$C$4:$C$709,B523,'岗位-产业节点关系'!$M$4:$M$709,"低")&gt;0,"已匹配，建议复核","已匹配"))</x:f>
        <x:v>已匹配</x:v>
      </x:c>
      <x:c r="H523" s="26" t="str">
        <x:v>中</x:v>
      </x:c>
      <x:c r="I523" s="26" t="str">
        <x:v>ICN002</x:v>
      </x:c>
      <x:c r="J523" s="26" t="str">
        <x:v>数据要素与数字经济产业链/中游/数据治理、流通与服务</x:v>
      </x:c>
      <x:c r="K523" s="26" t="str">
        <x:v>在文化与传媒行业中，编剧是影视作品的灵魂塑造者，他们通过创意性的故事构思和人物设定，为观众带来丰富的情感体验和深刻的文化内涵。这一职位不仅是影视制作流程中的关键环节，也是连接艺术创作与市场需求的重要桥梁。 编剧的核心目标…</x:v>
      </x:c>
      <x:c r="L523" s="26" t="str">
        <x:v>1. 根据项目需求进行前期调研，收集相关资料，为剧本创作提供真实可信的背景支持。 2. 设计独特且富有吸引力的角色形象，编写完整的故事大纲及分集剧情梗概。 3. 与导演、制片人密切沟通，及时调整和完善剧本内容，确保最终作…</x:v>
      </x:c>
    </x:row>
    <x:row r="524" ht="72" customHeight="1">
      <x:c r="A524" s="25" t="n">
        <x:v>11416</x:v>
      </x:c>
      <x:c r="B524" s="25" t="str">
        <x:v>IC-L3-673</x:v>
      </x:c>
      <x:c r="C524" s="25" t="str">
        <x:v>艺术/设计总监</x:v>
      </x:c>
      <x:c r="D524" s="25" t="str">
        <x:v>2-09-06-01</x:v>
      </x:c>
      <x:c r="E524" s="25" t="str">
        <x:v>视觉传达设计人员</x:v>
      </x:c>
      <x:c r="F524" s="28" t="n">
        <x:f>COUNTIF('岗位-产业节点关系'!$C$4:$C$709,B524)</x:f>
        <x:v>0</x:v>
      </x:c>
      <x:c r="G524" s="26" t="str">
        <x:f>IF(F524=0,"未匹配（现有产业链范围未覆盖或证据不足）",IF(COUNTIFS('岗位-产业节点关系'!$C$4:$C$709,B524,'岗位-产业节点关系'!$M$4:$M$709,"低")&gt;0,"已匹配，建议复核","已匹配"))</x:f>
        <x:v>未匹配（现有产业链范围未覆盖或证据不足）</x:v>
      </x:c>
      <x:c r="H524" s="26" t="str">
        <x:v>-</x:v>
      </x:c>
      <x:c r="I524" s="26" t="str"/>
      <x:c r="J524" s="26" t="str"/>
      <x:c r="K524" s="26" t="str">
        <x:v>艺术/设计总监是文化/传媒行业中至关重要的角色之一，尤其在影视/媒体领域中扮演着创意引领者的角色。作为视觉传达的灵魂人物，他们不仅负责塑造品牌形象，还直接参与产品或项目的创意构思与视觉风格制定，确保作品的艺术质量和市场竞…</x:v>
      </x:c>
      <x:c r="L524" s="26" t="str">
        <x:v>1. 负责制定并执行整体视觉风格和品牌形象设计策略，确保所有输出内容符合公司定位及市场需求。 2. 领导并激励设计团队，提供专业指导和支持，激发团队成员的创造力，保证项目按时按质完成。 3. 与客户或其他业务部门密切配合…</x:v>
      </x:c>
    </x:row>
    <x:row r="525" ht="72" customHeight="1">
      <x:c r="A525" s="25" t="n">
        <x:v>11417</x:v>
      </x:c>
      <x:c r="B525" s="25" t="str">
        <x:v>IC-L3-674</x:v>
      </x:c>
      <x:c r="C525" s="25" t="str">
        <x:v>艺术指导/舞台美术设计</x:v>
      </x:c>
      <x:c r="D525" s="25" t="str">
        <x:v>2-09-06-01</x:v>
      </x:c>
      <x:c r="E525" s="25" t="str">
        <x:v>视觉传达设计人员</x:v>
      </x:c>
      <x:c r="F525" s="28" t="n">
        <x:f>COUNTIF('岗位-产业节点关系'!$C$4:$C$709,B525)</x:f>
        <x:v>1</x:v>
      </x:c>
      <x:c r="G525" s="26" t="str">
        <x:f>IF(F525=0,"未匹配（现有产业链范围未覆盖或证据不足）",IF(COUNTIFS('岗位-产业节点关系'!$C$4:$C$709,B525,'岗位-产业节点关系'!$M$4:$M$709,"低")&gt;0,"已匹配，建议复核","已匹配"))</x:f>
        <x:v>已匹配</x:v>
      </x:c>
      <x:c r="H525" s="26" t="str">
        <x:v>中</x:v>
      </x:c>
      <x:c r="I525" s="26" t="str">
        <x:v>ICN002</x:v>
      </x:c>
      <x:c r="J525" s="26" t="str">
        <x:v>数据要素与数字经济产业链/中游/数据治理、流通与服务</x:v>
      </x:c>
      <x:c r="K525" s="26" t="str">
        <x:v>艺术指导/舞台美术设计是文化/传媒行业中不可或缺的角色，尤其在影视/媒体领域中，他们负责创造视觉上令人印象深刻的场景，为故事讲述提供强有力的支持。通过与导演、制片人及创意团队紧密合作，艺术指导确保作品的艺术风格统一，从概…</x:v>
      </x:c>
      <x:c r="L525" s="26" t="str">
        <x:v>1. 负责影视剧或舞台剧项目的整体视觉风格设计，包括但不限于场景布局、色彩搭配、道具选择等，确保设计方案能够准确传达剧本意图并吸引目标受众。 2. 与导演、编剧、摄影等关键岗位沟通协调，共同确定艺术表现形式，解决创作过程…</x:v>
      </x:c>
    </x:row>
    <x:row r="526" ht="72" customHeight="1">
      <x:c r="A526" s="25" t="n">
        <x:v>11418</x:v>
      </x:c>
      <x:c r="B526" s="25" t="str">
        <x:v>IC-L3-675</x:v>
      </x:c>
      <x:c r="C526" s="25" t="str">
        <x:v>视频剪辑</x:v>
      </x:c>
      <x:c r="D526" s="25" t="str">
        <x:v>2-09-06-01</x:v>
      </x:c>
      <x:c r="E526" s="25" t="str">
        <x:v>视觉传达设计人员</x:v>
      </x:c>
      <x:c r="F526" s="28" t="n">
        <x:f>COUNTIF('岗位-产业节点关系'!$C$4:$C$709,B526)</x:f>
        <x:v>1</x:v>
      </x:c>
      <x:c r="G526" s="26" t="str">
        <x:f>IF(F526=0,"未匹配（现有产业链范围未覆盖或证据不足）",IF(COUNTIFS('岗位-产业节点关系'!$C$4:$C$709,B526,'岗位-产业节点关系'!$M$4:$M$709,"低")&gt;0,"已匹配，建议复核","已匹配"))</x:f>
        <x:v>已匹配</x:v>
      </x:c>
      <x:c r="H526" s="26" t="str">
        <x:v>高</x:v>
      </x:c>
      <x:c r="I526" s="26" t="str">
        <x:v>ICN003</x:v>
      </x:c>
      <x:c r="J526" s="26" t="str">
        <x:v>数据要素与数字经济产业链/下游/数字经济场景应用与内容创意</x:v>
      </x:c>
      <x:c r="K526" s="26" t="str">
        <x:v>视频剪辑师是文化与传媒行业中不可或缺的专业人才，在影视制作和媒体传播中扮演着关键角色。他们负责将拍摄素材进行创造性编辑，确保最终作品的艺术性和观赏性达到最佳状态。通过精准把握影片节奏、情感表达及视觉效果，视频剪辑师能够有…</x:v>
      </x:c>
      <x:c r="L526" s="26" t="str">
        <x:v>1. 根据项目需求，独立完成视频素材的整理分类工作，保证素材使用的准确性和高效性。 2. 运用专业软件（如Premiere Pro, Final Cut Pro等）进行视频剪辑，包括但不限于镜头选择、画面过渡、音效处理等…</x:v>
      </x:c>
    </x:row>
    <x:row r="527" ht="72" customHeight="1">
      <x:c r="A527" s="25" t="n">
        <x:v>11419</x:v>
      </x:c>
      <x:c r="B527" s="25" t="str">
        <x:v>IC-L3-676</x:v>
      </x:c>
      <x:c r="C527" s="25" t="str">
        <x:v>配音员</x:v>
      </x:c>
      <x:c r="D527" s="25" t="str">
        <x:v>2-09-06-01</x:v>
      </x:c>
      <x:c r="E527" s="25" t="str">
        <x:v>视觉传达设计人员</x:v>
      </x:c>
      <x:c r="F527" s="28" t="n">
        <x:f>COUNTIF('岗位-产业节点关系'!$C$4:$C$709,B527)</x:f>
        <x:v>0</x:v>
      </x:c>
      <x:c r="G527" s="26" t="str">
        <x:f>IF(F527=0,"未匹配（现有产业链范围未覆盖或证据不足）",IF(COUNTIFS('岗位-产业节点关系'!$C$4:$C$709,B527,'岗位-产业节点关系'!$M$4:$M$709,"低")&gt;0,"已匹配，建议复核","已匹配"))</x:f>
        <x:v>未匹配（现有产业链范围未覆盖或证据不足）</x:v>
      </x:c>
      <x:c r="H527" s="26" t="str">
        <x:v>-</x:v>
      </x:c>
      <x:c r="I527" s="26" t="str"/>
      <x:c r="J527" s="26" t="str"/>
      <x:c r="K527" s="26" t="str">
        <x:v>配音员在文化与传媒行业中扮演着至关重要的角色，他们是连接作品与观众之间情感桥梁的关键一环。通过精准的声音表现力，配音员能够赋予角色生命，使故事情节更加生动感人，极大地增强了影视作品的艺术感染力和市场竞争力。对于公司而言，…</x:v>
      </x:c>
      <x:c r="L527" s="26" t="str">
        <x:v>1. 根据剧本要求，准确把握角色的性格特征，为动画、电影、电视剧等各类影视作品中的角色提供高质量的声音表演。 2. 与导演、制作人及其他演职人员沟通交流，理解项目风格和需求，确保自己的表演与整体艺术方向相一致。 3. 在…</x:v>
      </x:c>
    </x:row>
    <x:row r="528" ht="72" customHeight="1">
      <x:c r="A528" s="25" t="n">
        <x:v>11420</x:v>
      </x:c>
      <x:c r="B528" s="25" t="str">
        <x:v>IC-L3-677</x:v>
      </x:c>
      <x:c r="C528" s="25" t="str">
        <x:v>音效师</x:v>
      </x:c>
      <x:c r="D528" s="25" t="str">
        <x:v>2-09-06-01</x:v>
      </x:c>
      <x:c r="E528" s="25" t="str">
        <x:v>视觉传达设计人员</x:v>
      </x:c>
      <x:c r="F528" s="28" t="n">
        <x:f>COUNTIF('岗位-产业节点关系'!$C$4:$C$709,B528)</x:f>
        <x:v>1</x:v>
      </x:c>
      <x:c r="G528" s="26" t="str">
        <x:f>IF(F528=0,"未匹配（现有产业链范围未覆盖或证据不足）",IF(COUNTIFS('岗位-产业节点关系'!$C$4:$C$709,B528,'岗位-产业节点关系'!$M$4:$M$709,"低")&gt;0,"已匹配，建议复核","已匹配"))</x:f>
        <x:v>已匹配</x:v>
      </x:c>
      <x:c r="H528" s="26" t="str">
        <x:v>中</x:v>
      </x:c>
      <x:c r="I528" s="26" t="str">
        <x:v>ICN003</x:v>
      </x:c>
      <x:c r="J528" s="26" t="str">
        <x:v>数据要素与数字经济产业链/下游/数字经济场景应用与内容创意</x:v>
      </x:c>
      <x:c r="K528" s="26" t="str">
        <x:v>音效师是影视制作中不可或缺的专业人才，负责创造和编辑影片中的声音效果，确保观众能够获得最佳的听觉体验。他们不仅需要具备良好的音乐素养和技术能力，还需要深刻理解剧本与导演的艺术构思，以实现声音与画面的完美融合。在影视/媒体…</x:v>
      </x:c>
      <x:c r="L528" s="26" t="str">
        <x:v>1. 根据剧本要求及导演意图，搜集、录制、编辑和合成各类音效素材，确保与画面内容高度匹配。 2. 负责项目中所有声音文件的管理和归档工作，保证资料完整性和可追溯性。 3. 与剪辑师密切沟通，精确同步音视频时间轴，确保音画…</x:v>
      </x:c>
    </x:row>
    <x:row r="529" ht="72" customHeight="1">
      <x:c r="A529" s="25" t="n">
        <x:v>11421</x:v>
      </x:c>
      <x:c r="B529" s="25" t="str">
        <x:v>IC-L3-678</x:v>
      </x:c>
      <x:c r="C529" s="25" t="str">
        <x:v>编辑</x:v>
      </x:c>
      <x:c r="D529" s="25" t="str">
        <x:v>2-09-06-01</x:v>
      </x:c>
      <x:c r="E529" s="25" t="str">
        <x:v>视觉传达设计人员</x:v>
      </x:c>
      <x:c r="F529" s="28" t="n">
        <x:f>COUNTIF('岗位-产业节点关系'!$C$4:$C$709,B529)</x:f>
        <x:v>1</x:v>
      </x:c>
      <x:c r="G529" s="26" t="str">
        <x:f>IF(F529=0,"未匹配（现有产业链范围未覆盖或证据不足）",IF(COUNTIFS('岗位-产业节点关系'!$C$4:$C$709,B529,'岗位-产业节点关系'!$M$4:$M$709,"低")&gt;0,"已匹配，建议复核","已匹配"))</x:f>
        <x:v>已匹配</x:v>
      </x:c>
      <x:c r="H529" s="26" t="str">
        <x:v>中</x:v>
      </x:c>
      <x:c r="I529" s="26" t="str">
        <x:v>ICN003</x:v>
      </x:c>
      <x:c r="J529" s="26" t="str">
        <x:v>数据要素与数字经济产业链/下游/数字经济场景应用与内容创意</x:v>
      </x:c>
      <x:c r="K529" s="26" t="str">
        <x:v>编辑是专门从事影视/媒体内容加工与优化的专业人员。该职位的核心目标是通过精准的内容把控和创意整合，提升作品的质量和传播效果。在日常工作中，需要进行素材筛选剪辑、叙事结构调整、字幕特效制作等工作。</x:v>
      </x:c>
      <x:c r="L529" s="26" t="str">
        <x:v>1. 审核修改影视剧本 2. 策划选题与内容方向 3. 把控节目内容质量 4. 协调编导创作团队 5. 优化剪辑叙事节奏 6. 跟进后期制作流程</x:v>
      </x:c>
    </x:row>
    <x:row r="530" ht="72" customHeight="1">
      <x:c r="A530" s="25" t="n">
        <x:v>11422</x:v>
      </x:c>
      <x:c r="B530" s="25" t="str">
        <x:v>IC-L3-679</x:v>
      </x:c>
      <x:c r="C530" s="25" t="str">
        <x:v>作家/撰稿人</x:v>
      </x:c>
      <x:c r="D530" s="25" t="str">
        <x:v>2-09-06-01</x:v>
      </x:c>
      <x:c r="E530" s="25" t="str">
        <x:v>视觉传达设计人员</x:v>
      </x:c>
      <x:c r="F530" s="28" t="n">
        <x:f>COUNTIF('岗位-产业节点关系'!$C$4:$C$709,B530)</x:f>
        <x:v>1</x:v>
      </x:c>
      <x:c r="G530" s="26" t="str">
        <x:f>IF(F530=0,"未匹配（现有产业链范围未覆盖或证据不足）",IF(COUNTIFS('岗位-产业节点关系'!$C$4:$C$709,B530,'岗位-产业节点关系'!$M$4:$M$709,"低")&gt;0,"已匹配，建议复核","已匹配"))</x:f>
        <x:v>已匹配</x:v>
      </x:c>
      <x:c r="H530" s="26" t="str">
        <x:v>高</x:v>
      </x:c>
      <x:c r="I530" s="26" t="str">
        <x:v>ICN002</x:v>
      </x:c>
      <x:c r="J530" s="26" t="str">
        <x:v>数据要素与数字经济产业链/中游/数据治理、流通与服务</x:v>
      </x:c>
      <x:c r="K530" s="26" t="str">
        <x:v>作家/撰稿人是专门从事影视媒体内容创作的专业人员。该职位的核心目标是通过撰写高质量的文字作品，实现内容传播与品牌影响力提升。在日常工作中，需要进行剧本创作、专题文章撰写、宣传文案策划及内容创意开发等工作。</x:v>
      </x:c>
      <x:c r="L530" s="26" t="str">
        <x:v>1. 创作影视剧本内容 2. 撰写媒体宣传文案 3. 策划专题报道选题 4. 修改完善稿件内容 5. 跟进项目创作进度 6. 收集行业热点素材</x:v>
      </x:c>
    </x:row>
    <x:row r="531" ht="72" customHeight="1">
      <x:c r="A531" s="25" t="n">
        <x:v>11423</x:v>
      </x:c>
      <x:c r="B531" s="25" t="str">
        <x:v>IC-L3-680</x:v>
      </x:c>
      <x:c r="C531" s="25" t="str">
        <x:v>总编/副总编</x:v>
      </x:c>
      <x:c r="D531" s="25" t="str">
        <x:v>2-09-06-01</x:v>
      </x:c>
      <x:c r="E531" s="25" t="str">
        <x:v>视觉传达设计人员</x:v>
      </x:c>
      <x:c r="F531" s="28" t="n">
        <x:f>COUNTIF('岗位-产业节点关系'!$C$4:$C$709,B531)</x:f>
        <x:v>0</x:v>
      </x:c>
      <x:c r="G531" s="26" t="str">
        <x:f>IF(F531=0,"未匹配（现有产业链范围未覆盖或证据不足）",IF(COUNTIFS('岗位-产业节点关系'!$C$4:$C$709,B531,'岗位-产业节点关系'!$M$4:$M$709,"低")&gt;0,"已匹配，建议复核","已匹配"))</x:f>
        <x:v>未匹配（现有产业链范围未覆盖或证据不足）</x:v>
      </x:c>
      <x:c r="H531" s="26" t="str">
        <x:v>-</x:v>
      </x:c>
      <x:c r="I531" s="26" t="str"/>
      <x:c r="J531" s="26" t="str"/>
      <x:c r="K531" s="26" t="str">
        <x:v>总编/副总编是专门从事影视媒体内容策划与管理的专业人员。该职位的核心目标是通过制定内容战略和把控创作方向，提升媒体品牌影响力。在日常工作中，需要进行选题策划、内容审核、团队管理等工作。</x:v>
      </x:c>
      <x:c r="L531" s="26" t="str">
        <x:v>1. 制定内容发展战略 2. 把控影视内容质量 3. 指导选题策划方向 4. 统筹编审工作流程 5. 管理编辑团队建设 6. 评估传播效果数据</x:v>
      </x:c>
    </x:row>
    <x:row r="532" ht="72" customHeight="1">
      <x:c r="A532" s="25" t="n">
        <x:v>11424</x:v>
      </x:c>
      <x:c r="B532" s="25" t="str">
        <x:v>IC-L3-681</x:v>
      </x:c>
      <x:c r="C532" s="25" t="str">
        <x:v>记者</x:v>
      </x:c>
      <x:c r="D532" s="25" t="str">
        <x:v>2-09-06-01</x:v>
      </x:c>
      <x:c r="E532" s="25" t="str">
        <x:v>视觉传达设计人员</x:v>
      </x:c>
      <x:c r="F532" s="28" t="n">
        <x:f>COUNTIF('岗位-产业节点关系'!$C$4:$C$709,B532)</x:f>
        <x:v>1</x:v>
      </x:c>
      <x:c r="G532" s="26" t="str">
        <x:f>IF(F532=0,"未匹配（现有产业链范围未覆盖或证据不足）",IF(COUNTIFS('岗位-产业节点关系'!$C$4:$C$709,B532,'岗位-产业节点关系'!$M$4:$M$709,"低")&gt;0,"已匹配，建议复核","已匹配"))</x:f>
        <x:v>已匹配</x:v>
      </x:c>
      <x:c r="H532" s="26" t="str">
        <x:v>中</x:v>
      </x:c>
      <x:c r="I532" s="26" t="str">
        <x:v>ICN003</x:v>
      </x:c>
      <x:c r="J532" s="26" t="str">
        <x:v>数据要素与数字经济产业链/下游/数字经济场景应用与内容创意</x:v>
      </x:c>
      <x:c r="K532" s="26" t="str">
        <x:v>记者是专门从事新闻采集与报道的专业人员。该职位的核心目标是通过深入调查和客观呈现，为影视/媒体行业提供及时、准确的新闻资讯。在日常工作中，需要进行选题策划、现场采访、稿件撰写、视频拍摄及后期编辑等工作。</x:v>
      </x:c>
      <x:c r="L532" s="26" t="str">
        <x:v>1. 采集新闻素材 2. 撰写新闻报道 3. 进行人物专访 4. 跟进热点事件 5. 核实信息真实性 6. 维护媒体关系</x:v>
      </x:c>
    </x:row>
    <x:row r="533" ht="72" customHeight="1">
      <x:c r="A533" s="25" t="n">
        <x:v>11425</x:v>
      </x:c>
      <x:c r="B533" s="25" t="str">
        <x:v>IC-L3-682</x:v>
      </x:c>
      <x:c r="C533" s="25" t="str">
        <x:v>美术编辑</x:v>
      </x:c>
      <x:c r="D533" s="25" t="str">
        <x:v>2-09-06-01</x:v>
      </x:c>
      <x:c r="E533" s="25" t="str">
        <x:v>视觉传达设计人员</x:v>
      </x:c>
      <x:c r="F533" s="28" t="n">
        <x:f>COUNTIF('岗位-产业节点关系'!$C$4:$C$709,B533)</x:f>
        <x:v>1</x:v>
      </x:c>
      <x:c r="G533" s="26" t="str">
        <x:f>IF(F533=0,"未匹配（现有产业链范围未覆盖或证据不足）",IF(COUNTIFS('岗位-产业节点关系'!$C$4:$C$709,B533,'岗位-产业节点关系'!$M$4:$M$709,"低")&gt;0,"已匹配，建议复核","已匹配"))</x:f>
        <x:v>已匹配</x:v>
      </x:c>
      <x:c r="H533" s="26" t="str">
        <x:v>高</x:v>
      </x:c>
      <x:c r="I533" s="26" t="str">
        <x:v>ICN003</x:v>
      </x:c>
      <x:c r="J533" s="26" t="str">
        <x:v>数据要素与数字经济产业链/下游/数字经济场景应用与内容创意</x:v>
      </x:c>
      <x:c r="K533" s="26" t="str">
        <x:v>美术编辑是专门从事视觉内容创作与设计的专业人员。该职位的核心目标是通过艺术设计与视觉呈现，提升影视/媒体作品的视觉吸引力和品牌价值。在日常工作中，需要进行版面设计、视觉元素整合、色彩搭配及创意方案执行等工作。</x:v>
      </x:c>
      <x:c r="L533" s="26" t="str">
        <x:v>1. 设计影视宣传物料 2. 制作媒体视觉内容 3. 优化图像视频效果 4. 把控美术设计风格 5. 配合团队创意执行 6. 维护品牌视觉标准</x:v>
      </x:c>
    </x:row>
    <x:row r="534" ht="72" customHeight="1">
      <x:c r="A534" s="25" t="n">
        <x:v>11426</x:v>
      </x:c>
      <x:c r="B534" s="25" t="str">
        <x:v>IC-L3-683</x:v>
      </x:c>
      <x:c r="C534" s="25" t="str">
        <x:v>模特</x:v>
      </x:c>
      <x:c r="D534" s="25" t="str">
        <x:v>2-09-06-01</x:v>
      </x:c>
      <x:c r="E534" s="25" t="str">
        <x:v>视觉传达设计人员</x:v>
      </x:c>
      <x:c r="F534" s="28" t="n">
        <x:f>COUNTIF('岗位-产业节点关系'!$C$4:$C$709,B534)</x:f>
        <x:v>0</x:v>
      </x:c>
      <x:c r="G534" s="26" t="str">
        <x:f>IF(F534=0,"未匹配（现有产业链范围未覆盖或证据不足）",IF(COUNTIFS('岗位-产业节点关系'!$C$4:$C$709,B534,'岗位-产业节点关系'!$M$4:$M$709,"低")&gt;0,"已匹配，建议复核","已匹配"))</x:f>
        <x:v>未匹配（现有产业链范围未覆盖或证据不足）</x:v>
      </x:c>
      <x:c r="H534" s="26" t="str">
        <x:v>-</x:v>
      </x:c>
      <x:c r="I534" s="26" t="str"/>
      <x:c r="J534" s="26" t="str"/>
      <x:c r="K534" s="26" t="str">
        <x:v>模特是专门从事形象展示与表演的专业人员。该职位的核心目标是通过塑造符合剧本或品牌要求的形象，实现影视作品或商业广告的最佳视觉效果。在日常工作中，需要进行T台走秀、平面拍摄、动态表演及配合造型团队完成形象塑造等工作。</x:v>
      </x:c>
      <x:c r="L534" s="26" t="str">
        <x:v>1. 参与影视拍摄工作 2. 展示服装造型效果 3. 配合导演镜头要求 4. 保持专业镜头表现 5. 维护个人形象管理 6. 遵守拍摄现场纪律</x:v>
      </x:c>
    </x:row>
    <x:row r="535" ht="72" customHeight="1">
      <x:c r="A535" s="25" t="n">
        <x:v>11427</x:v>
      </x:c>
      <x:c r="B535" s="25" t="str">
        <x:v>IC-L3-684</x:v>
      </x:c>
      <x:c r="C535" s="25" t="str">
        <x:v>主播/主持人</x:v>
      </x:c>
      <x:c r="D535" s="25" t="str">
        <x:v>2-09-04-01</x:v>
      </x:c>
      <x:c r="E535" s="25" t="str">
        <x:v>灯光师</x:v>
      </x:c>
      <x:c r="F535" s="28" t="n">
        <x:f>COUNTIF('岗位-产业节点关系'!$C$4:$C$709,B535)</x:f>
        <x:v>0</x:v>
      </x:c>
      <x:c r="G535" s="26" t="str">
        <x:f>IF(F535=0,"未匹配（现有产业链范围未覆盖或证据不足）",IF(COUNTIFS('岗位-产业节点关系'!$C$4:$C$709,B535,'岗位-产业节点关系'!$M$4:$M$709,"低")&gt;0,"已匹配，建议复核","已匹配"))</x:f>
        <x:v>未匹配（现有产业链范围未覆盖或证据不足）</x:v>
      </x:c>
      <x:c r="H535" s="26" t="str">
        <x:v>-</x:v>
      </x:c>
      <x:c r="I535" s="26" t="str"/>
      <x:c r="J535" s="26" t="str"/>
      <x:c r="K535" s="26" t="str">
        <x:v>主播/主持人是文化/传媒行业中不可或缺的角色，他们不仅是信息传递的桥梁，也是品牌形象的重要组成部分。通过其独特的个人魅力与专业技能，能够吸引并维护广大观众群体，增强用户粘性。对于公司而言，优秀的主播/主持人不仅能够提升节…</x:v>
      </x:c>
      <x:c r="L535" s="26" t="str">
        <x:v>1. 负责各类节目的现场主持工作，确保节目流程顺畅进行，提升节目质量及收视效果。 2. 根据节目需求，参与前期策划会议，提出创意建议，并配合团队完成节目内容的制作。 3. 与观众建立良好互动关系，通过社交媒体等渠道积极回…</x:v>
      </x:c>
    </x:row>
    <x:row r="536" ht="72" customHeight="1">
      <x:c r="A536" s="25" t="n">
        <x:v>11428</x:v>
      </x:c>
      <x:c r="B536" s="25" t="str">
        <x:v>IC-L3-685</x:v>
      </x:c>
      <x:c r="C536" s="25" t="str">
        <x:v>主播助理</x:v>
      </x:c>
      <x:c r="D536" s="25" t="str">
        <x:v>2-09-04-01</x:v>
      </x:c>
      <x:c r="E536" s="25" t="str">
        <x:v>灯光师</x:v>
      </x:c>
      <x:c r="F536" s="28" t="n">
        <x:f>COUNTIF('岗位-产业节点关系'!$C$4:$C$709,B536)</x:f>
        <x:v>0</x:v>
      </x:c>
      <x:c r="G536" s="26" t="str">
        <x:f>IF(F536=0,"未匹配（现有产业链范围未覆盖或证据不足）",IF(COUNTIFS('岗位-产业节点关系'!$C$4:$C$709,B536,'岗位-产业节点关系'!$M$4:$M$709,"低")&gt;0,"已匹配，建议复核","已匹配"))</x:f>
        <x:v>未匹配（现有产业链范围未覆盖或证据不足）</x:v>
      </x:c>
      <x:c r="H536" s="26" t="str">
        <x:v>-</x:v>
      </x:c>
      <x:c r="I536" s="26" t="str"/>
      <x:c r="J536" s="26" t="str"/>
      <x:c r="K536" s="26" t="str">
        <x:v>主播助理是文化/传媒行业中不可或缺的角色，特别是在演员/主播领域内，他们作为主播与观众之间的桥梁，不仅支持主播完成直播任务，还负责维护直播间的良好氛围，确保直播活动顺利进行。主播助理的核心目标在于协助主播提高粉丝互动率、…</x:v>
      </x:c>
      <x:c r="L536" s="26" t="str">
        <x:v>1. 负责直播间日常运营工作，包括但不限于开播前的准备、直播过程中的互动管理以及直播结束后的总结分析，以提升用户体验和满意度。 2. 协助主播进行粉丝维护，定期组织线上线下活动，加强与粉丝的沟通联系，促进粉丝粘性的增长。…</x:v>
      </x:c>
    </x:row>
    <x:row r="537" ht="72" customHeight="1">
      <x:c r="A537" s="25" t="n">
        <x:v>11429</x:v>
      </x:c>
      <x:c r="B537" s="25" t="str">
        <x:v>IC-L3-686</x:v>
      </x:c>
      <x:c r="C537" s="25" t="str">
        <x:v>带货主播</x:v>
      </x:c>
      <x:c r="D537" s="25" t="str">
        <x:v>2-09-04-01</x:v>
      </x:c>
      <x:c r="E537" s="25" t="str">
        <x:v>灯光师</x:v>
      </x:c>
      <x:c r="F537" s="28" t="n">
        <x:f>COUNTIF('岗位-产业节点关系'!$C$4:$C$709,B537)</x:f>
        <x:v>0</x:v>
      </x:c>
      <x:c r="G537" s="26" t="str">
        <x:f>IF(F537=0,"未匹配（现有产业链范围未覆盖或证据不足）",IF(COUNTIFS('岗位-产业节点关系'!$C$4:$C$709,B537,'岗位-产业节点关系'!$M$4:$M$709,"低")&gt;0,"已匹配，建议复核","已匹配"))</x:f>
        <x:v>未匹配（现有产业链范围未覆盖或证据不足）</x:v>
      </x:c>
      <x:c r="H537" s="26" t="str">
        <x:v>-</x:v>
      </x:c>
      <x:c r="I537" s="26" t="str"/>
      <x:c r="J537" s="26" t="str"/>
      <x:c r="K537" s="26" t="str">
        <x:v>带货主播作为文化/传媒行业中新兴且关键的角色，通过直播平台直接与消费者互动，不仅促进了产品的销售，也增强了品牌影响力。在当今电商与社交媒体融合的趋势下，优秀的带货主播能够迅速捕捉市场动态，准确把握用户需求，有效提升转化率…</x:v>
      </x:c>
      <x:c r="L537" s="26" t="str">
        <x:v>1. 负责在指定时间进行直播带货，展示并介绍商品特点，解答观众疑问，激发购买欲望，实现销售目标。 2. 与产品经理沟通了解产品特性，参与选品会议，确保所推荐的商品符合目标客户群体的需求。 3. 根据公司策略及市场反馈调整…</x:v>
      </x:c>
    </x:row>
    <x:row r="538" ht="72" customHeight="1">
      <x:c r="A538" s="25" t="n">
        <x:v>11430</x:v>
      </x:c>
      <x:c r="B538" s="25" t="str">
        <x:v>IC-L3-687</x:v>
      </x:c>
      <x:c r="C538" s="25" t="str">
        <x:v>模特</x:v>
      </x:c>
      <x:c r="D538" s="25" t="str">
        <x:v>2-09-04-01</x:v>
      </x:c>
      <x:c r="E538" s="25" t="str">
        <x:v>灯光师</x:v>
      </x:c>
      <x:c r="F538" s="28" t="n">
        <x:f>COUNTIF('岗位-产业节点关系'!$C$4:$C$709,B538)</x:f>
        <x:v>1</x:v>
      </x:c>
      <x:c r="G538" s="26" t="str">
        <x:f>IF(F538=0,"未匹配（现有产业链范围未覆盖或证据不足）",IF(COUNTIFS('岗位-产业节点关系'!$C$4:$C$709,B538,'岗位-产业节点关系'!$M$4:$M$709,"低")&gt;0,"已匹配，建议复核","已匹配"))</x:f>
        <x:v>已匹配，建议复核</x:v>
      </x:c>
      <x:c r="H538" s="26" t="str">
        <x:v>低</x:v>
      </x:c>
      <x:c r="I538" s="26" t="str">
        <x:v>ICN003</x:v>
      </x:c>
      <x:c r="J538" s="26" t="str">
        <x:v>数据要素与数字经济产业链/下游/数字经济场景应用与内容创意</x:v>
      </x:c>
      <x:c r="K538" s="26" t="str">
        <x:v>模特作为文化/传媒行业中不可或缺的一部分，不仅代表了品牌的形象，更是传递美学与潮流的重要媒介。通过其独特的表现力和魅力，模特能够吸引公众的注意力，进而促进品牌或产品的认知度和好感度。在各种时尚秀场、广告拍摄以及媒体活动中…</x:v>
      </x:c>
      <x:c r="L538" s="26" t="str">
        <x:v>1. 根据客户要求，参与各类商业活动、时装秀、广告摄影等项目，以最佳状态展示产品或品牌特色。 2. 与团队成员（如导演、摄影师、化妆师）保持良好沟通，确保拍摄效果符合预期标准。 3. 积极学习新技能，不断提升自身业务水平…</x:v>
      </x:c>
    </x:row>
    <x:row r="539" ht="72" customHeight="1">
      <x:c r="A539" s="25" t="n">
        <x:v>11431</x:v>
      </x:c>
      <x:c r="B539" s="25" t="str">
        <x:v>IC-L3-688</x:v>
      </x:c>
      <x:c r="C539" s="25" t="str">
        <x:v>演员/群众演员</x:v>
      </x:c>
      <x:c r="D539" s="25" t="str">
        <x:v>2-09-04-01</x:v>
      </x:c>
      <x:c r="E539" s="25" t="str">
        <x:v>灯光师</x:v>
      </x:c>
      <x:c r="F539" s="28" t="n">
        <x:f>COUNTIF('岗位-产业节点关系'!$C$4:$C$709,B539)</x:f>
        <x:v>0</x:v>
      </x:c>
      <x:c r="G539" s="26" t="str">
        <x:f>IF(F539=0,"未匹配（现有产业链范围未覆盖或证据不足）",IF(COUNTIFS('岗位-产业节点关系'!$C$4:$C$709,B539,'岗位-产业节点关系'!$M$4:$M$709,"低")&gt;0,"已匹配，建议复核","已匹配"))</x:f>
        <x:v>未匹配（现有产业链范围未覆盖或证据不足）</x:v>
      </x:c>
      <x:c r="H539" s="26" t="str">
        <x:v>-</x:v>
      </x:c>
      <x:c r="I539" s="26" t="str"/>
      <x:c r="J539" s="26" t="str"/>
      <x:c r="K539" s="26" t="str">
        <x:v>演员/群众演员是文化/传媒行业中不可或缺的一部分，他们通过自身的表演为观众呈现生动的故事和情感，为影视作品增添真实感和丰富性。无论是主角还是配角，每个角色都有其独特的价值，能够帮助塑造故事情节，推动剧情发展，提升作品的艺…</x:v>
      </x:c>
      <x:c r="L539" s="26" t="str">
        <x:v>1. 根据剧本要求，准确理解并诠释所扮演的角色，展现角色性格特点及情感变化，确保表演质量符合制作标准。 2. 积极参与剧组组织的各项排练活动，与导演及其他演员沟通交流，不断优化表演细节，提高整体演出水平。 3. 在拍摄过…</x:v>
      </x:c>
    </x:row>
    <x:row r="540" ht="72" customHeight="1">
      <x:c r="A540" s="25" t="n">
        <x:v>11432</x:v>
      </x:c>
      <x:c r="B540" s="25" t="str">
        <x:v>IC-L3-689</x:v>
      </x:c>
      <x:c r="C540" s="25" t="str">
        <x:v>网店模特</x:v>
      </x:c>
      <x:c r="D540" s="25" t="str">
        <x:v>2-09-04-01</x:v>
      </x:c>
      <x:c r="E540" s="25" t="str">
        <x:v>灯光师</x:v>
      </x:c>
      <x:c r="F540" s="28" t="n">
        <x:f>COUNTIF('岗位-产业节点关系'!$C$4:$C$709,B540)</x:f>
        <x:v>0</x:v>
      </x:c>
      <x:c r="G540" s="26" t="str">
        <x:f>IF(F540=0,"未匹配（现有产业链范围未覆盖或证据不足）",IF(COUNTIFS('岗位-产业节点关系'!$C$4:$C$709,B540,'岗位-产业节点关系'!$M$4:$M$709,"低")&gt;0,"已匹配，建议复核","已匹配"))</x:f>
        <x:v>未匹配（现有产业链范围未覆盖或证据不足）</x:v>
      </x:c>
      <x:c r="H540" s="26" t="str">
        <x:v>-</x:v>
      </x:c>
      <x:c r="I540" s="26" t="str"/>
      <x:c r="J540" s="26" t="str"/>
      <x:c r="K540" s="26" t="str">
        <x:v>网店模特是文化与传媒行业中不可或缺的角色之一，特别是在电商领域，模特通过展示商品的视觉效果，帮助商家吸引顾客并促进销售。这一职位不仅要求模特具备良好的外貌条件，还需要其拥有一定的表演技巧和镜头前的表现力，以适应不同风格的…</x:v>
      </x:c>
      <x:c r="L540" s="26" t="str">
        <x:v>1. 根据店铺定位及产品特性，配合摄影师完成服装、配饰等商品的试穿与拍摄任务，确保展示效果符合预期标准。 2. 在拍摄过程中，积极与摄影师沟通交流，准确理解拍摄意图，灵活调整姿态和表情，展现最佳状态。 3. 参与商品上新…</x:v>
      </x:c>
    </x:row>
    <x:row r="541" ht="72" customHeight="1">
      <x:c r="A541" s="25" t="n">
        <x:v>11433</x:v>
      </x:c>
      <x:c r="B541" s="25" t="str">
        <x:v>IC-L3-690</x:v>
      </x:c>
      <x:c r="C541" s="25" t="str">
        <x:v>网络主播</x:v>
      </x:c>
      <x:c r="D541" s="25" t="str">
        <x:v>2-02-10-01</x:v>
      </x:c>
      <x:c r="E541" s="25" t="str">
        <x:v>通信工程技术人员</x:v>
      </x:c>
      <x:c r="F541" s="28" t="n">
        <x:f>COUNTIF('岗位-产业节点关系'!$C$4:$C$709,B541)</x:f>
        <x:v>0</x:v>
      </x:c>
      <x:c r="G541" s="26" t="str">
        <x:f>IF(F541=0,"未匹配（现有产业链范围未覆盖或证据不足）",IF(COUNTIFS('岗位-产业节点关系'!$C$4:$C$709,B541,'岗位-产业节点关系'!$M$4:$M$709,"低")&gt;0,"已匹配，建议复核","已匹配"))</x:f>
        <x:v>未匹配（现有产业链范围未覆盖或证据不足）</x:v>
      </x:c>
      <x:c r="H541" s="26" t="str">
        <x:v>-</x:v>
      </x:c>
      <x:c r="I541" s="26" t="str"/>
      <x:c r="J541" s="26" t="str"/>
      <x:c r="K541" s="26" t="str">
        <x:v>网络主播作为文化/传媒行业中的新兴职业，是连接品牌与消费者的桥梁，通过直播平台传递产品信息和娱乐内容，满足观众多样化的需求。这一角色不仅需要具备良好的语言表达能力和互动技巧，还应拥有一定的创意策划能力，以吸引并维护粉丝群…</x:v>
      </x:c>
      <x:c r="L541" s="26" t="str">
        <x:v>1. 负责直播间的日常运营，包括但不限于开播准备、直播过程中的互动交流以及直播结束后的数据统计分析。 2. 结合品牌特色和产品特点，设计有趣且富有创意的直播脚本，确保直播内容的多样性和趣味性。 3. 积极参与粉丝互动，及…</x:v>
      </x:c>
    </x:row>
    <x:row r="542" ht="72" customHeight="1">
      <x:c r="A542" s="25" t="n">
        <x:v>11434</x:v>
      </x:c>
      <x:c r="B542" s="25" t="str">
        <x:v>IC-L3-691</x:v>
      </x:c>
      <x:c r="C542" s="25" t="str">
        <x:v>舞蹈演员</x:v>
      </x:c>
      <x:c r="D542" s="25" t="str">
        <x:v>2-09-04-01</x:v>
      </x:c>
      <x:c r="E542" s="25" t="str">
        <x:v>灯光师</x:v>
      </x:c>
      <x:c r="F542" s="28" t="n">
        <x:f>COUNTIF('岗位-产业节点关系'!$C$4:$C$709,B542)</x:f>
        <x:v>0</x:v>
      </x:c>
      <x:c r="G542" s="26" t="str">
        <x:f>IF(F542=0,"未匹配（现有产业链范围未覆盖或证据不足）",IF(COUNTIFS('岗位-产业节点关系'!$C$4:$C$709,B542,'岗位-产业节点关系'!$M$4:$M$709,"低")&gt;0,"已匹配，建议复核","已匹配"))</x:f>
        <x:v>未匹配（现有产业链范围未覆盖或证据不足）</x:v>
      </x:c>
      <x:c r="H542" s="26" t="str">
        <x:v>-</x:v>
      </x:c>
      <x:c r="I542" s="26" t="str"/>
      <x:c r="J542" s="26" t="str"/>
      <x:c r="K542" s="26" t="str">
        <x:v>舞蹈演员是文化与传媒行业中不可或缺的角色之一，他们通过精湛的舞技和艺术表现力，为观众带来视觉和情感上的享受，同时也是各类演出活动的灵魂人物。舞蹈演员不仅能够提升节目的艺术水准，增强观众的观赏体验，还能够通过自身的表演为公…</x:v>
      </x:c>
      <x:c r="L542" s="26" t="str">
        <x:v>1. 负责参与剧目排练，确保动作准确无误，达到导演要求的表演效果。 2. 根据演出计划，按时参加彩排，与团队成员协调配合，确保节目顺利进行。 3. 定期接受专业培训，不断提升自身舞蹈技艺和舞台表现力，满足不同风格作品的需…</x:v>
      </x:c>
    </x:row>
    <x:row r="543" ht="72" customHeight="1">
      <x:c r="A543" s="25" t="n">
        <x:v>11435</x:v>
      </x:c>
      <x:c r="B543" s="25" t="str">
        <x:v>IC-L3-692</x:v>
      </x:c>
      <x:c r="C543" s="25" t="str">
        <x:v>驻唱/歌手</x:v>
      </x:c>
      <x:c r="D543" s="25" t="str">
        <x:v>2-09-04-01</x:v>
      </x:c>
      <x:c r="E543" s="25" t="str">
        <x:v>灯光师</x:v>
      </x:c>
      <x:c r="F543" s="28" t="n">
        <x:f>COUNTIF('岗位-产业节点关系'!$C$4:$C$709,B543)</x:f>
        <x:v>0</x:v>
      </x:c>
      <x:c r="G543" s="26" t="str">
        <x:f>IF(F543=0,"未匹配（现有产业链范围未覆盖或证据不足）",IF(COUNTIFS('岗位-产业节点关系'!$C$4:$C$709,B543,'岗位-产业节点关系'!$M$4:$M$709,"低")&gt;0,"已匹配，建议复核","已匹配"))</x:f>
        <x:v>未匹配（现有产业链范围未覆盖或证据不足）</x:v>
      </x:c>
      <x:c r="H543" s="26" t="str">
        <x:v>-</x:v>
      </x:c>
      <x:c r="I543" s="26" t="str"/>
      <x:c r="J543" s="26" t="str"/>
      <x:c r="K543" s="26" t="str">
        <x:v>驻唱歌手作为文化/传媒行业中不可或缺的一部分，不仅能够通过音乐传递情感与故事，还能丰富人们的文化生活，提升公共空间的艺术氛围。他们不仅是表演者，更是文化交流的使者，在塑造品牌形象和吸引观众方面发挥着重要作用。 驻唱歌手的…</x:v>
      </x:c>
      <x:c r="L543" s="26" t="str">
        <x:v>1. 根据演出安排，准时到达指定地点完成彩排和正式演出，保证每次演出的质量和效果。 2. 与乐队成员、音响师等工作人员沟通协调，确保音乐表现符合预期标准。 3. 积极参与公司组织的各类培训课程，不断提高自身艺术修养和技术…</x:v>
      </x:c>
    </x:row>
    <x:row r="544" ht="72" customHeight="1">
      <x:c r="A544" s="25" t="n">
        <x:v>11436</x:v>
      </x:c>
      <x:c r="B544" s="25" t="str">
        <x:v>IC-L3-693</x:v>
      </x:c>
      <x:c r="C544" s="25" t="str">
        <x:v>作家/撰稿人</x:v>
      </x:c>
      <x:c r="D544" s="25" t="str">
        <x:v>2-09-06-01</x:v>
      </x:c>
      <x:c r="E544" s="25" t="str">
        <x:v>视觉传达设计人员</x:v>
      </x:c>
      <x:c r="F544" s="28" t="n">
        <x:f>COUNTIF('岗位-产业节点关系'!$C$4:$C$709,B544)</x:f>
        <x:v>1</x:v>
      </x:c>
      <x:c r="G544" s="26" t="str">
        <x:f>IF(F544=0,"未匹配（现有产业链范围未覆盖或证据不足）",IF(COUNTIFS('岗位-产业节点关系'!$C$4:$C$709,B544,'岗位-产业节点关系'!$M$4:$M$709,"低")&gt;0,"已匹配，建议复核","已匹配"))</x:f>
        <x:v>已匹配</x:v>
      </x:c>
      <x:c r="H544" s="26" t="str">
        <x:v>高</x:v>
      </x:c>
      <x:c r="I544" s="26" t="str">
        <x:v>ICN003</x:v>
      </x:c>
      <x:c r="J544" s="26" t="str">
        <x:v>数据要素与数字经济产业链/下游/数字经济场景应用与内容创意</x:v>
      </x:c>
      <x:c r="K544" s="26" t="str">
        <x:v>作家/撰稿人在文化与传媒行业中扮演着至关重要的角色，他们是内容创作的灵魂，通过文字的力量传递信息、激发情感并塑造观点。他们不仅负责撰写高质量的文章，还需要具备敏锐的市场洞察力，能够捕捉社会热点，引领潮流趋势，为读者提供有…</x:v>
      </x:c>
      <x:c r="L544" s="26" t="str">
        <x:v>1. 根据公司定位及市场需求，进行选题策划，撰写原创文章，确保内容的原创性、准确性和吸引力。 2. 跟踪时事动态和社会热点，快速响应，完成专题报道或评论文章的撰写工作，提高品牌知名度。 3. 与设计团队沟通协作，共同优化…</x:v>
      </x:c>
    </x:row>
    <x:row r="545" ht="72" customHeight="1">
      <x:c r="A545" s="25" t="n">
        <x:v>11437</x:v>
      </x:c>
      <x:c r="B545" s="25" t="str">
        <x:v>IC-L3-694</x:v>
      </x:c>
      <x:c r="C545" s="25" t="str">
        <x:v>出版/发行</x:v>
      </x:c>
      <x:c r="D545" s="25" t="str">
        <x:v>2-09-06-01</x:v>
      </x:c>
      <x:c r="E545" s="25" t="str">
        <x:v>视觉传达设计人员</x:v>
      </x:c>
      <x:c r="F545" s="28" t="n">
        <x:f>COUNTIF('岗位-产业节点关系'!$C$4:$C$709,B545)</x:f>
        <x:v>1</x:v>
      </x:c>
      <x:c r="G545" s="26" t="str">
        <x:f>IF(F545=0,"未匹配（现有产业链范围未覆盖或证据不足）",IF(COUNTIFS('岗位-产业节点关系'!$C$4:$C$709,B545,'岗位-产业节点关系'!$M$4:$M$709,"低")&gt;0,"已匹配，建议复核","已匹配"))</x:f>
        <x:v>已匹配</x:v>
      </x:c>
      <x:c r="H545" s="26" t="str">
        <x:v>中</x:v>
      </x:c>
      <x:c r="I545" s="26" t="str">
        <x:v>ICN003</x:v>
      </x:c>
      <x:c r="J545" s="26" t="str">
        <x:v>数据要素与数字经济产业链/下游/数字经济场景应用与内容创意</x:v>
      </x:c>
      <x:c r="K545" s="26" t="str">
        <x:v>出版/发行职位在文化/传媒行业中扮演着至关重要的角色，它不仅负责将作者的作品以最优质的形式呈现给读者，还承担着连接创作者与市场的桥梁作用。作为内容传播的重要环节，出版/发行工作直接关系到作品的市场表现和社会影响力，是推动…</x:v>
      </x:c>
      <x:c r="L545" s="26" t="str">
        <x:v>1. 负责审核并优化稿件内容，确保其质量达到出版要求。 2. 制定并执行出版计划，协调内外资源，保证按时按质完成出版任务。 3. 与销售团队紧密配合，分析市场需求，制定合理的发行策略，提升产品销量。 4. 组织新书发布会…</x:v>
      </x:c>
    </x:row>
    <x:row r="546" ht="72" customHeight="1">
      <x:c r="A546" s="25" t="n">
        <x:v>11438</x:v>
      </x:c>
      <x:c r="B546" s="25" t="str">
        <x:v>IC-L3-695</x:v>
      </x:c>
      <x:c r="C546" s="25" t="str">
        <x:v>总编/副总编</x:v>
      </x:c>
      <x:c r="D546" s="25" t="str">
        <x:v>2-09-06-01</x:v>
      </x:c>
      <x:c r="E546" s="25" t="str">
        <x:v>视觉传达设计人员</x:v>
      </x:c>
      <x:c r="F546" s="28" t="n">
        <x:f>COUNTIF('岗位-产业节点关系'!$C$4:$C$709,B546)</x:f>
        <x:v>0</x:v>
      </x:c>
      <x:c r="G546" s="26" t="str">
        <x:f>IF(F546=0,"未匹配（现有产业链范围未覆盖或证据不足）",IF(COUNTIFS('岗位-产业节点关系'!$C$4:$C$709,B546,'岗位-产业节点关系'!$M$4:$M$709,"低")&gt;0,"已匹配，建议复核","已匹配"))</x:f>
        <x:v>未匹配（现有产业链范围未覆盖或证据不足）</x:v>
      </x:c>
      <x:c r="H546" s="26" t="str">
        <x:v>-</x:v>
      </x:c>
      <x:c r="I546" s="26" t="str"/>
      <x:c r="J546" s="26" t="str"/>
      <x:c r="K546" s="26" t="str">
        <x:v>总编/副总编是文化/传媒行业中至关重要的领导角色，他们不仅负责编辑部的日常运作，还肩负着引领媒体发展方向的重大责任。作为内容质量和方向的把关人，他们对于塑造媒体形象、提升品牌影响力具有决定性作用。 在公司层面，总编/副总…</x:v>
      </x:c>
      <x:c r="L546" s="26" t="str">
        <x:v>1. 负责审核并批准最终发布的内容，确保其准确无误、合法合规，达到预期的质量标准。 2. 制定编辑方针和工作计划，指导编辑团队完成选题策划、稿件采编等工作，以实现公司设定的目标。 3. 监控行业动态及竞争对手情况，定期分…</x:v>
      </x:c>
    </x:row>
    <x:row r="547" ht="72" customHeight="1">
      <x:c r="A547" s="25" t="n">
        <x:v>11439</x:v>
      </x:c>
      <x:c r="B547" s="25" t="str">
        <x:v>IC-L3-696</x:v>
      </x:c>
      <x:c r="C547" s="25" t="str">
        <x:v>排版设计</x:v>
      </x:c>
      <x:c r="D547" s="25" t="str">
        <x:v>2-09-06-01</x:v>
      </x:c>
      <x:c r="E547" s="25" t="str">
        <x:v>视觉传达设计人员</x:v>
      </x:c>
      <x:c r="F547" s="28" t="n">
        <x:f>COUNTIF('岗位-产业节点关系'!$C$4:$C$709,B547)</x:f>
        <x:v>1</x:v>
      </x:c>
      <x:c r="G547" s="26" t="str">
        <x:f>IF(F547=0,"未匹配（现有产业链范围未覆盖或证据不足）",IF(COUNTIFS('岗位-产业节点关系'!$C$4:$C$709,B547,'岗位-产业节点关系'!$M$4:$M$709,"低")&gt;0,"已匹配，建议复核","已匹配"))</x:f>
        <x:v>已匹配</x:v>
      </x:c>
      <x:c r="H547" s="26" t="str">
        <x:v>中</x:v>
      </x:c>
      <x:c r="I547" s="26" t="str">
        <x:v>ICN003</x:v>
      </x:c>
      <x:c r="J547" s="26" t="str">
        <x:v>数据要素与数字经济产业链/下游/数字经济场景应用与内容创意</x:v>
      </x:c>
      <x:c r="K547" s="26" t="str">
        <x:v>排版设计师在文化与传媒行业中扮演着至关重要的角色，他们负责将文字内容转化为视觉上吸引人的形式，不仅提升了阅读体验，还增强了品牌形象。通过精确地调整版面布局、字体选择以及色彩搭配等元素，排版设计师能够确保信息的有效传递，提…</x:v>
      </x:c>
      <x:c r="L547" s="26" t="str">
        <x:v>1. 根据项目需求及风格指南，运用专业软件（如Adobe InDesign）进行书籍、杂志、报纸等印刷品的排版设计工作，确保最终成品符合高质量标准。 2. 与编辑团队密切沟通，准确理解内容特点与目标受众偏好，提出合理的排…</x:v>
      </x:c>
    </x:row>
    <x:row r="548" ht="72" customHeight="1">
      <x:c r="A548" s="25" t="n">
        <x:v>11440</x:v>
      </x:c>
      <x:c r="B548" s="25" t="str">
        <x:v>IC-L3-697</x:v>
      </x:c>
      <x:c r="C548" s="25" t="str">
        <x:v>编辑</x:v>
      </x:c>
      <x:c r="D548" s="25" t="str">
        <x:v>2-09-06-01</x:v>
      </x:c>
      <x:c r="E548" s="25" t="str">
        <x:v>视觉传达设计人员</x:v>
      </x:c>
      <x:c r="F548" s="28" t="n">
        <x:f>COUNTIF('岗位-产业节点关系'!$C$4:$C$709,B548)</x:f>
        <x:v>1</x:v>
      </x:c>
      <x:c r="G548" s="26" t="str">
        <x:f>IF(F548=0,"未匹配（现有产业链范围未覆盖或证据不足）",IF(COUNTIFS('岗位-产业节点关系'!$C$4:$C$709,B548,'岗位-产业节点关系'!$M$4:$M$709,"低")&gt;0,"已匹配，建议复核","已匹配"))</x:f>
        <x:v>已匹配</x:v>
      </x:c>
      <x:c r="H548" s="26" t="str">
        <x:v>中</x:v>
      </x:c>
      <x:c r="I548" s="26" t="str">
        <x:v>ICN003</x:v>
      </x:c>
      <x:c r="J548" s="26" t="str">
        <x:v>数据要素与数字经济产业链/下游/数字经济场景应用与内容创意</x:v>
      </x:c>
      <x:c r="K548" s="26" t="str">
        <x:v>编辑在文化/传媒行业中扮演着至关重要的角色，他们是内容质量和传播效果的守护者。通过精心挑选、加工与优化各类稿件，编辑确保了信息的准确性和可读性，是连接作者与读者之间的桥梁。此外，他们还负责挖掘有价值的选题，以满足市场和受…</x:v>
      </x:c>
      <x:c r="L548" s="26" t="str">
        <x:v>1. 负责收集并筛选适合出版的文稿，对文稿进行初步审核，确保内容符合公司的风格导向。 2. 对选定的稿件进行深度编辑，包括但不限于语法检查、事实核实、逻辑梳理等工作，确保最终发布的作品无误。 3. 与作者沟通，提出建设性…</x:v>
      </x:c>
    </x:row>
    <x:row r="549" ht="72" customHeight="1">
      <x:c r="A549" s="25" t="n">
        <x:v>11441</x:v>
      </x:c>
      <x:c r="B549" s="25" t="str">
        <x:v>IC-L3-698</x:v>
      </x:c>
      <x:c r="C549" s="25" t="str">
        <x:v>美术编辑</x:v>
      </x:c>
      <x:c r="D549" s="25" t="str">
        <x:v>2-09-06-01</x:v>
      </x:c>
      <x:c r="E549" s="25" t="str">
        <x:v>视觉传达设计人员</x:v>
      </x:c>
      <x:c r="F549" s="28" t="n">
        <x:f>COUNTIF('岗位-产业节点关系'!$C$4:$C$709,B549)</x:f>
        <x:v>1</x:v>
      </x:c>
      <x:c r="G549" s="26" t="str">
        <x:f>IF(F549=0,"未匹配（现有产业链范围未覆盖或证据不足）",IF(COUNTIFS('岗位-产业节点关系'!$C$4:$C$709,B549,'岗位-产业节点关系'!$M$4:$M$709,"低")&gt;0,"已匹配，建议复核","已匹配"))</x:f>
        <x:v>已匹配</x:v>
      </x:c>
      <x:c r="H549" s="26" t="str">
        <x:v>高</x:v>
      </x:c>
      <x:c r="I549" s="26" t="str">
        <x:v>ICN003</x:v>
      </x:c>
      <x:c r="J549" s="26" t="str">
        <x:v>数据要素与数字经济产业链/下游/数字经济场景应用与内容创意</x:v>
      </x:c>
      <x:c r="K549" s="26" t="str">
        <x:v>美术编辑是文化/传媒行业中不可或缺的专业人才，他们负责视觉设计与创意实现，确保出版物或媒体内容的艺术质量，提升品牌形象，满足读者审美需求。作为连接文字与图像的桥梁，美术编辑的核心目标在于通过精心设计版面布局、选择配图及色…</x:v>
      </x:c>
      <x:c r="L549" s="26" t="str">
        <x:v>1. 负责图书、杂志、报纸、网站等各类出版物的设计工作，包括封面设计、内页排版、插画绘制等，确保整体风格统一且符合品牌调性。 2. 与文案编辑沟通，了解文章主题与内容特点，据此挑选合适的图片素材，优化图文关系，强化视觉传…</x:v>
      </x:c>
    </x:row>
    <x:row r="550" ht="72" customHeight="1">
      <x:c r="A550" s="25" t="n">
        <x:v>11442</x:v>
      </x:c>
      <x:c r="B550" s="25" t="str">
        <x:v>IC-L3-699</x:v>
      </x:c>
      <x:c r="C550" s="25" t="str">
        <x:v>记者</x:v>
      </x:c>
      <x:c r="D550" s="25" t="str">
        <x:v>2-09-06-01</x:v>
      </x:c>
      <x:c r="E550" s="25" t="str">
        <x:v>视觉传达设计人员</x:v>
      </x:c>
      <x:c r="F550" s="28" t="n">
        <x:f>COUNTIF('岗位-产业节点关系'!$C$4:$C$709,B550)</x:f>
        <x:v>1</x:v>
      </x:c>
      <x:c r="G550" s="26" t="str">
        <x:f>IF(F550=0,"未匹配（现有产业链范围未覆盖或证据不足）",IF(COUNTIFS('岗位-产业节点关系'!$C$4:$C$709,B550,'岗位-产业节点关系'!$M$4:$M$709,"低")&gt;0,"已匹配，建议复核","已匹配"))</x:f>
        <x:v>已匹配</x:v>
      </x:c>
      <x:c r="H550" s="26" t="str">
        <x:v>中</x:v>
      </x:c>
      <x:c r="I550" s="26" t="str">
        <x:v>ICN003</x:v>
      </x:c>
      <x:c r="J550" s="26" t="str">
        <x:v>数据要素与数字经济产业链/下游/数字经济场景应用与内容创意</x:v>
      </x:c>
      <x:c r="K550" s="26" t="str">
        <x:v>记者是文化与传媒行业中不可或缺的角色，他们通过深入调查和报道，向公众传递真实、客观的信息，对于促进社会透明度和舆论监督具有重要作用。作为新闻机构的前线人员，记者的核心目标在于挖掘有价值的新闻线索，撰写高质量的新闻稿件，不…</x:v>
      </x:c>
      <x:c r="L550" s="26" t="str">
        <x:v>1. 积极寻找并评估新闻素材，确保信息来源可靠，为读者提供准确无误的新闻报道。 2. 根据选题计划，独立或协同其他记者进行现场采访，收集第一手资料，力求全面深入地反映事件真相。 3. 编写符合公司风格及标准的文章，包括但…</x:v>
      </x:c>
    </x:row>
    <x:row r="551" ht="72" customHeight="1">
      <x:c r="A551" s="25" t="n">
        <x:v>11443</x:v>
      </x:c>
      <x:c r="B551" s="25" t="str">
        <x:v>IC-L3-700</x:v>
      </x:c>
      <x:c r="C551" s="25" t="str">
        <x:v>博物馆管理员</x:v>
      </x:c>
      <x:c r="D551" s="25" t="str">
        <x:v>2-09-06-01</x:v>
      </x:c>
      <x:c r="E551" s="25" t="str">
        <x:v>视觉传达设计人员</x:v>
      </x:c>
      <x:c r="F551" s="28" t="n">
        <x:f>COUNTIF('岗位-产业节点关系'!$C$4:$C$709,B551)</x:f>
        <x:v>0</x:v>
      </x:c>
      <x:c r="G551" s="26" t="str">
        <x:f>IF(F551=0,"未匹配（现有产业链范围未覆盖或证据不足）",IF(COUNTIFS('岗位-产业节点关系'!$C$4:$C$709,B551,'岗位-产业节点关系'!$M$4:$M$709,"低")&gt;0,"已匹配，建议复核","已匹配"))</x:f>
        <x:v>未匹配（现有产业链范围未覆盖或证据不足）</x:v>
      </x:c>
      <x:c r="H551" s="26" t="str">
        <x:v>-</x:v>
      </x:c>
      <x:c r="I551" s="26" t="str"/>
      <x:c r="J551" s="26" t="str"/>
      <x:c r="K551" s="26" t="str">
        <x:v>博物馆管理员是专门从事文化遗产管理与保护的专业人员。该职位的核心目标是通过系统化整理和科学维护馆藏资源，实现文化传播与教育价值最大化。在日常工作中，需要进行藏品登记编目、文献资料编辑整理、展览内容校对出版等工作。</x:v>
      </x:c>
      <x:c r="L551" s="26" t="str">
        <x:v>1. 管理藏品档案资料 2. 组织文物修复保护 3. 策划展览内容方案 4. 编写文物说明文本 5. 维护数字文献库 6. 培训讲解志愿者</x:v>
      </x:c>
    </x:row>
    <x:row r="552" ht="72" customHeight="1">
      <x:c r="A552" s="25" t="n">
        <x:v>11444</x:v>
      </x:c>
      <x:c r="B552" s="25" t="str">
        <x:v>IC-L3-701</x:v>
      </x:c>
      <x:c r="C552" s="25" t="str">
        <x:v>文物修复师</x:v>
      </x:c>
      <x:c r="D552" s="25" t="str">
        <x:v>2-09-06-01</x:v>
      </x:c>
      <x:c r="E552" s="25" t="str">
        <x:v>视觉传达设计人员</x:v>
      </x:c>
      <x:c r="F552" s="28" t="n">
        <x:f>COUNTIF('岗位-产业节点关系'!$C$4:$C$709,B552)</x:f>
        <x:v>0</x:v>
      </x:c>
      <x:c r="G552" s="26" t="str">
        <x:f>IF(F552=0,"未匹配（现有产业链范围未覆盖或证据不足）",IF(COUNTIFS('岗位-产业节点关系'!$C$4:$C$709,B552,'岗位-产业节点关系'!$M$4:$M$709,"低")&gt;0,"已匹配，建议复核","已匹配"))</x:f>
        <x:v>未匹配（现有产业链范围未覆盖或证据不足）</x:v>
      </x:c>
      <x:c r="H552" s="26" t="str">
        <x:v>-</x:v>
      </x:c>
      <x:c r="I552" s="26" t="str"/>
      <x:c r="J552" s="26" t="str"/>
      <x:c r="K552" s="26" t="str">
        <x:v>文物修复师是专门从事古籍文献修复与保护的专业人员。该职位的核心目标是通过专业技术手段，实现珍贵文献资料的抢救性修复与长期保存。在日常工作中，需要进行破损文献检测、制定修复方案、实施修复作业及修复档案记录等工作。</x:v>
      </x:c>
      <x:c r="L552" s="26" t="str">
        <x:v>1. 鉴定文物受损情况 2. 制定修复方案流程 3. 实施文物修复操作 4. 记录修复过程数据 5. 撰写修复技术报告 6. 参与保护技术研究</x:v>
      </x:c>
    </x:row>
    <x:row r="553" ht="72" customHeight="1">
      <x:c r="A553" s="25" t="n">
        <x:v>11445</x:v>
      </x:c>
      <x:c r="B553" s="25" t="str">
        <x:v>IC-L3-702</x:v>
      </x:c>
      <x:c r="C553" s="25" t="str">
        <x:v>考古技术员</x:v>
      </x:c>
      <x:c r="D553" s="25" t="str">
        <x:v>2-09-06-01</x:v>
      </x:c>
      <x:c r="E553" s="25" t="str">
        <x:v>视觉传达设计人员</x:v>
      </x:c>
      <x:c r="F553" s="28" t="n">
        <x:f>COUNTIF('岗位-产业节点关系'!$C$4:$C$709,B553)</x:f>
        <x:v>0</x:v>
      </x:c>
      <x:c r="G553" s="26" t="str">
        <x:f>IF(F553=0,"未匹配（现有产业链范围未覆盖或证据不足）",IF(COUNTIFS('岗位-产业节点关系'!$C$4:$C$709,B553,'岗位-产业节点关系'!$M$4:$M$709,"低")&gt;0,"已匹配，建议复核","已匹配"))</x:f>
        <x:v>未匹配（现有产业链范围未覆盖或证据不足）</x:v>
      </x:c>
      <x:c r="H553" s="26" t="str">
        <x:v>-</x:v>
      </x:c>
      <x:c r="I553" s="26" t="str"/>
      <x:c r="J553" s="26" t="str"/>
      <x:c r="K553" s="26" t="str">
        <x:v>考古技术员是专门从事文物资料整理与研究的专业人员。该职位的核心目标是通过科学的考古资料处理技术，确保出版内容的准确性与专业性。在日常工作中，需要进行考古资料数字化处理、文献校对、出土文物信息整理及考古报告编辑等工作。</x:v>
      </x:c>
      <x:c r="L553" s="26" t="str">
        <x:v>1. 整理考古文献资料 2. 编辑考古发掘报告 3. 校核文物数据信息 4. 编制出版考古期刊 5. 协助专家修订文稿 6. 管理考古档案数据库</x:v>
      </x:c>
    </x:row>
    <x:row r="554" ht="72" customHeight="1">
      <x:c r="A554" s="25" t="n">
        <x:v>11446</x:v>
      </x:c>
      <x:c r="B554" s="25" t="str">
        <x:v>IC-L3-703</x:v>
      </x:c>
      <x:c r="C554" s="25" t="str">
        <x:v>编剧</x:v>
      </x:c>
      <x:c r="D554" s="25" t="str">
        <x:v>2-09-06-01</x:v>
      </x:c>
      <x:c r="E554" s="25" t="str">
        <x:v>视觉传达设计人员</x:v>
      </x:c>
      <x:c r="F554" s="28" t="n">
        <x:f>COUNTIF('岗位-产业节点关系'!$C$4:$C$709,B554)</x:f>
        <x:v>1</x:v>
      </x:c>
      <x:c r="G554" s="26" t="str">
        <x:f>IF(F554=0,"未匹配（现有产业链范围未覆盖或证据不足）",IF(COUNTIFS('岗位-产业节点关系'!$C$4:$C$709,B554,'岗位-产业节点关系'!$M$4:$M$709,"低")&gt;0,"已匹配，建议复核","已匹配"))</x:f>
        <x:v>已匹配</x:v>
      </x:c>
      <x:c r="H554" s="26" t="str">
        <x:v>中</x:v>
      </x:c>
      <x:c r="I554" s="26" t="str">
        <x:v>ICN002</x:v>
      </x:c>
      <x:c r="J554" s="26" t="str">
        <x:v>数据要素与数字经济产业链/中游/数据治理、流通与服务</x:v>
      </x:c>
      <x:c r="K554" s="26" t="str">
        <x:v>编剧是专门从事故事创作和剧本撰写的专业人员。该职位的核心目标是通过构思引人入胜的故事情节和塑造鲜明角色，为出版作品提供优质的剧本内容。在日常工作中，需要进行选题策划、剧本创作、情节修改及与编辑团队沟通协作等工作。</x:v>
      </x:c>
      <x:c r="L554" s="26" t="str">
        <x:v>1. 创作原创文学内容 2. 改编现有文学作品 3. 撰写出版物脚本大纲 4. 校对修改剧本内容 5. 配合编辑出版流程 6. 研究市场读者需求</x:v>
      </x:c>
    </x:row>
    <x:row r="555" ht="72" customHeight="1">
      <x:c r="A555" s="25" t="n">
        <x:v>11447</x:v>
      </x:c>
      <x:c r="B555" s="25" t="str">
        <x:v>IC-L3-704</x:v>
      </x:c>
      <x:c r="C555" s="25" t="str">
        <x:v>考古探掘工</x:v>
      </x:c>
      <x:c r="D555" s="25" t="str">
        <x:v>2-09-06-01</x:v>
      </x:c>
      <x:c r="E555" s="25" t="str">
        <x:v>视觉传达设计人员</x:v>
      </x:c>
      <x:c r="F555" s="28" t="n">
        <x:f>COUNTIF('岗位-产业节点关系'!$C$4:$C$709,B555)</x:f>
        <x:v>0</x:v>
      </x:c>
      <x:c r="G555" s="26" t="str">
        <x:f>IF(F555=0,"未匹配（现有产业链范围未覆盖或证据不足）",IF(COUNTIFS('岗位-产业节点关系'!$C$4:$C$709,B555,'岗位-产业节点关系'!$M$4:$M$709,"低")&gt;0,"已匹配，建议复核","已匹配"))</x:f>
        <x:v>未匹配（现有产业链范围未覆盖或证据不足）</x:v>
      </x:c>
      <x:c r="H555" s="26" t="str">
        <x:v>-</x:v>
      </x:c>
      <x:c r="I555" s="26" t="str"/>
      <x:c r="J555" s="26" t="str"/>
      <x:c r="K555" s="26" t="str">
        <x:v>考古探掘工是专门从事考古资料发掘与整理的专业人员。该职位的核心目标是通过系统性的考古探掘工作，为编辑出版提供准确的历史文化素材。在日常工作中，需要进行遗址勘探、文物清理、数据记录及资料归档等工作。</x:v>
      </x:c>
      <x:c r="L555" s="26" t="str">
        <x:v>1. 参与考古现场发掘 2. 记录出土文物信息 3. 整理考古发掘资料 4. 协助编写考古报告 5. 维护发掘设备工具 6. 遵守文物保护规范</x:v>
      </x:c>
    </x:row>
    <x:row r="556" ht="72" customHeight="1">
      <x:c r="A556" s="25" t="n">
        <x:v>11448</x:v>
      </x:c>
      <x:c r="B556" s="25" t="str">
        <x:v>IC-L3-705</x:v>
      </x:c>
      <x:c r="C556" s="25" t="str">
        <x:v>历史研究员</x:v>
      </x:c>
      <x:c r="D556" s="25" t="str">
        <x:v>2-01-06-03</x:v>
      </x:c>
      <x:c r="E556" s="25" t="str">
        <x:v>化学研究人员</x:v>
      </x:c>
      <x:c r="F556" s="28" t="n">
        <x:f>COUNTIF('岗位-产业节点关系'!$C$4:$C$709,B556)</x:f>
        <x:v>0</x:v>
      </x:c>
      <x:c r="G556" s="26" t="str">
        <x:f>IF(F556=0,"未匹配（现有产业链范围未覆盖或证据不足）",IF(COUNTIFS('岗位-产业节点关系'!$C$4:$C$709,B556,'岗位-产业节点关系'!$M$4:$M$709,"低")&gt;0,"已匹配，建议复核","已匹配"))</x:f>
        <x:v>未匹配（现有产业链范围未覆盖或证据不足）</x:v>
      </x:c>
      <x:c r="H556" s="26" t="str">
        <x:v>-</x:v>
      </x:c>
      <x:c r="I556" s="26" t="str"/>
      <x:c r="J556" s="26" t="str"/>
      <x:c r="K556" s="26" t="str">
        <x:v>历史研究员是专门从事历史文献研究与分析的专业人员。该职位的核心目标是通过系统性的历史研究，为出版项目提供可靠的学术支持。在日常工作中，需要进行史料收集与考证、专题研究报告撰写、历史内容审核与修订等工作。</x:v>
      </x:c>
      <x:c r="L556" s="26" t="str">
        <x:v>1. 收集整理历史资料 2. 考证历史事件真伪 3. 撰写历史研究文章 4. 参与历史书籍编校 5. 维护历史数据库 6. 提供学术咨询支持</x:v>
      </x:c>
    </x:row>
    <x:row r="557" ht="72" customHeight="1">
      <x:c r="A557" s="25" t="n">
        <x:v>11449</x:v>
      </x:c>
      <x:c r="B557" s="25" t="str">
        <x:v>IC-L3-706</x:v>
      </x:c>
      <x:c r="C557" s="25" t="str">
        <x:v>新能源电控工程师</x:v>
      </x:c>
      <x:c r="D557" s="25" t="str">
        <x:v>2-02-38-05</x:v>
      </x:c>
      <x:c r="E557" s="25" t="str">
        <x:v>智能制造工程技术人员</x:v>
      </x:c>
      <x:c r="F557" s="28" t="n">
        <x:f>COUNTIF('岗位-产业节点关系'!$C$4:$C$709,B557)</x:f>
        <x:v>1</x:v>
      </x:c>
      <x:c r="G557" s="26" t="str">
        <x:f>IF(F557=0,"未匹配（现有产业链范围未覆盖或证据不足）",IF(COUNTIFS('岗位-产业节点关系'!$C$4:$C$709,B557,'岗位-产业节点关系'!$M$4:$M$709,"低")&gt;0,"已匹配，建议复核","已匹配"))</x:f>
        <x:v>已匹配</x:v>
      </x:c>
      <x:c r="H557" s="26" t="str">
        <x:v>高</x:v>
      </x:c>
      <x:c r="I557" s="26" t="str">
        <x:v>ICN013</x:v>
      </x:c>
      <x:c r="J557" s="26" t="str">
        <x:v>新能源与电力装备产业链/上游/新能源材料、电芯与发电设备</x:v>
      </x:c>
      <x:c r="K557" s="26" t="str">
        <x:v>随着全球对环境保护意识的提升及各国政府对于绿色出行政策的支持，新能源汽车行业正迎来前所未有的发展机遇。作为新能源汽车领域中不可或缺的技术人才，新能源电控工程师在推动技术革新与产品优化方面扮演着至关重要的角色。他们不仅需要…</x:v>
      </x:c>
      <x:c r="L557" s="26" t="str">
        <x:v>新能源电控工程师的主要职责包括：负责新能源汽车电控系统的研发与设计，包括电池管理系统、电机控制系统等；进行电控系统的需求分析、方案设计、仿真验证及测试优化；参与产品开发的全过程，确保电控系统满足性能、安全及法规要求；与跨…</x:v>
      </x:c>
    </x:row>
    <x:row r="558" ht="72" customHeight="1">
      <x:c r="A558" s="25" t="n">
        <x:v>11450</x:v>
      </x:c>
      <x:c r="B558" s="25" t="str">
        <x:v>IC-L3-707</x:v>
      </x:c>
      <x:c r="C558" s="25" t="str">
        <x:v>新能源电机工程师</x:v>
      </x:c>
      <x:c r="D558" s="25" t="str">
        <x:v>2-02-38-05</x:v>
      </x:c>
      <x:c r="E558" s="25" t="str">
        <x:v>智能制造工程技术人员</x:v>
      </x:c>
      <x:c r="F558" s="28" t="n">
        <x:f>COUNTIF('岗位-产业节点关系'!$C$4:$C$709,B558)</x:f>
        <x:v>1</x:v>
      </x:c>
      <x:c r="G558" s="26" t="str">
        <x:f>IF(F558=0,"未匹配（现有产业链范围未覆盖或证据不足）",IF(COUNTIFS('岗位-产业节点关系'!$C$4:$C$709,B558,'岗位-产业节点关系'!$M$4:$M$709,"低")&gt;0,"已匹配，建议复核","已匹配"))</x:f>
        <x:v>已匹配</x:v>
      </x:c>
      <x:c r="H558" s="26" t="str">
        <x:v>高</x:v>
      </x:c>
      <x:c r="I558" s="26" t="str">
        <x:v>ICN014</x:v>
      </x:c>
      <x:c r="J558" s="26" t="str">
        <x:v>新能源与电力装备产业链/中游/发电、储能与输配电装备</x:v>
      </x:c>
      <x:c r="K558" s="26" t="str">
        <x:v>随着全球对环保与可持续发展的重视，新能源汽车行业正经历前所未有的发展机遇。作为新能源电机工程师，您将处于这一变革的前沿，负责开发高效、可靠的动力系统，推动电动汽车技术的进步。您的工作不仅能够促进公司产品性能的提升，还有助…</x:v>
      </x:c>
      <x:c r="L558" s="26" t="str">
        <x:v>1. 负责新能源汽车电机的设计与优化，确保其满足性能指标要求，提高车辆的整体效能。 2. 进行电机控制系统的研究与开发，探索新型控制策略以改善驱动系统的响应速度及稳定性。 3. 协同供应商评估原材料质量，参与电机样机的测…</x:v>
      </x:c>
    </x:row>
    <x:row r="559" ht="72" customHeight="1">
      <x:c r="A559" s="25" t="n">
        <x:v>11451</x:v>
      </x:c>
      <x:c r="B559" s="25" t="str">
        <x:v>IC-L3-708</x:v>
      </x:c>
      <x:c r="C559" s="25" t="str">
        <x:v>新能源电池工程师</x:v>
      </x:c>
      <x:c r="D559" s="25" t="str">
        <x:v>2-02-38-05</x:v>
      </x:c>
      <x:c r="E559" s="25" t="str">
        <x:v>智能制造工程技术人员</x:v>
      </x:c>
      <x:c r="F559" s="28" t="n">
        <x:f>COUNTIF('岗位-产业节点关系'!$C$4:$C$709,B559)</x:f>
        <x:v>1</x:v>
      </x:c>
      <x:c r="G559" s="26" t="str">
        <x:f>IF(F559=0,"未匹配（现有产业链范围未覆盖或证据不足）",IF(COUNTIFS('岗位-产业节点关系'!$C$4:$C$709,B559,'岗位-产业节点关系'!$M$4:$M$709,"低")&gt;0,"已匹配，建议复核","已匹配"))</x:f>
        <x:v>已匹配</x:v>
      </x:c>
      <x:c r="H559" s="26" t="str">
        <x:v>高</x:v>
      </x:c>
      <x:c r="I559" s="26" t="str">
        <x:v>ICN013</x:v>
      </x:c>
      <x:c r="J559" s="26" t="str">
        <x:v>新能源与电力装备产业链/上游/新能源材料、电芯与发电设备</x:v>
      </x:c>
      <x:c r="K559" s="26" t="str">
        <x:v>新能源电池工程师是新能源汽车行业中的关键角色，负责研发和优化电动汽车的动力源——电池系统。随着全球对环保和可持续能源需求的增长，该职位对于推动技术进步和市场发展至关重要，直接关系到汽车性能、续航能力和成本控制等多个方面。…</x:v>
      </x:c>
      <x:c r="L559" s="26" t="str">
        <x:v>1. 负责新能源汽车动力电池系统的研发工作，包括但不限于电池选型、参数匹配及性能测试等，确保符合项目要求。 2. 对现有电池技术进行持续改进，探索新材料、新工艺的应用可能性，提升电池综合性能指标。 3. 参与制定并执行电…</x:v>
      </x:c>
    </x:row>
    <x:row r="560" ht="72" customHeight="1">
      <x:c r="A560" s="25" t="n">
        <x:v>11452</x:v>
      </x:c>
      <x:c r="B560" s="25" t="str">
        <x:v>IC-L3-709</x:v>
      </x:c>
      <x:c r="C560" s="25" t="str">
        <x:v>冲压工艺工程师</x:v>
      </x:c>
      <x:c r="D560" s="25" t="str">
        <x:v>6-25-01-01</x:v>
      </x:c>
      <x:c r="E560" s="25" t="str">
        <x:v>电容器制造工</x:v>
      </x:c>
      <x:c r="F560" s="28" t="n">
        <x:f>COUNTIF('岗位-产业节点关系'!$C$4:$C$709,B560)</x:f>
        <x:v>1</x:v>
      </x:c>
      <x:c r="G560" s="26" t="str">
        <x:f>IF(F560=0,"未匹配（现有产业链范围未覆盖或证据不足）",IF(COUNTIFS('岗位-产业节点关系'!$C$4:$C$709,B560,'岗位-产业节点关系'!$M$4:$M$709,"低")&gt;0,"已匹配，建议复核","已匹配"))</x:f>
        <x:v>已匹配</x:v>
      </x:c>
      <x:c r="H560" s="26" t="str">
        <x:v>中</x:v>
      </x:c>
      <x:c r="I560" s="26" t="str">
        <x:v>ICN005</x:v>
      </x:c>
      <x:c r="J560" s="26" t="str">
        <x:v>高端装备与智能制造产业链/中游/高端装备制造与激光加工</x:v>
      </x:c>
      <x:c r="K560" s="26" t="str">
        <x:v>冲压工艺工程师是汽车制造领域中不可或缺的专业技术人才，主要负责确保汽车零部件的冲压成型过程高效、精准地进行。作为连接设计与生产的桥梁，他们不仅需要具备扎实的理论知识，还应拥有丰富的实践经验，以应对生产过程中可能出现的各种…</x:v>
      </x:c>
      <x:c r="L560" s="26" t="str">
        <x:v>1. 负责制定并执行冲压工艺方案，确保生产过程符合设计要求和质量标准。 2. 对现有冲压生产线进行定期评估，提出改进建议以提高生产效率和降低成本。 3. 协助处理生产现场的技术问题，提供技术支持，保障生产活动顺利进行。 …</x:v>
      </x:c>
    </x:row>
    <x:row r="561" ht="72" customHeight="1">
      <x:c r="A561" s="25" t="n">
        <x:v>11453</x:v>
      </x:c>
      <x:c r="B561" s="25" t="str">
        <x:v>IC-L3-710</x:v>
      </x:c>
      <x:c r="C561" s="25" t="str">
        <x:v>前期质量工程师</x:v>
      </x:c>
      <x:c r="D561" s="25" t="str">
        <x:v>2-02-29-03</x:v>
      </x:c>
      <x:c r="E561" s="25" t="str">
        <x:v>质量管理工程技术人员</x:v>
      </x:c>
      <x:c r="F561" s="28" t="n">
        <x:f>COUNTIF('岗位-产业节点关系'!$C$4:$C$709,B561)</x:f>
        <x:v>0</x:v>
      </x:c>
      <x:c r="G561" s="26" t="str">
        <x:f>IF(F561=0,"未匹配（现有产业链范围未覆盖或证据不足）",IF(COUNTIFS('岗位-产业节点关系'!$C$4:$C$709,B561,'岗位-产业节点关系'!$M$4:$M$709,"低")&gt;0,"已匹配，建议复核","已匹配"))</x:f>
        <x:v>未匹配（现有产业链范围未覆盖或证据不足）</x:v>
      </x:c>
      <x:c r="H561" s="26" t="str">
        <x:v>-</x:v>
      </x:c>
      <x:c r="I561" s="26" t="str"/>
      <x:c r="J561" s="26" t="str"/>
      <x:c r="K561" s="26" t="str">
        <x:v>前期质量工程师是汽车制造业中不可或缺的关键角色，负责确保产品从设计到生产各阶段的质量标准，对提升企业竞争力有着至关重要的作用。该职位的主要任务是在项目早期识别潜在的质量风险点并制定预防措施，通过持续改进流程来降低不良率，…</x:v>
      </x:c>
      <x:c r="L561" s="26" t="str">
        <x:v>1. 负责新车型或改款车型在开发初期的质量策划工作，包括但不限于制定质量目标、编写质量计划书以及确定关键控制点。 2. 对供应商提供的零部件进行严格的质量审核，确保其符合公司的技术规范要求，对于不合格品要及时反馈并督促整…</x:v>
      </x:c>
    </x:row>
    <x:row r="562" ht="72" customHeight="1">
      <x:c r="A562" s="25" t="n">
        <x:v>11454</x:v>
      </x:c>
      <x:c r="B562" s="25" t="str">
        <x:v>IC-L3-711</x:v>
      </x:c>
      <x:c r="C562" s="25" t="str">
        <x:v>客户质量工程师</x:v>
      </x:c>
      <x:c r="D562" s="25" t="str">
        <x:v>2-02-29-03</x:v>
      </x:c>
      <x:c r="E562" s="25" t="str">
        <x:v>质量管理工程技术人员</x:v>
      </x:c>
      <x:c r="F562" s="28" t="n">
        <x:f>COUNTIF('岗位-产业节点关系'!$C$4:$C$709,B562)</x:f>
        <x:v>0</x:v>
      </x:c>
      <x:c r="G562" s="26" t="str">
        <x:f>IF(F562=0,"未匹配（现有产业链范围未覆盖或证据不足）",IF(COUNTIFS('岗位-产业节点关系'!$C$4:$C$709,B562,'岗位-产业节点关系'!$M$4:$M$709,"低")&gt;0,"已匹配，建议复核","已匹配"))</x:f>
        <x:v>未匹配（现有产业链范围未覆盖或证据不足）</x:v>
      </x:c>
      <x:c r="H562" s="26" t="str">
        <x:v>-</x:v>
      </x:c>
      <x:c r="I562" s="26" t="str"/>
      <x:c r="J562" s="26" t="str"/>
      <x:c r="K562" s="26" t="str">
        <x:v>客户质量工程师是汽车制造行业中至关重要的角色，主要负责确保产品符合客户要求的质量标准，通过持续改进流程来提升客户满意度。该职位不仅作为公司与客户之间的桥梁，还承担着维护品牌形象和市场竞争力的重要使命。 核心目标在于通过有…</x:v>
      </x:c>
      <x:c r="L562" s="26" t="str">
        <x:v>客户质量工程师的主要职责包括：负责客户产品质量问题的分析与解决，制定并实施质量改进措施；与客户保持良好沟通，收集并反馈客户质量需求和意见；参与产品设计评审，确保设计符合质量标准；制定和执行质量检验计划，确保产品质量符合要…</x:v>
      </x:c>
    </x:row>
    <x:row r="563" ht="72" customHeight="1">
      <x:c r="A563" s="25" t="n">
        <x:v>11455</x:v>
      </x:c>
      <x:c r="B563" s="25" t="str">
        <x:v>IC-L3-712</x:v>
      </x:c>
      <x:c r="C563" s="25" t="str">
        <x:v>总装工程师</x:v>
      </x:c>
      <x:c r="D563" s="25" t="str">
        <x:v>2-02-07-11</x:v>
      </x:c>
      <x:c r="E563" s="25" t="str">
        <x:v>汽车工程技术人员</x:v>
      </x:c>
      <x:c r="F563" s="28" t="n">
        <x:f>COUNTIF('岗位-产业节点关系'!$C$4:$C$709,B563)</x:f>
        <x:v>1</x:v>
      </x:c>
      <x:c r="G563" s="26" t="str">
        <x:f>IF(F563=0,"未匹配（现有产业链范围未覆盖或证据不足）",IF(COUNTIFS('岗位-产业节点关系'!$C$4:$C$709,B563,'岗位-产业节点关系'!$M$4:$M$709,"低")&gt;0,"已匹配，建议复核","已匹配"))</x:f>
        <x:v>已匹配，建议复核</x:v>
      </x:c>
      <x:c r="H563" s="26" t="str">
        <x:v>低</x:v>
      </x:c>
      <x:c r="I563" s="26" t="str">
        <x:v>ICN023</x:v>
      </x:c>
      <x:c r="J563" s="26" t="str">
        <x:v>汽车与智能网联汽车产业链/中游/整车制造与智能网联系统集成</x:v>
      </x:c>
      <x:c r="K563" s="26" t="str">
        <x:v>总装工程师是汽车制造行业中不可或缺的关键角色，负责确保汽车装配过程的高效与质量。该职位不仅涉及到技术层面的操作，如生产线的设计与优化，还承担着确保生产流程符合安全标准和环保要求的重要责任，是连接设计、采购、生产和质量控制…</x:v>
      </x:c>
      <x:c r="L563" s="26" t="str">
        <x:v>1. 负责整车装配线的整体规划与设计，确保生产线布局合理、操作便捷，达到预期的生产能力。 2. 对现有生产工艺进行持续改进，采用先进技术和设备，减少浪费，提高工作效率，降低成本。 3. 制定并实施严格的品质管理体系，监督…</x:v>
      </x:c>
    </x:row>
    <x:row r="564" ht="72" customHeight="1">
      <x:c r="A564" s="25" t="n">
        <x:v>11456</x:v>
      </x:c>
      <x:c r="B564" s="25" t="str">
        <x:v>IC-L3-713</x:v>
      </x:c>
      <x:c r="C564" s="25" t="str">
        <x:v>汽车装配工艺工程师</x:v>
      </x:c>
      <x:c r="D564" s="25" t="str">
        <x:v>2-02-07-11</x:v>
      </x:c>
      <x:c r="E564" s="25" t="str">
        <x:v>汽车工程技术人员</x:v>
      </x:c>
      <x:c r="F564" s="28" t="n">
        <x:f>COUNTIF('岗位-产业节点关系'!$C$4:$C$709,B564)</x:f>
        <x:v>2</x:v>
      </x:c>
      <x:c r="G564" s="26" t="str">
        <x:f>IF(F564=0,"未匹配（现有产业链范围未覆盖或证据不足）",IF(COUNTIFS('岗位-产业节点关系'!$C$4:$C$709,B564,'岗位-产业节点关系'!$M$4:$M$709,"低")&gt;0,"已匹配，建议复核","已匹配"))</x:f>
        <x:v>已匹配</x:v>
      </x:c>
      <x:c r="H564" s="26" t="str">
        <x:v>高</x:v>
      </x:c>
      <x:c r="I564" s="26" t="str">
        <x:v>ICN023、ICN005</x:v>
      </x:c>
      <x:c r="J564" s="26" t="str">
        <x:v>汽车与智能网联汽车产业链/中游/整车制造与智能网联系统集成；高端装备与智能制造产业链/中游/高端装备制造与激光加工</x:v>
      </x:c>
      <x:c r="K564" s="26" t="str">
        <x:v>汽车装配工艺工程师是汽车制造行业中至关重要的技术岗位，负责确保车辆从设计图纸到生产线上的顺利转化。该职位不仅需要深厚的机械工程知识，还需要具备良好的项目管理和团队合作能力，以支持企业实现高效、高质量的生产目标。通过与研发…</x:v>
      </x:c>
      <x:c r="L564" s="26" t="str">
        <x:v>1. 负责制定和完善汽车装配线的工艺流程，确保产品符合设计要求及质量标准。 2. 对现有生产线进行定期评估，识别并解决生产过程中的瓶颈问题，持续改进作业方法，提升整体产能。 3. 与设计团队密切配合，参与新车型的研发工作…</x:v>
      </x:c>
    </x:row>
    <x:row r="565" ht="72" customHeight="1">
      <x:c r="A565" s="25" t="n">
        <x:v>11457</x:v>
      </x:c>
      <x:c r="B565" s="25" t="str">
        <x:v>IC-L3-714</x:v>
      </x:c>
      <x:c r="C565" s="25" t="str">
        <x:v>汽车质量工程师</x:v>
      </x:c>
      <x:c r="D565" s="25" t="str">
        <x:v>2-02-07-11</x:v>
      </x:c>
      <x:c r="E565" s="25" t="str">
        <x:v>汽车工程技术人员</x:v>
      </x:c>
      <x:c r="F565" s="28" t="n">
        <x:f>COUNTIF('岗位-产业节点关系'!$C$4:$C$709,B565)</x:f>
        <x:v>1</x:v>
      </x:c>
      <x:c r="G565" s="26" t="str">
        <x:f>IF(F565=0,"未匹配（现有产业链范围未覆盖或证据不足）",IF(COUNTIFS('岗位-产业节点关系'!$C$4:$C$709,B565,'岗位-产业节点关系'!$M$4:$M$709,"低")&gt;0,"已匹配，建议复核","已匹配"))</x:f>
        <x:v>已匹配</x:v>
      </x:c>
      <x:c r="H565" s="26" t="str">
        <x:v>中</x:v>
      </x:c>
      <x:c r="I565" s="26" t="str">
        <x:v>ICN023</x:v>
      </x:c>
      <x:c r="J565" s="26" t="str">
        <x:v>汽车与智能网联汽车产业链/中游/整车制造与智能网联系统集成</x:v>
      </x:c>
      <x:c r="K565" s="26" t="str">
        <x:v>汽车质量工程师是汽车制造业中不可或缺的专业人才，他们负责确保生产过程中的每一个环节都符合严格的质量标准，从而保障最终产品的性能和安全性。作为连接研发与生产的桥梁，质量工程师通过持续改进产品质量，不仅提升了客户满意度，还为…</x:v>
      </x:c>
      <x:c r="L565" s="26" t="str">
        <x:v>1. 负责制定并实施全面的质量控制计划，确保所有生产流程及产品均达到国家法规和企业内部的标准要求。 2. 对生产线上的各种异常情况进行分析，找出问题根源，提出有效的预防措施，降低不良品率。 3. 定期组织质量审核活动，检…</x:v>
      </x:c>
    </x:row>
    <x:row r="566" ht="72" customHeight="1">
      <x:c r="A566" s="25" t="n">
        <x:v>11458</x:v>
      </x:c>
      <x:c r="B566" s="25" t="str">
        <x:v>IC-L3-715</x:v>
      </x:c>
      <x:c r="C566" s="25" t="str">
        <x:v>涂装工艺工程师</x:v>
      </x:c>
      <x:c r="D566" s="25" t="str">
        <x:v>6-25-01-01</x:v>
      </x:c>
      <x:c r="E566" s="25" t="str">
        <x:v>电容器制造工</x:v>
      </x:c>
      <x:c r="F566" s="28" t="n">
        <x:f>COUNTIF('岗位-产业节点关系'!$C$4:$C$709,B566)</x:f>
        <x:v>0</x:v>
      </x:c>
      <x:c r="G566" s="26" t="str">
        <x:f>IF(F566=0,"未匹配（现有产业链范围未覆盖或证据不足）",IF(COUNTIFS('岗位-产业节点关系'!$C$4:$C$709,B566,'岗位-产业节点关系'!$M$4:$M$709,"低")&gt;0,"已匹配，建议复核","已匹配"))</x:f>
        <x:v>未匹配（现有产业链范围未覆盖或证据不足）</x:v>
      </x:c>
      <x:c r="H566" s="26" t="str">
        <x:v>-</x:v>
      </x:c>
      <x:c r="I566" s="26" t="str"/>
      <x:c r="J566" s="26" t="str"/>
      <x:c r="K566" s="26" t="str">
        <x:v>涂装工艺工程师是汽车制造业中不可或缺的专业技术人才，他们负责确保车辆的表面处理达到最高标准，不仅提升了产品的外观质量，还延长了使用寿命。在这一领域，工程师们通过优化涂装流程、材料选择及应用技术，有效降低生产成本并提高生产…</x:v>
      </x:c>
      <x:c r="L566" s="26" t="str">
        <x:v>1. 负责制定和完善涂装生产工艺方案，确保所有产品符合既定的质量标准和技术要求。 2. 对现有生产线进行定期评估，识别潜在问题点并提出改进措施，以减少不良品率、降低能耗。 3. 协同相关部门开展新车型或新材料的试制工作，…</x:v>
      </x:c>
    </x:row>
    <x:row r="567" ht="72" customHeight="1">
      <x:c r="A567" s="25" t="n">
        <x:v>11459</x:v>
      </x:c>
      <x:c r="B567" s="25" t="str">
        <x:v>IC-L3-716</x:v>
      </x:c>
      <x:c r="C567" s="25" t="str">
        <x:v>焊接工艺工程师</x:v>
      </x:c>
      <x:c r="D567" s="25" t="str">
        <x:v>2-02-07-11</x:v>
      </x:c>
      <x:c r="E567" s="25" t="str">
        <x:v>汽车工程技术人员</x:v>
      </x:c>
      <x:c r="F567" s="28" t="n">
        <x:f>COUNTIF('岗位-产业节点关系'!$C$4:$C$709,B567)</x:f>
        <x:v>2</x:v>
      </x:c>
      <x:c r="G567" s="26" t="str">
        <x:f>IF(F567=0,"未匹配（现有产业链范围未覆盖或证据不足）",IF(COUNTIFS('岗位-产业节点关系'!$C$4:$C$709,B567,'岗位-产业节点关系'!$M$4:$M$709,"低")&gt;0,"已匹配，建议复核","已匹配"))</x:f>
        <x:v>已匹配</x:v>
      </x:c>
      <x:c r="H567" s="26" t="str">
        <x:v>中</x:v>
      </x:c>
      <x:c r="I567" s="26" t="str">
        <x:v>ICN005、ICN023</x:v>
      </x:c>
      <x:c r="J567" s="26" t="str">
        <x:v>高端装备与智能制造产业链/中游/高端装备制造与激光加工；汽车与智能网联汽车产业链/中游/整车制造与智能网联系统集成</x:v>
      </x:c>
      <x:c r="K567" s="26" t="str">
        <x:v>焊接工艺工程师是汽车制造业中不可或缺的专业人才，主要负责焊接技术的研发与应用，确保汽车部件的高质量连接，从而保障整车的安全性能与耐用度。该职位不仅需要具备扎实的理论基础，还需拥有丰富的实践经验，能够针对不同的材料和结构设…</x:v>
      </x:c>
      <x:c r="L567" s="26" t="str">
        <x:v>1. 负责制定并实施焊接工艺规范，指导现场操作人员正确执行，确保焊接质量和生产安全。 2. 对现有焊接工艺进行分析评估，提出改进建议，不断优化生产工艺流程，提高生产效率。 3. 参与新产品开发过程中的焊接技术研究，提供技…</x:v>
      </x:c>
    </x:row>
    <x:row r="568" ht="72" customHeight="1">
      <x:c r="A568" s="25" t="n">
        <x:v>11460</x:v>
      </x:c>
      <x:c r="B568" s="25" t="str">
        <x:v>IC-L3-717</x:v>
      </x:c>
      <x:c r="C568" s="25" t="str">
        <x:v>过程质量工程师</x:v>
      </x:c>
      <x:c r="D568" s="25" t="str">
        <x:v>2-02-29-03</x:v>
      </x:c>
      <x:c r="E568" s="25" t="str">
        <x:v>质量管理工程技术人员</x:v>
      </x:c>
      <x:c r="F568" s="28" t="n">
        <x:f>COUNTIF('岗位-产业节点关系'!$C$4:$C$709,B568)</x:f>
        <x:v>0</x:v>
      </x:c>
      <x:c r="G568" s="26" t="str">
        <x:f>IF(F568=0,"未匹配（现有产业链范围未覆盖或证据不足）",IF(COUNTIFS('岗位-产业节点关系'!$C$4:$C$709,B568,'岗位-产业节点关系'!$M$4:$M$709,"低")&gt;0,"已匹配，建议复核","已匹配"))</x:f>
        <x:v>未匹配（现有产业链范围未覆盖或证据不足）</x:v>
      </x:c>
      <x:c r="H568" s="26" t="str">
        <x:v>-</x:v>
      </x:c>
      <x:c r="I568" s="26" t="str"/>
      <x:c r="J568" s="26" t="str"/>
      <x:c r="K568" s="26" t="str">
        <x:v>过程质量工程师是汽车制造业中不可或缺的角色，负责确保生产过程中每个环节的质量标准得到严格执行，以保障最终产品的品质与可靠性。该职位不仅直接关系到企业的品牌形象，更是客户信任的基础所在。 该职位的核心目标在于通过持续改进生…</x:v>
      </x:c>
      <x:c r="L568" s="26" t="str">
        <x:v>1. 制定并实施过程质量控制计划，确保所有生产活动符合既定的质量标准。 2. 定期检查生产线上的关键工序，及时发现潜在的质量问题并采取纠正措施。 3. 分析质量问题的根本原因，提出并执行预防措施，避免类似问题再次发生。 …</x:v>
      </x:c>
    </x:row>
    <x:row r="569" ht="72" customHeight="1">
      <x:c r="A569" s="25" t="n">
        <x:v>11461</x:v>
      </x:c>
      <x:c r="B569" s="25" t="str">
        <x:v>IC-L3-718</x:v>
      </x:c>
      <x:c r="C569" s="25" t="str">
        <x:v>汽车试验工程师</x:v>
      </x:c>
      <x:c r="D569" s="25" t="str">
        <x:v>2-02-07-11</x:v>
      </x:c>
      <x:c r="E569" s="25" t="str">
        <x:v>汽车工程技术人员</x:v>
      </x:c>
      <x:c r="F569" s="28" t="n">
        <x:f>COUNTIF('岗位-产业节点关系'!$C$4:$C$709,B569)</x:f>
        <x:v>1</x:v>
      </x:c>
      <x:c r="G569" s="26" t="str">
        <x:f>IF(F569=0,"未匹配（现有产业链范围未覆盖或证据不足）",IF(COUNTIFS('岗位-产业节点关系'!$C$4:$C$709,B569,'岗位-产业节点关系'!$M$4:$M$709,"低")&gt;0,"已匹配，建议复核","已匹配"))</x:f>
        <x:v>已匹配</x:v>
      </x:c>
      <x:c r="H569" s="26" t="str">
        <x:v>中</x:v>
      </x:c>
      <x:c r="I569" s="26" t="str">
        <x:v>ICN023</x:v>
      </x:c>
      <x:c r="J569" s="26" t="str">
        <x:v>汽车与智能网联汽车产业链/中游/整车制造与智能网联系统集成</x:v>
      </x:c>
      <x:c r="K569" s="26" t="str">
        <x:v>汽车试验工程师是专门从事汽车产品测试与验证的专业人员。该职位的核心目标是通过系统化的试验方案，确保车辆性能与安全指标符合设计要求。在日常工作中，需要进行试验方案设计、测试数据采集与分析、试验报告编写等工作。</x:v>
      </x:c>
      <x:c r="L569" s="26" t="str">
        <x:v>1. 设计测试方案 2. 实施整车试验 3. 分析试验数据 4. 编写测试报告 5. 优化测试流程 6. 解决技术问题</x:v>
      </x:c>
    </x:row>
    <x:row r="570" ht="72" customHeight="1">
      <x:c r="A570" s="25" t="n">
        <x:v>11462</x:v>
      </x:c>
      <x:c r="B570" s="25" t="str">
        <x:v>IC-L3-719</x:v>
      </x:c>
      <x:c r="C570" s="25" t="str">
        <x:v>汽车标定工程师</x:v>
      </x:c>
      <x:c r="D570" s="25" t="str">
        <x:v>2-02-07-11</x:v>
      </x:c>
      <x:c r="E570" s="25" t="str">
        <x:v>汽车工程技术人员</x:v>
      </x:c>
      <x:c r="F570" s="28" t="n">
        <x:f>COUNTIF('岗位-产业节点关系'!$C$4:$C$709,B570)</x:f>
        <x:v>1</x:v>
      </x:c>
      <x:c r="G570" s="26" t="str">
        <x:f>IF(F570=0,"未匹配（现有产业链范围未覆盖或证据不足）",IF(COUNTIFS('岗位-产业节点关系'!$C$4:$C$709,B570,'岗位-产业节点关系'!$M$4:$M$709,"低")&gt;0,"已匹配，建议复核","已匹配"))</x:f>
        <x:v>已匹配</x:v>
      </x:c>
      <x:c r="H570" s="26" t="str">
        <x:v>中</x:v>
      </x:c>
      <x:c r="I570" s="26" t="str">
        <x:v>ICN023</x:v>
      </x:c>
      <x:c r="J570" s="26" t="str">
        <x:v>汽车与智能网联汽车产业链/中游/整车制造与智能网联系统集成</x:v>
      </x:c>
      <x:c r="K570" s="26" t="str">
        <x:v>汽车标定工程师是专门从事汽车动力系统性能优化与参数调试的专业人员。该职位的核心目标是通过发动机、变速箱等关键系统的标定工作，实现车辆最佳性能与排放平衡。在日常工作中，需要进行标定参数测试、数据分析、标定方案制定及验证等工…</x:v>
      </x:c>
      <x:c r="L570" s="26" t="str">
        <x:v>1. 负责发动机性能标定 2. 优化整车排放控制 3. 调试ECU控制参数 4. 开展台架测试验证 5. 编制标定技术文档 6. 解决标定相关问题</x:v>
      </x:c>
    </x:row>
    <x:row r="571" ht="72" customHeight="1">
      <x:c r="A571" s="25" t="n">
        <x:v>11463</x:v>
      </x:c>
      <x:c r="B571" s="25" t="str">
        <x:v>IC-L3-720</x:v>
      </x:c>
      <x:c r="C571" s="25" t="str">
        <x:v>汽车电子工程师</x:v>
      </x:c>
      <x:c r="D571" s="25" t="str">
        <x:v>2-02-09-02</x:v>
      </x:c>
      <x:c r="E571" s="25" t="str">
        <x:v>电子元器件工程技术人员</x:v>
      </x:c>
      <x:c r="F571" s="28" t="n">
        <x:f>COUNTIF('岗位-产业节点关系'!$C$4:$C$709,B571)</x:f>
        <x:v>1</x:v>
      </x:c>
      <x:c r="G571" s="26" t="str">
        <x:f>IF(F571=0,"未匹配（现有产业链范围未覆盖或证据不足）",IF(COUNTIFS('岗位-产业节点关系'!$C$4:$C$709,B571,'岗位-产业节点关系'!$M$4:$M$709,"低")&gt;0,"已匹配，建议复核","已匹配"))</x:f>
        <x:v>已匹配</x:v>
      </x:c>
      <x:c r="H571" s="26" t="str">
        <x:v>高</x:v>
      </x:c>
      <x:c r="I571" s="26" t="str">
        <x:v>ICN022</x:v>
      </x:c>
      <x:c r="J571" s="26" t="str">
        <x:v>汽车与智能网联汽车产业链/上游/汽车材料、零部件与电子电气</x:v>
      </x:c>
      <x:c r="K571" s="26" t="str">
        <x:v>汽车电子工程师是专门从事汽车电子系统研发与设计的专业人员。该职位的核心目标是通过开发创新电子解决方案，提升车辆性能与智能化水平。在日常工作中，需要进行ECU软件开发、车载网络系统设计、电子零部件测试验证等工作。</x:v>
      </x:c>
      <x:c r="L571" s="26" t="str">
        <x:v>1. 设计汽车电子系统 2. 开发车载控制软件 3. 测试电子元件性能 4. 解决技术故障问题 5. 优化电气线路布局 6. 跟进新技术研发</x:v>
      </x:c>
    </x:row>
    <x:row r="572" ht="72" customHeight="1">
      <x:c r="A572" s="25" t="n">
        <x:v>11464</x:v>
      </x:c>
      <x:c r="B572" s="25" t="str">
        <x:v>IC-L3-721</x:v>
      </x:c>
      <x:c r="C572" s="25" t="str">
        <x:v>汽车结构工程师</x:v>
      </x:c>
      <x:c r="D572" s="25" t="str">
        <x:v>2-02-07-11</x:v>
      </x:c>
      <x:c r="E572" s="25" t="str">
        <x:v>汽车工程技术人员</x:v>
      </x:c>
      <x:c r="F572" s="28" t="n">
        <x:f>COUNTIF('岗位-产业节点关系'!$C$4:$C$709,B572)</x:f>
        <x:v>1</x:v>
      </x:c>
      <x:c r="G572" s="26" t="str">
        <x:f>IF(F572=0,"未匹配（现有产业链范围未覆盖或证据不足）",IF(COUNTIFS('岗位-产业节点关系'!$C$4:$C$709,B572,'岗位-产业节点关系'!$M$4:$M$709,"低")&gt;0,"已匹配，建议复核","已匹配"))</x:f>
        <x:v>已匹配</x:v>
      </x:c>
      <x:c r="H572" s="26" t="str">
        <x:v>中</x:v>
      </x:c>
      <x:c r="I572" s="26" t="str">
        <x:v>ICN022</x:v>
      </x:c>
      <x:c r="J572" s="26" t="str">
        <x:v>汽车与智能网联汽车产业链/上游/汽车材料、零部件与电子电气</x:v>
      </x:c>
      <x:c r="K572" s="26" t="str">
        <x:v>汽车结构工程师是专门从事汽车车身和底盘结构设计与优化的专业人员。该职位的核心目标是通过创新设计和工程分析，确保车辆结构的安全性、轻量化和成本效益。在日常工作中，需要进行CAD建模、有限元分析、材料选型、结构测试及与制造部…</x:v>
      </x:c>
      <x:c r="L572" s="26" t="str">
        <x:v>1. 设计汽车结构方案 2. 优化车身强度性能 3. 分析零部件受力情况 4. 编制技术规范文件 5. 协调生产制造流程 6. 解决结构质量问题</x:v>
      </x:c>
    </x:row>
    <x:row r="573" ht="72" customHeight="1">
      <x:c r="A573" s="25" t="n">
        <x:v>11465</x:v>
      </x:c>
      <x:c r="B573" s="25" t="str">
        <x:v>IC-L3-722</x:v>
      </x:c>
      <x:c r="C573" s="25" t="str">
        <x:v>车联网工程师</x:v>
      </x:c>
      <x:c r="D573" s="25" t="str">
        <x:v>6-25-01-01</x:v>
      </x:c>
      <x:c r="E573" s="25" t="str">
        <x:v>电容器制造工</x:v>
      </x:c>
      <x:c r="F573" s="28" t="n">
        <x:f>COUNTIF('岗位-产业节点关系'!$C$4:$C$709,B573)</x:f>
        <x:v>1</x:v>
      </x:c>
      <x:c r="G573" s="26" t="str">
        <x:f>IF(F573=0,"未匹配（现有产业链范围未覆盖或证据不足）",IF(COUNTIFS('岗位-产业节点关系'!$C$4:$C$709,B573,'岗位-产业节点关系'!$M$4:$M$709,"低")&gt;0,"已匹配，建议复核","已匹配"))</x:f>
        <x:v>已匹配</x:v>
      </x:c>
      <x:c r="H573" s="26" t="str">
        <x:v>中</x:v>
      </x:c>
      <x:c r="I573" s="26" t="str">
        <x:v>ICN023</x:v>
      </x:c>
      <x:c r="J573" s="26" t="str">
        <x:v>汽车与智能网联汽车产业链/中游/整车制造与智能网联系统集成</x:v>
      </x:c>
      <x:c r="K573" s="26" t="str">
        <x:v>车联网工程师是专门从事车辆智能网联系统研发的专业人员。该职位的核心目标是通过开发车联网技术解决方案，实现车辆智能化与互联化。在日常工作中，需要进行车联网架构设计、通信协议开发、数据平台搭建及系统集成测试等工作。</x:v>
      </x:c>
      <x:c r="L573" s="26" t="str">
        <x:v>1. 开发车联网系统架构 2. 设计车载通信协议 3. 优化车辆数据传输 4. 对接车载硬件接口 5. 保障系统网络安全 6. 分析车辆运行数据</x:v>
      </x:c>
    </x:row>
    <x:row r="574" ht="72" customHeight="1">
      <x:c r="A574" s="25" t="n">
        <x:v>11466</x:v>
      </x:c>
      <x:c r="B574" s="25" t="str">
        <x:v>IC-L3-723</x:v>
      </x:c>
      <x:c r="C574" s="25" t="str">
        <x:v>车工</x:v>
      </x:c>
      <x:c r="D574" s="25" t="str">
        <x:v>2-02-07-11</x:v>
      </x:c>
      <x:c r="E574" s="25" t="str">
        <x:v>汽车工程技术人员</x:v>
      </x:c>
      <x:c r="F574" s="28" t="n">
        <x:f>COUNTIF('岗位-产业节点关系'!$C$4:$C$709,B574)</x:f>
        <x:v>2</x:v>
      </x:c>
      <x:c r="G574" s="26" t="str">
        <x:f>IF(F574=0,"未匹配（现有产业链范围未覆盖或证据不足）",IF(COUNTIFS('岗位-产业节点关系'!$C$4:$C$709,B574,'岗位-产业节点关系'!$M$4:$M$709,"低")&gt;0,"已匹配，建议复核","已匹配"))</x:f>
        <x:v>已匹配，建议复核</x:v>
      </x:c>
      <x:c r="H574" s="26" t="str">
        <x:v>低</x:v>
      </x:c>
      <x:c r="I574" s="26" t="str">
        <x:v>ICN004、ICN023</x:v>
      </x:c>
      <x:c r="J574" s="26" t="str">
        <x:v>高端装备与智能制造产业链/上游/关键基础件与工业母机；汽车与智能网联汽车产业链/中游/整车制造与智能网联系统集成</x:v>
      </x:c>
      <x:c r="K574" s="26" t="str">
        <x:v>车工是专门从事金属零部件精密加工的专业人员。该职位的核心目标是通过操作车床设备，实现汽车零部件的精准制造。在日常工作中，需要进行图纸解读、车床操作、尺寸测量、质量检验及设备维护等工作。</x:v>
      </x:c>
      <x:c r="L574" s="26" t="str">
        <x:v>1. 操作车床设备 2. 加工汽车零件 3. 检测零件精度 4. 维护车床刀具 5. 记录加工数据 6. 遵守安全规范</x:v>
      </x:c>
    </x:row>
    <x:row r="575" ht="72" customHeight="1">
      <x:c r="A575" s="25" t="n">
        <x:v>11467</x:v>
      </x:c>
      <x:c r="B575" s="25" t="str">
        <x:v>IC-L3-724</x:v>
      </x:c>
      <x:c r="C575" s="25" t="str">
        <x:v>内外饰工程师</x:v>
      </x:c>
      <x:c r="D575" s="25" t="str">
        <x:v>2-02-07-11</x:v>
      </x:c>
      <x:c r="E575" s="25" t="str">
        <x:v>汽车工程技术人员</x:v>
      </x:c>
      <x:c r="F575" s="28" t="n">
        <x:f>COUNTIF('岗位-产业节点关系'!$C$4:$C$709,B575)</x:f>
        <x:v>0</x:v>
      </x:c>
      <x:c r="G575" s="26" t="str">
        <x:f>IF(F575=0,"未匹配（现有产业链范围未覆盖或证据不足）",IF(COUNTIFS('岗位-产业节点关系'!$C$4:$C$709,B575,'岗位-产业节点关系'!$M$4:$M$709,"低")&gt;0,"已匹配，建议复核","已匹配"))</x:f>
        <x:v>未匹配（现有产业链范围未覆盖或证据不足）</x:v>
      </x:c>
      <x:c r="H575" s="26" t="str">
        <x:v>-</x:v>
      </x:c>
      <x:c r="I575" s="26" t="str"/>
      <x:c r="J575" s="26" t="str"/>
      <x:c r="K575" s="26" t="str">
        <x:v>内外饰工程师是汽车研发设计领域中不可或缺的专业人才，负责车辆内外部装饰件的设计与开发，确保产品既满足美学需求又符合功能性和安全性标准。作为连接技术与艺术的桥梁，内外饰工程师不仅需要具备扎实的工程知识，还需拥有敏锐的市场洞…</x:v>
      </x:c>
      <x:c r="L575" s="26" t="str">
        <x:v>1. 负责汽车内外饰部件的造型设计及结构设计工作，确保设计方案符合项目目标和客户要求。 2. 与供应商进行技术交流，制定合理的材料选择方案，控制成本同时保证质量。 3. 参与样件试制过程，解决生产过程中出现的技术问题，确…</x:v>
      </x:c>
    </x:row>
    <x:row r="576" ht="72" customHeight="1">
      <x:c r="A576" s="25" t="n">
        <x:v>11468</x:v>
      </x:c>
      <x:c r="B576" s="25" t="str">
        <x:v>IC-L3-725</x:v>
      </x:c>
      <x:c r="C576" s="25" t="str">
        <x:v>动力总成工程师</x:v>
      </x:c>
      <x:c r="D576" s="25" t="str">
        <x:v>2-02-07-11</x:v>
      </x:c>
      <x:c r="E576" s="25" t="str">
        <x:v>汽车工程技术人员</x:v>
      </x:c>
      <x:c r="F576" s="28" t="n">
        <x:f>COUNTIF('岗位-产业节点关系'!$C$4:$C$709,B576)</x:f>
        <x:v>1</x:v>
      </x:c>
      <x:c r="G576" s="26" t="str">
        <x:f>IF(F576=0,"未匹配（现有产业链范围未覆盖或证据不足）",IF(COUNTIFS('岗位-产业节点关系'!$C$4:$C$709,B576,'岗位-产业节点关系'!$M$4:$M$709,"低")&gt;0,"已匹配，建议复核","已匹配"))</x:f>
        <x:v>已匹配，建议复核</x:v>
      </x:c>
      <x:c r="H576" s="26" t="str">
        <x:v>低</x:v>
      </x:c>
      <x:c r="I576" s="26" t="str">
        <x:v>ICN022</x:v>
      </x:c>
      <x:c r="J576" s="26" t="str">
        <x:v>汽车与智能网联汽车产业链/上游/汽车材料、零部件与电子电气</x:v>
      </x:c>
      <x:c r="K576" s="26" t="str">
        <x:v>动力总成工程师是汽车行业中至关重要的技术岗位之一，负责车辆核心动力系统的研发与优化。作为连接技术创新与市场需求的关键桥梁，该职位不仅关乎汽车性能的提升，更直接影响到产品的市场竞争力及品牌影响力。 动力总成工程师的主要任务…</x:v>
      </x:c>
      <x:c r="L576" s="26" t="str">
        <x:v>1. 负责动力总成系统的设计、仿真分析及测试验证工作，确保满足产品性能指标。 2. 与供应商沟通协调，制定合理的采购策略和技术规范，保证零部件质量与供应稳定性。 3. 参与新车型开发项目，提供技术支持并解决研发过程中遇到…</x:v>
      </x:c>
    </x:row>
    <x:row r="577" ht="72" customHeight="1">
      <x:c r="A577" s="25" t="n">
        <x:v>11469</x:v>
      </x:c>
      <x:c r="B577" s="25" t="str">
        <x:v>IC-L3-726</x:v>
      </x:c>
      <x:c r="C577" s="25" t="str">
        <x:v>发动机匹配工程师</x:v>
      </x:c>
      <x:c r="D577" s="25" t="str">
        <x:v>2-02-07-11</x:v>
      </x:c>
      <x:c r="E577" s="25" t="str">
        <x:v>汽车工程技术人员</x:v>
      </x:c>
      <x:c r="F577" s="28" t="n">
        <x:f>COUNTIF('岗位-产业节点关系'!$C$4:$C$709,B577)</x:f>
        <x:v>1</x:v>
      </x:c>
      <x:c r="G577" s="26" t="str">
        <x:f>IF(F577=0,"未匹配（现有产业链范围未覆盖或证据不足）",IF(COUNTIFS('岗位-产业节点关系'!$C$4:$C$709,B577,'岗位-产业节点关系'!$M$4:$M$709,"低")&gt;0,"已匹配，建议复核","已匹配"))</x:f>
        <x:v>已匹配，建议复核</x:v>
      </x:c>
      <x:c r="H577" s="26" t="str">
        <x:v>低</x:v>
      </x:c>
      <x:c r="I577" s="26" t="str">
        <x:v>ICN022</x:v>
      </x:c>
      <x:c r="J577" s="26" t="str">
        <x:v>汽车与智能网联汽车产业链/上游/汽车材料、零部件与电子电气</x:v>
      </x:c>
      <x:c r="K577" s="26" t="str">
        <x:v>发动机匹配工程师是汽车行业中至关重要的技术岗位，负责确保发动机与整车系统的完美结合，以达到最佳性能表现。通过深入分析发动机特性与车辆需求，该职位对于推动产品创新和技术进步起着关键作用。 该职位的核心目标在于优化发动机与传…</x:v>
      </x:c>
      <x:c r="L577" s="26" t="str">
        <x:v>1. 负责发动机与整车系统的集成匹配工作，确保各项性能指标符合设计标准。 2. 利用专业工具进行动力总成性能分析，提出改进措施以提升产品竞争力。 3. 参与制定试验方案，指导测试人员完成相关验证实验，收集数据并撰写报告。…</x:v>
      </x:c>
    </x:row>
    <x:row r="578" ht="72" customHeight="1">
      <x:c r="A578" s="25" t="n">
        <x:v>11470</x:v>
      </x:c>
      <x:c r="B578" s="25" t="str">
        <x:v>IC-L3-727</x:v>
      </x:c>
      <x:c r="C578" s="25" t="str">
        <x:v>发动机工程师</x:v>
      </x:c>
      <x:c r="D578" s="25" t="str">
        <x:v>2-02-07-11</x:v>
      </x:c>
      <x:c r="E578" s="25" t="str">
        <x:v>汽车工程技术人员</x:v>
      </x:c>
      <x:c r="F578" s="28" t="n">
        <x:f>COUNTIF('岗位-产业节点关系'!$C$4:$C$709,B578)</x:f>
        <x:v>0</x:v>
      </x:c>
      <x:c r="G578" s="26" t="str">
        <x:f>IF(F578=0,"未匹配（现有产业链范围未覆盖或证据不足）",IF(COUNTIFS('岗位-产业节点关系'!$C$4:$C$709,B578,'岗位-产业节点关系'!$M$4:$M$709,"低")&gt;0,"已匹配，建议复核","已匹配"))</x:f>
        <x:v>未匹配（现有产业链范围未覆盖或证据不足）</x:v>
      </x:c>
      <x:c r="H578" s="26" t="str">
        <x:v>-</x:v>
      </x:c>
      <x:c r="I578" s="26" t="str"/>
      <x:c r="J578" s="26" t="str"/>
      <x:c r="K578" s="26" t="str">
        <x:v>发动机工程师是汽车行业中至关重要的技术角色之一，负责推动汽车动力系统的技术革新与性能优化。在汽车研发设计领域中，发动机工程师不仅需要具备深厚的专业知识，还需要拥有创新思维和解决复杂问题的能力，以确保汽车产品的竞争力和市场…</x:v>
      </x:c>
      <x:c r="L578" s="26" t="str">
        <x:v>1. 负责发动机的设计、测试及改进工作，确保满足性能指标要求并符合相关法规标准。 2. 开展新材料、新技术的研究应用，探索提高发动机效能的新途径。 3. 与跨职能团队密切配合，协调解决产品开发过程中的技术难题。 4. 参…</x:v>
      </x:c>
    </x:row>
    <x:row r="579" ht="72" customHeight="1">
      <x:c r="A579" s="25" t="n">
        <x:v>11471</x:v>
      </x:c>
      <x:c r="B579" s="25" t="str">
        <x:v>IC-L3-728</x:v>
      </x:c>
      <x:c r="C579" s="25" t="str">
        <x:v>底盘工程师</x:v>
      </x:c>
      <x:c r="D579" s="25" t="str">
        <x:v>2-02-07-11</x:v>
      </x:c>
      <x:c r="E579" s="25" t="str">
        <x:v>汽车工程技术人员</x:v>
      </x:c>
      <x:c r="F579" s="28" t="n">
        <x:f>COUNTIF('岗位-产业节点关系'!$C$4:$C$709,B579)</x:f>
        <x:v>0</x:v>
      </x:c>
      <x:c r="G579" s="26" t="str">
        <x:f>IF(F579=0,"未匹配（现有产业链范围未覆盖或证据不足）",IF(COUNTIFS('岗位-产业节点关系'!$C$4:$C$709,B579,'岗位-产业节点关系'!$M$4:$M$709,"低")&gt;0,"已匹配，建议复核","已匹配"))</x:f>
        <x:v>未匹配（现有产业链范围未覆盖或证据不足）</x:v>
      </x:c>
      <x:c r="H579" s="26" t="str">
        <x:v>-</x:v>
      </x:c>
      <x:c r="I579" s="26" t="str"/>
      <x:c r="J579" s="26" t="str"/>
      <x:c r="K579" s="26" t="str">
        <x:v>底盘工程师是汽车研发设计领域中不可或缺的关键角色，负责确保车辆的行驶性能和安全性。通过优化车辆的悬挂系统、转向系统等关键部件，底盘工程师不仅能够提升驾驶体验，还能满足日益严格的环保标准和安全法规要求，从而为公司赢得市场竞…</x:v>
      </x:c>
      <x:c r="L579" s="26" t="str">
        <x:v>1. 负责汽车底盘系统的整体设计与开发工作，确保满足项目的技术指标及客户需求。 2. 对现有底盘架构进行持续改进，以提高车辆的操控稳定性、舒适性和燃油经济性。 3. 与供应商沟通协调，完成零部件选型、测试验证以及质量控制…</x:v>
      </x:c>
    </x:row>
    <x:row r="580" ht="72" customHeight="1">
      <x:c r="A580" s="25" t="n">
        <x:v>11472</x:v>
      </x:c>
      <x:c r="B580" s="25" t="str">
        <x:v>IC-L3-729</x:v>
      </x:c>
      <x:c r="C580" s="25" t="str">
        <x:v>新能源电控工程师</x:v>
      </x:c>
      <x:c r="D580" s="25" t="str">
        <x:v>2-02-07-11</x:v>
      </x:c>
      <x:c r="E580" s="25" t="str">
        <x:v>汽车工程技术人员</x:v>
      </x:c>
      <x:c r="F580" s="28" t="n">
        <x:f>COUNTIF('岗位-产业节点关系'!$C$4:$C$709,B580)</x:f>
        <x:v>2</x:v>
      </x:c>
      <x:c r="G580" s="26" t="str">
        <x:f>IF(F580=0,"未匹配（现有产业链范围未覆盖或证据不足）",IF(COUNTIFS('岗位-产业节点关系'!$C$4:$C$709,B580,'岗位-产业节点关系'!$M$4:$M$709,"低")&gt;0,"已匹配，建议复核","已匹配"))</x:f>
        <x:v>已匹配，建议复核</x:v>
      </x:c>
      <x:c r="H580" s="26" t="str">
        <x:v>高</x:v>
      </x:c>
      <x:c r="I580" s="26" t="str">
        <x:v>ICN013、ICN023</x:v>
      </x:c>
      <x:c r="J580" s="26" t="str">
        <x:v>新能源与电力装备产业链/上游/新能源材料、电芯与发电设备；汽车与智能网联汽车产业链/中游/整车制造与智能网联系统集成</x:v>
      </x:c>
      <x:c r="K580" s="26" t="str">
        <x:v>新能源电控工程师是汽车行业向电动化转型的关键角色之一。随着全球对环境保护意识的增强及技术进步，新能源汽车市场正迅速扩大，电控系统作为新能源汽车的心脏部位，其性能直接影响到整车的安全性、经济性和舒适性。因此，本职位不仅承担…</x:v>
      </x:c>
      <x:c r="L580" s="26" t="str">
        <x:v>新能源电控工程师的主要职责包括：负责新能源汽车电控系统的研发与设计，包括电池管理系统、电机控制系统等；进行电控系统的需求分析、方案设计、仿真验证及测试优化；参与产品开发的全过程，确保电控系统满足性能、安全及法规要求；与跨…</x:v>
      </x:c>
    </x:row>
    <x:row r="581" ht="72" customHeight="1">
      <x:c r="A581" s="25" t="n">
        <x:v>11473</x:v>
      </x:c>
      <x:c r="B581" s="25" t="str">
        <x:v>IC-L3-730</x:v>
      </x:c>
      <x:c r="C581" s="25" t="str">
        <x:v>新能源电机工程师</x:v>
      </x:c>
      <x:c r="D581" s="25" t="str">
        <x:v>2-02-07-11</x:v>
      </x:c>
      <x:c r="E581" s="25" t="str">
        <x:v>汽车工程技术人员</x:v>
      </x:c>
      <x:c r="F581" s="28" t="n">
        <x:f>COUNTIF('岗位-产业节点关系'!$C$4:$C$709,B581)</x:f>
        <x:v>2</x:v>
      </x:c>
      <x:c r="G581" s="26" t="str">
        <x:f>IF(F581=0,"未匹配（现有产业链范围未覆盖或证据不足）",IF(COUNTIFS('岗位-产业节点关系'!$C$4:$C$709,B581,'岗位-产业节点关系'!$M$4:$M$709,"低")&gt;0,"已匹配，建议复核","已匹配"))</x:f>
        <x:v>已匹配，建议复核</x:v>
      </x:c>
      <x:c r="H581" s="26" t="str">
        <x:v>高</x:v>
      </x:c>
      <x:c r="I581" s="26" t="str">
        <x:v>ICN014、ICN023</x:v>
      </x:c>
      <x:c r="J581" s="26" t="str">
        <x:v>新能源与电力装备产业链/中游/发电、储能与输配电装备；汽车与智能网联汽车产业链/中游/整车制造与智能网联系统集成</x:v>
      </x:c>
      <x:c r="K581" s="26" t="str">
        <x:v>新能源电机工程师是汽车行业向绿色能源转型的关键角色之一。随着全球对于环境保护意识的增强以及政府政策的支持，新能源汽车的研发与生产成为各大车企的重点发展方向，而作为其核心部件之一的电机系统的设计与优化工作尤为重要。该职位不…</x:v>
      </x:c>
      <x:c r="L581" s="26" t="str">
        <x:v>1. 负责新能源汽车驱动电机系统的总体设计，包括但不限于电机选型、参数计算、仿真分析等工作，确保设计方案符合项目需求和行业标准。 2. 开展电机控制策略的研究与开发，提高电机效率、可靠性和动态响应特性，满足车辆动力性能要…</x:v>
      </x:c>
    </x:row>
    <x:row r="582" ht="72" customHeight="1">
      <x:c r="A582" s="25" t="n">
        <x:v>11474</x:v>
      </x:c>
      <x:c r="B582" s="25" t="str">
        <x:v>IC-L3-731</x:v>
      </x:c>
      <x:c r="C582" s="25" t="str">
        <x:v>新能源电池工程师</x:v>
      </x:c>
      <x:c r="D582" s="25" t="str">
        <x:v>2-02-07-11</x:v>
      </x:c>
      <x:c r="E582" s="25" t="str">
        <x:v>汽车工程技术人员</x:v>
      </x:c>
      <x:c r="F582" s="28" t="n">
        <x:f>COUNTIF('岗位-产业节点关系'!$C$4:$C$709,B582)</x:f>
        <x:v>2</x:v>
      </x:c>
      <x:c r="G582" s="26" t="str">
        <x:f>IF(F582=0,"未匹配（现有产业链范围未覆盖或证据不足）",IF(COUNTIFS('岗位-产业节点关系'!$C$4:$C$709,B582,'岗位-产业节点关系'!$M$4:$M$709,"低")&gt;0,"已匹配，建议复核","已匹配"))</x:f>
        <x:v>已匹配，建议复核</x:v>
      </x:c>
      <x:c r="H582" s="26" t="str">
        <x:v>高</x:v>
      </x:c>
      <x:c r="I582" s="26" t="str">
        <x:v>ICN013、ICN023</x:v>
      </x:c>
      <x:c r="J582" s="26" t="str">
        <x:v>新能源与电力装备产业链/上游/新能源材料、电芯与发电设备；汽车与智能网联汽车产业链/中游/整车制造与智能网联系统集成</x:v>
      </x:c>
      <x:c r="K582" s="26" t="str">
        <x:v>新能源电池工程师是汽车行业向绿色转型的关键角色之一。随着全球对于减少碳排放、提高能源利用效率的需求日益增长，新能源电池技术成为推动汽车工业革新的核心力量。作为新能源电池工程师，不仅需要具备扎实的专业知识，还需拥有创新思维…</x:v>
      </x:c>
      <x:c r="L582" s="26" t="str">
        <x:v>1. 负责新能源汽车电池系统的整体设计与开发工作，确保设计方案符合市场需求并满足性能指标要求。 2. 对现有电池产品进行性能测试与分析，识别问题根源并提出改进措施，持续提升产品质量和可靠性。 3. 与供应商沟通协作，评估…</x:v>
      </x:c>
    </x:row>
    <x:row r="583" ht="72" customHeight="1">
      <x:c r="A583" s="25" t="n">
        <x:v>11475</x:v>
      </x:c>
      <x:c r="B583" s="25" t="str">
        <x:v>IC-L3-732</x:v>
      </x:c>
      <x:c r="C583" s="25" t="str">
        <x:v>智能驾驶工程师</x:v>
      </x:c>
      <x:c r="D583" s="25" t="str">
        <x:v>2-02-38-01</x:v>
      </x:c>
      <x:c r="E583" s="25" t="str">
        <x:v>人工智能工程技术人员</x:v>
      </x:c>
      <x:c r="F583" s="28" t="n">
        <x:f>COUNTIF('岗位-产业节点关系'!$C$4:$C$709,B583)</x:f>
        <x:v>2</x:v>
      </x:c>
      <x:c r="G583" s="26" t="str">
        <x:f>IF(F583=0,"未匹配（现有产业链范围未覆盖或证据不足）",IF(COUNTIFS('岗位-产业节点关系'!$C$4:$C$709,B583,'岗位-产业节点关系'!$M$4:$M$709,"低")&gt;0,"已匹配，建议复核","已匹配"))</x:f>
        <x:v>已匹配</x:v>
      </x:c>
      <x:c r="H583" s="26" t="str">
        <x:v>中</x:v>
      </x:c>
      <x:c r="I583" s="26" t="str">
        <x:v>ICN024、ICN045</x:v>
      </x:c>
      <x:c r="J583" s="26" t="str">
        <x:v>汽车与智能网联汽车产业链/下游/出行服务、后市场与自动驾驶应用；人工智能产业链/下游/行业智能化应用与AI服务</x:v>
      </x:c>
      <x:c r="K583" s="26" t="str">
        <x:v>智能驾驶工程师是汽车行业中推动技术创新与发展的关键角色之一，随着智能网联技术的不断进步，这一职位对于实现汽车行业的转型升级具有不可替代的作用。作为智能驾驶领域的专家，智能驾驶工程师的主要任务是开发先进的自动驾驶系统，通过…</x:v>
      </x:c>
      <x:c r="L583" s="26" t="str">
        <x:v>智能驾驶工程师的主要职责包括：负责智能驾驶系统的研发与优化，包括感知、决策与控制模块；参与自动驾驶算法的设计与实现，确保系统在各种复杂环境下的稳定运行；进行数据采集与分析，持续优化算法性能；与跨部门团队紧密合作，推动智能…</x:v>
      </x:c>
    </x:row>
    <x:row r="584" ht="72" customHeight="1">
      <x:c r="A584" s="25" t="n">
        <x:v>11476</x:v>
      </x:c>
      <x:c r="B584" s="25" t="str">
        <x:v>IC-L3-733</x:v>
      </x:c>
      <x:c r="C584" s="25" t="str">
        <x:v>智能驾驶测试工程师</x:v>
      </x:c>
      <x:c r="D584" s="25" t="str">
        <x:v>2-02-38-05</x:v>
      </x:c>
      <x:c r="E584" s="25" t="str">
        <x:v>智能制造工程技术人员</x:v>
      </x:c>
      <x:c r="F584" s="28" t="n">
        <x:f>COUNTIF('岗位-产业节点关系'!$C$4:$C$709,B584)</x:f>
        <x:v>3</x:v>
      </x:c>
      <x:c r="G584" s="26" t="str">
        <x:f>IF(F584=0,"未匹配（现有产业链范围未覆盖或证据不足）",IF(COUNTIFS('岗位-产业节点关系'!$C$4:$C$709,B584,'岗位-产业节点关系'!$M$4:$M$709,"低")&gt;0,"已匹配，建议复核","已匹配"))</x:f>
        <x:v>已匹配</x:v>
      </x:c>
      <x:c r="H584" s="26" t="str">
        <x:v>中</x:v>
      </x:c>
      <x:c r="I584" s="26" t="str">
        <x:v>ICN023、ICN024、ICN045</x:v>
      </x:c>
      <x:c r="J584" s="26" t="str">
        <x:v>汽车与智能网联汽车产业链/中游/整车制造与智能网联系统集成；汽车与智能网联汽车产业链/下游/出行服务、后市场与自动驾驶应用；人工智能产业链/下游/行业智能化应用与AI服务</x:v>
      </x:c>
      <x:c r="K584" s="26" t="str">
        <x:v>智能驾驶测试工程师是汽车行业智能化转型的关键角色之一。随着自动驾驶技术的快速发展，该职位不仅承担着确保智能驾驶系统安全可靠的重要任务，还是推动技术创新与应用落地的桥梁。通过精准测试与优化迭代，智能驾驶测试工程师能够有效降…</x:v>
      </x:c>
      <x:c r="L584" s="26" t="str">
        <x:v>1. 负责智能驾驶系统的功能测试、性能测试及兼容性测试，确保软件质量符合行业标准和客户期望。 2. 制定详细的测试计划和方案，涵盖不同场景下的模拟测试和实际道路测试，以全面评估系统的稳定性和安全性。 3. 对测试过程中发…</x:v>
      </x:c>
    </x:row>
    <x:row r="585" ht="72" customHeight="1">
      <x:c r="A585" s="25" t="n">
        <x:v>11477</x:v>
      </x:c>
      <x:c r="B585" s="25" t="str">
        <x:v>IC-L3-734</x:v>
      </x:c>
      <x:c r="C585" s="25" t="str">
        <x:v>汽车/摩托车工程师</x:v>
      </x:c>
      <x:c r="D585" s="25" t="str">
        <x:v>2-02-07-11</x:v>
      </x:c>
      <x:c r="E585" s="25" t="str">
        <x:v>汽车工程技术人员</x:v>
      </x:c>
      <x:c r="F585" s="28" t="n">
        <x:f>COUNTIF('岗位-产业节点关系'!$C$4:$C$709,B585)</x:f>
        <x:v>2</x:v>
      </x:c>
      <x:c r="G585" s="26" t="str">
        <x:f>IF(F585=0,"未匹配（现有产业链范围未覆盖或证据不足）",IF(COUNTIFS('岗位-产业节点关系'!$C$4:$C$709,B585,'岗位-产业节点关系'!$M$4:$M$709,"低")&gt;0,"已匹配，建议复核","已匹配"))</x:f>
        <x:v>已匹配，建议复核</x:v>
      </x:c>
      <x:c r="H585" s="26" t="str">
        <x:v>中</x:v>
      </x:c>
      <x:c r="I585" s="26" t="str">
        <x:v>ICN023、ICN005</x:v>
      </x:c>
      <x:c r="J585" s="26" t="str">
        <x:v>汽车与智能网联汽车产业链/中游/整车制造与智能网联系统集成；高端装备与智能制造产业链/中游/高端装备制造与激光加工</x:v>
      </x:c>
      <x:c r="K585" s="26" t="str">
        <x:v>汽车/摩托车工程师是汽车行业中至关重要的角色，他们负责车辆的设计与开发，确保产品满足性能、安全和环保标准。这一职位不仅关乎技术创新，更是推动整个汽车行业向前发展的核心力量。通过不断探索新材料、新技术的应用，以及优化现有车…</x:v>
      </x:c>
      <x:c r="L585" s="26" t="str">
        <x:v>1. 负责汽车或摩托车整车及零部件的设计与开发工作，确保设计方案符合国家相关法规和技术标准。 2. 进行产品性能测试，分析测试数据，识别并解决设计中存在的问题，持续改进产品性能。 3. 与供应商沟通协作，评估并选择合适的…</x:v>
      </x:c>
    </x:row>
    <x:row r="586" ht="72" customHeight="1">
      <x:c r="A586" s="25" t="n">
        <x:v>11478</x:v>
      </x:c>
      <x:c r="B586" s="25" t="str">
        <x:v>IC-L3-735</x:v>
      </x:c>
      <x:c r="C586" s="25" t="str">
        <x:v>汽车安全性能工程师</x:v>
      </x:c>
      <x:c r="D586" s="25" t="str">
        <x:v>2-02-07-11</x:v>
      </x:c>
      <x:c r="E586" s="25" t="str">
        <x:v>汽车工程技术人员</x:v>
      </x:c>
      <x:c r="F586" s="28" t="n">
        <x:f>COUNTIF('岗位-产业节点关系'!$C$4:$C$709,B586)</x:f>
        <x:v>1</x:v>
      </x:c>
      <x:c r="G586" s="26" t="str">
        <x:f>IF(F586=0,"未匹配（现有产业链范围未覆盖或证据不足）",IF(COUNTIFS('岗位-产业节点关系'!$C$4:$C$709,B586,'岗位-产业节点关系'!$M$4:$M$709,"低")&gt;0,"已匹配，建议复核","已匹配"))</x:f>
        <x:v>已匹配</x:v>
      </x:c>
      <x:c r="H586" s="26" t="str">
        <x:v>中</x:v>
      </x:c>
      <x:c r="I586" s="26" t="str">
        <x:v>ICN023</x:v>
      </x:c>
      <x:c r="J586" s="26" t="str">
        <x:v>汽车与智能网联汽车产业链/中游/整车制造与智能网联系统集成</x:v>
      </x:c>
      <x:c r="K586" s="26" t="str">
        <x:v>汽车安全性能工程师是汽车行业中的关键角色，他们专注于提升车辆的安全标准，确保驾驶者和乘客的生命安全。随着消费者对汽车安全性的关注度不断提高，这一职位的重要性日益凸显，成为推动行业发展的重要力量。 作为汽车安全性能工程师，…</x:v>
      </x:c>
      <x:c r="L586" s="26" t="str">
        <x:v>1. 负责汽车被动安全系统的设计优化，包括但不限于车身结构强度分析、碰撞模拟仿真等，以达到或超过国家相关法规要求。 2. 参与主动安全技术的研究开发，如自动驾驶辅助系统的功能验证，确保其有效性和可靠性。 3. 定期组织并…</x:v>
      </x:c>
    </x:row>
    <x:row r="587" ht="72" customHeight="1">
      <x:c r="A587" s="25" t="n">
        <x:v>11479</x:v>
      </x:c>
      <x:c r="B587" s="25" t="str">
        <x:v>IC-L3-736</x:v>
      </x:c>
      <x:c r="C587" s="25" t="str">
        <x:v>汽车标定工程师</x:v>
      </x:c>
      <x:c r="D587" s="25" t="str">
        <x:v>2-02-07-11</x:v>
      </x:c>
      <x:c r="E587" s="25" t="str">
        <x:v>汽车工程技术人员</x:v>
      </x:c>
      <x:c r="F587" s="28" t="n">
        <x:f>COUNTIF('岗位-产业节点关系'!$C$4:$C$709,B587)</x:f>
        <x:v>1</x:v>
      </x:c>
      <x:c r="G587" s="26" t="str">
        <x:f>IF(F587=0,"未匹配（现有产业链范围未覆盖或证据不足）",IF(COUNTIFS('岗位-产业节点关系'!$C$4:$C$709,B587,'岗位-产业节点关系'!$M$4:$M$709,"低")&gt;0,"已匹配，建议复核","已匹配"))</x:f>
        <x:v>已匹配</x:v>
      </x:c>
      <x:c r="H587" s="26" t="str">
        <x:v>中</x:v>
      </x:c>
      <x:c r="I587" s="26" t="str">
        <x:v>ICN023</x:v>
      </x:c>
      <x:c r="J587" s="26" t="str">
        <x:v>汽车与智能网联汽车产业链/中游/整车制造与智能网联系统集成</x:v>
      </x:c>
      <x:c r="K587" s="26" t="str">
        <x:v>汽车标定工程师是汽车行业研发设计中不可或缺的专业人才，他们负责车辆性能参数的设定与优化，确保汽车产品满足性能、安全及排放等多方面的要求。在汽车从概念设计到量产的过程中，标定工程师通过精确调整发动机、变速箱及其他关键系统的…</x:v>
      </x:c>
      <x:c r="L587" s="26" t="str">
        <x:v>1. 负责整车动力系统（包括但不限于燃油车、混合动力车及电动车）的标定工作，确保车辆各项性能指标符合设计要求。 2. 与研发团队密切配合，参与新车型的前期标定策略制定，分析并解决标定过程中出现的技术问题。 3. 制定详细…</x:v>
      </x:c>
    </x:row>
    <x:row r="588" ht="72" customHeight="1">
      <x:c r="A588" s="25" t="n">
        <x:v>11480</x:v>
      </x:c>
      <x:c r="B588" s="25" t="str">
        <x:v>IC-L3-737</x:v>
      </x:c>
      <x:c r="C588" s="25" t="str">
        <x:v>汽车电子工程师</x:v>
      </x:c>
      <x:c r="D588" s="25" t="str">
        <x:v>2-02-09-02</x:v>
      </x:c>
      <x:c r="E588" s="25" t="str">
        <x:v>电子元器件工程技术人员</x:v>
      </x:c>
      <x:c r="F588" s="28" t="n">
        <x:f>COUNTIF('岗位-产业节点关系'!$C$4:$C$709,B588)</x:f>
        <x:v>1</x:v>
      </x:c>
      <x:c r="G588" s="26" t="str">
        <x:f>IF(F588=0,"未匹配（现有产业链范围未覆盖或证据不足）",IF(COUNTIFS('岗位-产业节点关系'!$C$4:$C$709,B588,'岗位-产业节点关系'!$M$4:$M$709,"低")&gt;0,"已匹配，建议复核","已匹配"))</x:f>
        <x:v>已匹配</x:v>
      </x:c>
      <x:c r="H588" s="26" t="str">
        <x:v>高</x:v>
      </x:c>
      <x:c r="I588" s="26" t="str">
        <x:v>ICN022</x:v>
      </x:c>
      <x:c r="J588" s="26" t="str">
        <x:v>汽车与智能网联汽车产业链/上游/汽车材料、零部件与电子电气</x:v>
      </x:c>
      <x:c r="K588" s="26" t="str">
        <x:v>汽车电子工程师是汽车行业中至关重要的技术角色，负责确保车辆的电子系统达到最高性能标准。随着汽车行业向电动化、智能化转型，这一职位的重要性日益凸显，成为推动技术创新和产品升级的关键力量。汽车电子工程师不仅需要与软件开发、机…</x:v>
      </x:c>
      <x:c r="L588" s="26" t="str">
        <x:v>1. 负责汽车电子控制系统的设计与开发工作，确保产品符合安全规范及客户要求。 2. 对现有电子设备进行性能测试与优化，提高系统的可靠性和稳定性，降低故障率。 3. 参与跨部门项目团队会议，与其他工程师协作解决技术难题，促…</x:v>
      </x:c>
    </x:row>
    <x:row r="589" ht="72" customHeight="1">
      <x:c r="A589" s="25" t="n">
        <x:v>11481</x:v>
      </x:c>
      <x:c r="B589" s="25" t="str">
        <x:v>IC-L3-738</x:v>
      </x:c>
      <x:c r="C589" s="25" t="str">
        <x:v>汽车结构工程师</x:v>
      </x:c>
      <x:c r="D589" s="25" t="str">
        <x:v>2-02-07-11</x:v>
      </x:c>
      <x:c r="E589" s="25" t="str">
        <x:v>汽车工程技术人员</x:v>
      </x:c>
      <x:c r="F589" s="28" t="n">
        <x:f>COUNTIF('岗位-产业节点关系'!$C$4:$C$709,B589)</x:f>
        <x:v>1</x:v>
      </x:c>
      <x:c r="G589" s="26" t="str">
        <x:f>IF(F589=0,"未匹配（现有产业链范围未覆盖或证据不足）",IF(COUNTIFS('岗位-产业节点关系'!$C$4:$C$709,B589,'岗位-产业节点关系'!$M$4:$M$709,"低")&gt;0,"已匹配，建议复核","已匹配"))</x:f>
        <x:v>已匹配</x:v>
      </x:c>
      <x:c r="H589" s="26" t="str">
        <x:v>中</x:v>
      </x:c>
      <x:c r="I589" s="26" t="str">
        <x:v>ICN023</x:v>
      </x:c>
      <x:c r="J589" s="26" t="str">
        <x:v>汽车与智能网联汽车产业链/中游/整车制造与智能网联系统集成</x:v>
      </x:c>
      <x:c r="K589" s="26" t="str">
        <x:v>汽车结构工程师是汽车研发设计领域中不可或缺的专业人才，他们通过深入研究和创新设计，确保车辆的安全性、舒适性和耐用性，对于推动整个汽车行业的发展具有重要意义。作为汽车结构工程师，其核心目标在于通过优化车身及内部结构的设计，…</x:v>
      </x:c>
      <x:c r="L589" s="26" t="str">
        <x:v>1. 负责汽车零部件的结构设计与分析工作，确保产品符合力学性能要求和相关法规标准。 2. 参与新车型开发项目的前期策划，制定详细的结构设计方案，指导后续的生产和测试流程。 3. 与供应商沟通协调，确保外购件的质量满足设计…</x:v>
      </x:c>
    </x:row>
    <x:row r="590" ht="72" customHeight="1">
      <x:c r="A590" s="25" t="n">
        <x:v>11482</x:v>
      </x:c>
      <x:c r="B590" s="25" t="str">
        <x:v>IC-L3-739</x:v>
      </x:c>
      <x:c r="C590" s="25" t="str">
        <x:v>汽车设计工程师</x:v>
      </x:c>
      <x:c r="D590" s="25" t="str">
        <x:v>2-02-07-11</x:v>
      </x:c>
      <x:c r="E590" s="25" t="str">
        <x:v>汽车工程技术人员</x:v>
      </x:c>
      <x:c r="F590" s="28" t="n">
        <x:f>COUNTIF('岗位-产业节点关系'!$C$4:$C$709,B590)</x:f>
        <x:v>1</x:v>
      </x:c>
      <x:c r="G590" s="26" t="str">
        <x:f>IF(F590=0,"未匹配（现有产业链范围未覆盖或证据不足）",IF(COUNTIFS('岗位-产业节点关系'!$C$4:$C$709,B590,'岗位-产业节点关系'!$M$4:$M$709,"低")&gt;0,"已匹配，建议复核","已匹配"))</x:f>
        <x:v>已匹配</x:v>
      </x:c>
      <x:c r="H590" s="26" t="str">
        <x:v>中</x:v>
      </x:c>
      <x:c r="I590" s="26" t="str">
        <x:v>ICN022</x:v>
      </x:c>
      <x:c r="J590" s="26" t="str">
        <x:v>汽车与智能网联汽车产业链/上游/汽车材料、零部件与电子电气</x:v>
      </x:c>
      <x:c r="K590" s="26" t="str">
        <x:v>汽车设计工程师是汽车行业创新与发展的关键角色，他们通过创意和技术手段塑造未来的交通工具，不仅影响着车辆的外观和性能，还直接关系到品牌的市场竞争力和消费者体验。作为公司产品开发的核心成员之一，汽车设计工程师负责从概念草图到…</x:v>
      </x:c>
      <x:c r="L590" s="26" t="str">
        <x:v>1. 负责汽车内外饰的设计工作，包括但不限于造型研究、色彩材质选择以及细节处理，确保设计成果兼具美观性和功能性。 2. 与研发团队紧密沟通，参与新车型的研发讨论，提供专业的设计建议并解决实际问题，保证设计方案顺利实施。 …</x:v>
      </x:c>
    </x:row>
    <x:row r="591" ht="72" customHeight="1">
      <x:c r="A591" s="25" t="n">
        <x:v>11483</x:v>
      </x:c>
      <x:c r="B591" s="25" t="str">
        <x:v>IC-L3-740</x:v>
      </x:c>
      <x:c r="C591" s="25" t="str">
        <x:v>汽车试验工程师</x:v>
      </x:c>
      <x:c r="D591" s="25" t="str">
        <x:v>2-02-07-11</x:v>
      </x:c>
      <x:c r="E591" s="25" t="str">
        <x:v>汽车工程技术人员</x:v>
      </x:c>
      <x:c r="F591" s="28" t="n">
        <x:f>COUNTIF('岗位-产业节点关系'!$C$4:$C$709,B591)</x:f>
        <x:v>1</x:v>
      </x:c>
      <x:c r="G591" s="26" t="str">
        <x:f>IF(F591=0,"未匹配（现有产业链范围未覆盖或证据不足）",IF(COUNTIFS('岗位-产业节点关系'!$C$4:$C$709,B591,'岗位-产业节点关系'!$M$4:$M$709,"低")&gt;0,"已匹配，建议复核","已匹配"))</x:f>
        <x:v>已匹配</x:v>
      </x:c>
      <x:c r="H591" s="26" t="str">
        <x:v>中</x:v>
      </x:c>
      <x:c r="I591" s="26" t="str">
        <x:v>ICN023</x:v>
      </x:c>
      <x:c r="J591" s="26" t="str">
        <x:v>汽车与智能网联汽车产业链/中游/整车制造与智能网联系统集成</x:v>
      </x:c>
      <x:c r="K591" s="26" t="str">
        <x:v>汽车试验工程师是汽车研发设计领域中不可或缺的专业技术人才，他们负责确保新车型从概念到量产的每一个环节都符合安全标准和性能要求，对于提升车辆品质、保障消费者权益以及推动行业发展具有重要意义。本职位通过制定并执行全面的测试计…</x:v>
      </x:c>
      <x:c r="L591" s="26" t="str">
        <x:v>1. 负责整车及零部件的性能测试工作，包括但不限于动力性、经济性、排放性等方面的实验，确保各项指标达到国家法规和企业标准。 2. 设计并实施各类专项试验方案，如耐久性测试、环境适应性测试等，以验证产品在不同工况下的可靠性…</x:v>
      </x:c>
    </x:row>
    <x:row r="592" ht="72" customHeight="1">
      <x:c r="A592" s="25" t="n">
        <x:v>11484</x:v>
      </x:c>
      <x:c r="B592" s="25" t="str">
        <x:v>IC-L3-741</x:v>
      </x:c>
      <x:c r="C592" s="25" t="str">
        <x:v>汽车项目管理</x:v>
      </x:c>
      <x:c r="D592" s="25" t="str">
        <x:v>2-02-07-11</x:v>
      </x:c>
      <x:c r="E592" s="25" t="str">
        <x:v>汽车工程技术人员</x:v>
      </x:c>
      <x:c r="F592" s="28" t="n">
        <x:f>COUNTIF('岗位-产业节点关系'!$C$4:$C$709,B592)</x:f>
        <x:v>1</x:v>
      </x:c>
      <x:c r="G592" s="26" t="str">
        <x:f>IF(F592=0,"未匹配（现有产业链范围未覆盖或证据不足）",IF(COUNTIFS('岗位-产业节点关系'!$C$4:$C$709,B592,'岗位-产业节点关系'!$M$4:$M$709,"低")&gt;0,"已匹配，建议复核","已匹配"))</x:f>
        <x:v>已匹配</x:v>
      </x:c>
      <x:c r="H592" s="26" t="str">
        <x:v>中</x:v>
      </x:c>
      <x:c r="I592" s="26" t="str">
        <x:v>ICN022</x:v>
      </x:c>
      <x:c r="J592" s="26" t="str">
        <x:v>汽车与智能网联汽车产业链/上游/汽车材料、零部件与电子电气</x:v>
      </x:c>
      <x:c r="K592" s="26" t="str">
        <x:v>汽车项目管理是汽车研发设计领域中至关重要的角色之一，负责确保从概念阶段到最终产品发布的每一个环节都按计划顺利进行。此职位不仅需要具备深厚的技术背景，还需拥有卓越的组织协调能力和项目管理经验，以应对复杂多变的项目挑战。 作…</x:v>
      </x:c>
      <x:c r="L592" s="26" t="str">
        <x:v>1. 制定详细的项目计划，包括时间表、预算、资源分配等，确保项目按时完成并达到预期目标。 2. 协调内外部资源，解决项目实施过程中遇到的问题，维护良好的客户关系，确保项目顺利推进。 3. 跟踪项目进度，定期向高层管理者汇…</x:v>
      </x:c>
    </x:row>
    <x:row r="593" ht="72" customHeight="1">
      <x:c r="A593" s="25" t="n">
        <x:v>11485</x:v>
      </x:c>
      <x:c r="B593" s="25" t="str">
        <x:v>IC-L3-742</x:v>
      </x:c>
      <x:c r="C593" s="25" t="str">
        <x:v>电气/电器工程师</x:v>
      </x:c>
      <x:c r="D593" s="25" t="str">
        <x:v>2-02-07-11</x:v>
      </x:c>
      <x:c r="E593" s="25" t="str">
        <x:v>汽车工程技术人员</x:v>
      </x:c>
      <x:c r="F593" s="28" t="n">
        <x:f>COUNTIF('岗位-产业节点关系'!$C$4:$C$709,B593)</x:f>
        <x:v>2</x:v>
      </x:c>
      <x:c r="G593" s="26" t="str">
        <x:f>IF(F593=0,"未匹配（现有产业链范围未覆盖或证据不足）",IF(COUNTIFS('岗位-产业节点关系'!$C$4:$C$709,B593,'岗位-产业节点关系'!$M$4:$M$709,"低")&gt;0,"已匹配，建议复核","已匹配"))</x:f>
        <x:v>已匹配，建议复核</x:v>
      </x:c>
      <x:c r="H593" s="26" t="str">
        <x:v>低</x:v>
      </x:c>
      <x:c r="I593" s="26" t="str">
        <x:v>ICN016、ICN022</x:v>
      </x:c>
      <x:c r="J593" s="26" t="str">
        <x:v>智能物联与消费电子产业链/上游/传感器、芯片模组与基础器件；汽车与智能网联汽车产业链/上游/汽车材料、零部件与电子电气</x:v>
      </x:c>
      <x:c r="K593" s="26" t="str">
        <x:v>电气/电器工程师在汽车行业扮演着至关重要的角色，负责确保车辆中所有电子系统和设备的正常运行。随着汽车技术向智能化、电动化方向发展，电气/电器工程师不仅是连接硬件与软件的关键桥梁，也是推动新能源汽车发展的核心力量。本职位通…</x:v>
      </x:c>
      <x:c r="L593" s="26" t="str">
        <x:v>1. 负责整车电气系统的方案设计及详细设计工作，确保设计方案符合国家法规标准和客户要求。 2. 对现有电气产品进行持续改进，以提高其性能、降低成本并缩短生产周期。 3. 参与新车型的开发流程，与跨职能团队密切沟通，确保电…</x:v>
      </x:c>
    </x:row>
    <x:row r="594" ht="72" customHeight="1">
      <x:c r="A594" s="25" t="n">
        <x:v>11486</x:v>
      </x:c>
      <x:c r="B594" s="25" t="str">
        <x:v>IC-L3-743</x:v>
      </x:c>
      <x:c r="C594" s="25" t="str">
        <x:v>研发总监/部长/专家</x:v>
      </x:c>
      <x:c r="D594" s="25" t="str">
        <x:v>2-02-07-11</x:v>
      </x:c>
      <x:c r="E594" s="25" t="str">
        <x:v>汽车工程技术人员</x:v>
      </x:c>
      <x:c r="F594" s="28" t="n">
        <x:f>COUNTIF('岗位-产业节点关系'!$C$4:$C$709,B594)</x:f>
        <x:v>0</x:v>
      </x:c>
      <x:c r="G594" s="26" t="str">
        <x:f>IF(F594=0,"未匹配（现有产业链范围未覆盖或证据不足）",IF(COUNTIFS('岗位-产业节点关系'!$C$4:$C$709,B594,'岗位-产业节点关系'!$M$4:$M$709,"低")&gt;0,"已匹配，建议复核","已匹配"))</x:f>
        <x:v>未匹配（现有产业链范围未覆盖或证据不足）</x:v>
      </x:c>
      <x:c r="H594" s="26" t="str">
        <x:v>-</x:v>
      </x:c>
      <x:c r="I594" s="26" t="str"/>
      <x:c r="J594" s="26" t="str"/>
      <x:c r="K594" s="26" t="str">
        <x:v>作为汽车行业的研发总监/部长/专家，您将处于推动技术创新与产品发展的最前沿。在这个职位上，您不仅负责领导整个研发团队进行新车型的研发设计工作，还将参与制定公司长期的技术发展战略，确保企业能够紧跟市场趋势，持续推出符合消费…</x:v>
      </x:c>
      <x:c r="L594" s="26" t="str">
        <x:v>1. 制定并执行汽车研发设计的战略规划，确保研发项目按计划推进，达成预期成果。 2. 组织开展新技术研究，探索新材料、新工艺的应用可能性，提高产品性能和生产效率。 3. 监控项目进度，定期评估研发成果，识别潜在风险点，采…</x:v>
      </x:c>
    </x:row>
    <x:row r="595" ht="72" customHeight="1">
      <x:c r="A595" s="25" t="n">
        <x:v>11487</x:v>
      </x:c>
      <x:c r="B595" s="25" t="str">
        <x:v>IC-L3-744</x:v>
      </x:c>
      <x:c r="C595" s="25" t="str">
        <x:v>车联网工程师</x:v>
      </x:c>
      <x:c r="D595" s="25" t="str">
        <x:v>2-02-07-11</x:v>
      </x:c>
      <x:c r="E595" s="25" t="str">
        <x:v>汽车工程技术人员</x:v>
      </x:c>
      <x:c r="F595" s="28" t="n">
        <x:f>COUNTIF('岗位-产业节点关系'!$C$4:$C$709,B595)</x:f>
        <x:v>1</x:v>
      </x:c>
      <x:c r="G595" s="26" t="str">
        <x:f>IF(F595=0,"未匹配（现有产业链范围未覆盖或证据不足）",IF(COUNTIFS('岗位-产业节点关系'!$C$4:$C$709,B595,'岗位-产业节点关系'!$M$4:$M$709,"低")&gt;0,"已匹配，建议复核","已匹配"))</x:f>
        <x:v>已匹配</x:v>
      </x:c>
      <x:c r="H595" s="26" t="str">
        <x:v>中</x:v>
      </x:c>
      <x:c r="I595" s="26" t="str">
        <x:v>ICN023</x:v>
      </x:c>
      <x:c r="J595" s="26" t="str">
        <x:v>汽车与智能网联汽车产业链/中游/整车制造与智能网联系统集成</x:v>
      </x:c>
      <x:c r="K595" s="26" t="str">
        <x:v>车联网工程师是汽车行业中推动智能交通与未来出行方式创新的关键角色。随着汽车行业的不断发展和技术的革新，车联网技术成为了连接人、车、路的重要桥梁，它不仅能够提升驾驶体验，还能有效提高道路安全性和交通效率。车联网工程师负责开…</x:v>
      </x:c>
      <x:c r="L595" s="26" t="str">
        <x:v>1. 负责车联网系统的架构设计与开发工作，确保系统稳定运行并满足性能要求。 2. 实施车联网相关技术的研究与应用，推动技术创新，提升产品的市场竞争力。 3. 与多部门沟通协调，共同解决项目实施过程中的技术难题，保证项目按…</x:v>
      </x:c>
    </x:row>
    <x:row r="596" ht="72" customHeight="1">
      <x:c r="A596" s="25" t="n">
        <x:v>11488</x:v>
      </x:c>
      <x:c r="B596" s="25" t="str">
        <x:v>IC-L3-745</x:v>
      </x:c>
      <x:c r="C596" s="25" t="str">
        <x:v>车身/造型设计</x:v>
      </x:c>
      <x:c r="D596" s="25" t="str">
        <x:v>2-02-07-11</x:v>
      </x:c>
      <x:c r="E596" s="25" t="str">
        <x:v>汽车工程技术人员</x:v>
      </x:c>
      <x:c r="F596" s="28" t="n">
        <x:f>COUNTIF('岗位-产业节点关系'!$C$4:$C$709,B596)</x:f>
        <x:v>0</x:v>
      </x:c>
      <x:c r="G596" s="26" t="str">
        <x:f>IF(F596=0,"未匹配（现有产业链范围未覆盖或证据不足）",IF(COUNTIFS('岗位-产业节点关系'!$C$4:$C$709,B596,'岗位-产业节点关系'!$M$4:$M$709,"低")&gt;0,"已匹配，建议复核","已匹配"))</x:f>
        <x:v>未匹配（现有产业链范围未覆盖或证据不足）</x:v>
      </x:c>
      <x:c r="H596" s="26" t="str">
        <x:v>-</x:v>
      </x:c>
      <x:c r="I596" s="26" t="str"/>
      <x:c r="J596" s="26" t="str"/>
      <x:c r="K596" s="26" t="str">
        <x:v>车身/造型设计是汽车行业中至关重要的环节之一，设计师们通过创新的设计理念和技术手段，赋予汽车独特的外观和内部结构，不仅提升了产品的市场竞争力，也塑造了品牌的形象。该职位的核心目标在于根据市场需求及技术发展趋势，完成从概念…</x:v>
      </x:c>
      <x:c r="L596" s="26" t="str">
        <x:v>1. 负责新车型的整体造型设计，包括外型、内饰等，确保设计方案符合品牌定位及市场趋势。 2. 利用专业软件进行三维建模，将创意转化为可视化的数字模型，并不断优化直至满足生产条件。 3. 与工程技术人员沟通协调，确保设计成…</x:v>
      </x:c>
    </x:row>
    <x:row r="597" ht="72" customHeight="1">
      <x:c r="A597" s="25" t="n">
        <x:v>11489</x:v>
      </x:c>
      <x:c r="B597" s="25" t="str">
        <x:v>IC-L3-746</x:v>
      </x:c>
      <x:c r="C597" s="25" t="str">
        <x:v>附件系统工程师</x:v>
      </x:c>
      <x:c r="D597" s="25" t="str">
        <x:v>2-02-07-11</x:v>
      </x:c>
      <x:c r="E597" s="25" t="str">
        <x:v>汽车工程技术人员</x:v>
      </x:c>
      <x:c r="F597" s="28" t="n">
        <x:f>COUNTIF('岗位-产业节点关系'!$C$4:$C$709,B597)</x:f>
        <x:v>0</x:v>
      </x:c>
      <x:c r="G597" s="26" t="str">
        <x:f>IF(F597=0,"未匹配（现有产业链范围未覆盖或证据不足）",IF(COUNTIFS('岗位-产业节点关系'!$C$4:$C$709,B597,'岗位-产业节点关系'!$M$4:$M$709,"低")&gt;0,"已匹配，建议复核","已匹配"))</x:f>
        <x:v>未匹配（现有产业链范围未覆盖或证据不足）</x:v>
      </x:c>
      <x:c r="H597" s="26" t="str">
        <x:v>-</x:v>
      </x:c>
      <x:c r="I597" s="26" t="str"/>
      <x:c r="J597" s="26" t="str"/>
      <x:c r="K597" s="26" t="str">
        <x:v>附件系统工程师是汽车研发设计领域中不可或缺的专业人才。作为连接车辆性能与用户体验的关键环节，附件系统工程师负责确保所有辅助设备（如空调、座椅加热等）的功能性和安全性，从而提升整体驾驶体验。通过不断优化产品设计和技术方案，…</x:v>
      </x:c>
      <x:c r="L597" s="26" t="str">
        <x:v>附件系统工程师的主要职责包括：负责企业附件系统的规划、设计与实施，确保系统稳定运行；管理附件存储和检索流程，优化系统性能；维护系统安全，定期进行数据备份与恢复；协调跨部门沟通，解决系统使用中的问题；参与系统升级与优化，提…</x:v>
      </x:c>
    </x:row>
    <x:row r="598" ht="72" customHeight="1">
      <x:c r="A598" s="25" t="n">
        <x:v>11490</x:v>
      </x:c>
      <x:c r="B598" s="25" t="str">
        <x:v>IC-L3-747</x:v>
      </x:c>
      <x:c r="C598" s="25" t="str">
        <x:v>酒体设计师</x:v>
      </x:c>
      <x:c r="D598" s="25" t="str">
        <x:v>2-02-07-11</x:v>
      </x:c>
      <x:c r="E598" s="25" t="str">
        <x:v>汽车工程技术人员</x:v>
      </x:c>
      <x:c r="F598" s="28" t="n">
        <x:f>COUNTIF('岗位-产业节点关系'!$C$4:$C$709,B598)</x:f>
        <x:v>0</x:v>
      </x:c>
      <x:c r="G598" s="26" t="str">
        <x:f>IF(F598=0,"未匹配（现有产业链范围未覆盖或证据不足）",IF(COUNTIFS('岗位-产业节点关系'!$C$4:$C$709,B598,'岗位-产业节点关系'!$M$4:$M$709,"低")&gt;0,"已匹配，建议复核","已匹配"))</x:f>
        <x:v>未匹配（现有产业链范围未覆盖或证据不足）</x:v>
      </x:c>
      <x:c r="H598" s="26" t="str">
        <x:v>-</x:v>
      </x:c>
      <x:c r="I598" s="26" t="str"/>
      <x:c r="J598" s="26" t="str"/>
      <x:c r="K598" s="26" t="str">
        <x:v>酒体设计师是专门从事汽车内饰酒体造型设计的专业人员。该职位的核心目标是通过创新酒体造型设计，提升汽车内饰的品质感和用户体验。在日常工作中，需要进行酒体形态设计、材料选择、色彩搭配及与工程团队的协同优化等工作。</x:v>
      </x:c>
      <x:c r="L598" s="26" t="str">
        <x:v>1. 设计汽车外观流线 2. 优化空气动力学性能 3. 协调造型与工程需求 4. 制作油泥模型方案 5. 评估设计方案可行性 6. 跟进样车制造过程</x:v>
      </x:c>
    </x:row>
    <x:row r="599" ht="72" customHeight="1">
      <x:c r="A599" s="25" t="n">
        <x:v>11491</x:v>
      </x:c>
      <x:c r="B599" s="25" t="str">
        <x:v>IC-L3-748</x:v>
      </x:c>
      <x:c r="C599" s="25" t="str">
        <x:v>4S店经理/维修站经理</x:v>
      </x:c>
      <x:c r="D599" s="25" t="str">
        <x:v>4-02-02-01</x:v>
      </x:c>
      <x:c r="E599" s="25" t="str">
        <x:v>客运车辆驾驶员</x:v>
      </x:c>
      <x:c r="F599" s="28" t="n">
        <x:f>COUNTIF('岗位-产业节点关系'!$C$4:$C$709,B599)</x:f>
        <x:v>1</x:v>
      </x:c>
      <x:c r="G599" s="26" t="str">
        <x:f>IF(F599=0,"未匹配（现有产业链范围未覆盖或证据不足）",IF(COUNTIFS('岗位-产业节点关系'!$C$4:$C$709,B599,'岗位-产业节点关系'!$M$4:$M$709,"低")&gt;0,"已匹配，建议复核","已匹配"))</x:f>
        <x:v>已匹配，建议复核</x:v>
      </x:c>
      <x:c r="H599" s="26" t="str">
        <x:v>低</x:v>
      </x:c>
      <x:c r="I599" s="26" t="str">
        <x:v>ICN024</x:v>
      </x:c>
      <x:c r="J599" s="26" t="str">
        <x:v>汽车与智能网联汽车产业链/下游/出行服务、后市场与自动驾驶应用</x:v>
      </x:c>
      <x:c r="K599" s="26" t="str">
        <x:v>4S店经理或维修站经理是汽车销售与服务行业中不可或缺的关键角色，他们负责确保4S店或维修站在高效运作的同时，能够提供优质的客户服务体验。作为管理层的一员，他们不仅需要具备出色的领导力，还应拥有扎实的汽车行业知识，以引领团…</x:v>
      </x:c>
      <x:c r="L599" s="26" t="str">
        <x:v>1. 制定并执行年度销售计划，监督销售团队完成既定目标，提高市场占有率。 2. 管理店内所有维修保养工作，确保服务质量符合标准，减少客户投诉率。 3. 定期组织员工培训，加强团队建设，提高员工的服务水平和专业知识。 4.…</x:v>
      </x:c>
    </x:row>
    <x:row r="600" ht="72" customHeight="1">
      <x:c r="A600" s="25" t="n">
        <x:v>11492</x:v>
      </x:c>
      <x:c r="B600" s="25" t="str">
        <x:v>IC-L3-749</x:v>
      </x:c>
      <x:c r="C600" s="25" t="str">
        <x:v>二手车评估师</x:v>
      </x:c>
      <x:c r="D600" s="25" t="str">
        <x:v>4-02-02-01</x:v>
      </x:c>
      <x:c r="E600" s="25" t="str">
        <x:v>客运车辆驾驶员</x:v>
      </x:c>
      <x:c r="F600" s="28" t="n">
        <x:f>COUNTIF('岗位-产业节点关系'!$C$4:$C$709,B600)</x:f>
        <x:v>1</x:v>
      </x:c>
      <x:c r="G600" s="26" t="str">
        <x:f>IF(F600=0,"未匹配（现有产业链范围未覆盖或证据不足）",IF(COUNTIFS('岗位-产业节点关系'!$C$4:$C$709,B600,'岗位-产业节点关系'!$M$4:$M$709,"低")&gt;0,"已匹配，建议复核","已匹配"))</x:f>
        <x:v>已匹配</x:v>
      </x:c>
      <x:c r="H600" s="26" t="str">
        <x:v>中</x:v>
      </x:c>
      <x:c r="I600" s="26" t="str">
        <x:v>ICN024</x:v>
      </x:c>
      <x:c r="J600" s="26" t="str">
        <x:v>汽车与智能网联汽车产业链/下游/出行服务、后市场与自动驾驶应用</x:v>
      </x:c>
      <x:c r="K600" s="26" t="str">
        <x:v>二手车评估师是汽车行业中不可或缺的专业角色，其工作对于确保交易的公平性和透明度至关重要。通过精准地评估车辆的真实价值，该职位不仅能够保护消费者权益，同时也有助于提升公司品牌形象和市场竞争力。此外，作为团队中的一员，二手车…</x:v>
      </x:c>
      <x:c r="L600" s="26" t="str">
        <x:v>1. 对待售二手车进行全面细致的检查，包括但不限于外观、内饰、机械性能等方面，以确定车辆的实际状况。 2. 根据车辆的品牌、型号、年份及行驶里程等因素，结合市场行情，准确计算出二手车的合理价格区间。 3. 为客户提供专业…</x:v>
      </x:c>
    </x:row>
    <x:row r="601" ht="72" customHeight="1">
      <x:c r="A601" s="25" t="n">
        <x:v>11493</x:v>
      </x:c>
      <x:c r="B601" s="25" t="str">
        <x:v>IC-L3-750</x:v>
      </x:c>
      <x:c r="C601" s="25" t="str">
        <x:v>售后服务/客户服务</x:v>
      </x:c>
      <x:c r="D601" s="25" t="str">
        <x:v>4-02-02-01</x:v>
      </x:c>
      <x:c r="E601" s="25" t="str">
        <x:v>客运车辆驾驶员</x:v>
      </x:c>
      <x:c r="F601" s="28" t="n">
        <x:f>COUNTIF('岗位-产业节点关系'!$C$4:$C$709,B601)</x:f>
        <x:v>0</x:v>
      </x:c>
      <x:c r="G601" s="26" t="str">
        <x:f>IF(F601=0,"未匹配（现有产业链范围未覆盖或证据不足）",IF(COUNTIFS('岗位-产业节点关系'!$C$4:$C$709,B601,'岗位-产业节点关系'!$M$4:$M$709,"低")&gt;0,"已匹配，建议复核","已匹配"))</x:f>
        <x:v>未匹配（现有产业链范围未覆盖或证据不足）</x:v>
      </x:c>
      <x:c r="H601" s="26" t="str">
        <x:v>-</x:v>
      </x:c>
      <x:c r="I601" s="26" t="str"/>
      <x:c r="J601" s="26" t="str"/>
      <x:c r="K601" s="26" t="str">
        <x:v>在汽车行业，售后服务/客户服务质量是企业品牌形象的重要组成部分，也是吸引并保留客户的关键因素之一。该职位不仅直接关系到客户的满意度和忠诚度，还对公司长期发展有着不可忽视的影响。 作为售后服务/客户服务专员，其核心目标在于…</x:v>
      </x:c>
      <x:c r="L601" s="26" t="str">
        <x:v>1. 主动接待来访客户，耐心倾听客户需求，提供专业咨询解答及解决方案，确保客户满意。 2. 负责处理客户投诉，快速响应并妥善解决问题，维护公司良好声誉。 3. 定期跟踪回访已解决问题的客户，了解其后续使用情况，持续改进服…</x:v>
      </x:c>
    </x:row>
    <x:row r="602" ht="72" customHeight="1">
      <x:c r="A602" s="25" t="n">
        <x:v>11494</x:v>
      </x:c>
      <x:c r="B602" s="25" t="str">
        <x:v>IC-L3-751</x:v>
      </x:c>
      <x:c r="C602" s="25" t="str">
        <x:v>汽车喷漆</x:v>
      </x:c>
      <x:c r="D602" s="25" t="str">
        <x:v>2-02-07-11</x:v>
      </x:c>
      <x:c r="E602" s="25" t="str">
        <x:v>汽车工程技术人员</x:v>
      </x:c>
      <x:c r="F602" s="28" t="n">
        <x:f>COUNTIF('岗位-产业节点关系'!$C$4:$C$709,B602)</x:f>
        <x:v>1</x:v>
      </x:c>
      <x:c r="G602" s="26" t="str">
        <x:f>IF(F602=0,"未匹配（现有产业链范围未覆盖或证据不足）",IF(COUNTIFS('岗位-产业节点关系'!$C$4:$C$709,B602,'岗位-产业节点关系'!$M$4:$M$709,"低")&gt;0,"已匹配，建议复核","已匹配"))</x:f>
        <x:v>已匹配</x:v>
      </x:c>
      <x:c r="H602" s="26" t="str">
        <x:v>中</x:v>
      </x:c>
      <x:c r="I602" s="26" t="str">
        <x:v>ICN023</x:v>
      </x:c>
      <x:c r="J602" s="26" t="str">
        <x:v>汽车与智能网联汽车产业链/中游/整车制造与智能网联系统集成</x:v>
      </x:c>
      <x:c r="K602" s="26" t="str">
        <x:v>汽车喷漆师是汽车销售与服务领域中不可或缺的专业技术人才，负责修复或翻新车身外观，确保车辆以最佳状态交付客户或重新进入市场。作为汽车美容与修复的重要环节，喷漆工作不仅关乎车辆的美观度，更直接影响到车辆的整体质量和客户满意度…</x:v>
      </x:c>
      <x:c r="L602" s="26" t="str">
        <x:v>1. 准确评估车身损伤程度，制定合理的喷漆方案，确保颜色匹配度和表面光滑度符合行业标准及客户需求。 2. 精心准备喷漆区域，包括清洁、打磨、遮盖非喷涂部位等工作，为高质量喷漆作业创造良好条件。 3. 运用专业工具和设备进…</x:v>
      </x:c>
    </x:row>
    <x:row r="603" ht="72" customHeight="1">
      <x:c r="A603" s="25" t="n">
        <x:v>11495</x:v>
      </x:c>
      <x:c r="B603" s="25" t="str">
        <x:v>IC-L3-752</x:v>
      </x:c>
      <x:c r="C603" s="25" t="str">
        <x:v>汽车改装</x:v>
      </x:c>
      <x:c r="D603" s="25" t="str">
        <x:v>2-02-07-11</x:v>
      </x:c>
      <x:c r="E603" s="25" t="str">
        <x:v>汽车工程技术人员</x:v>
      </x:c>
      <x:c r="F603" s="28" t="n">
        <x:f>COUNTIF('岗位-产业节点关系'!$C$4:$C$709,B603)</x:f>
        <x:v>1</x:v>
      </x:c>
      <x:c r="G603" s="26" t="str">
        <x:f>IF(F603=0,"未匹配（现有产业链范围未覆盖或证据不足）",IF(COUNTIFS('岗位-产业节点关系'!$C$4:$C$709,B603,'岗位-产业节点关系'!$M$4:$M$709,"低")&gt;0,"已匹配，建议复核","已匹配"))</x:f>
        <x:v>已匹配</x:v>
      </x:c>
      <x:c r="H603" s="26" t="str">
        <x:v>中</x:v>
      </x:c>
      <x:c r="I603" s="26" t="str">
        <x:v>ICN022</x:v>
      </x:c>
      <x:c r="J603" s="26" t="str">
        <x:v>汽车与智能网联汽车产业链/上游/汽车材料、零部件与电子电气</x:v>
      </x:c>
      <x:c r="K603" s="26" t="str">
        <x:v>汽车改装专家在汽车行业中的作用至关重要，他们是连接客户需求与技术实现的关键桥梁。通过对车辆进行个性化定制，不仅满足了消费者对于独特性和性能提升的需求，同时也促进了整个行业的创新与发展。汽车改装专家通过精准把握市场趋势及客…</x:v>
      </x:c>
      <x:c r="L603" s="26" t="str">
        <x:v>1. 负责收集并分析市场需求信息，结合公司战略规划，提出创新性的改装建议，以增强产品吸引力。 2. 与客户沟通交流，了解其特殊需求，提供专业咨询意见，并据此制定详细的改装计划书，确保项目按时按质完成。 3. 协调内部资源…</x:v>
      </x:c>
    </x:row>
    <x:row r="604" ht="72" customHeight="1">
      <x:c r="A604" s="25" t="n">
        <x:v>11496</x:v>
      </x:c>
      <x:c r="B604" s="25" t="str">
        <x:v>IC-L3-753</x:v>
      </x:c>
      <x:c r="C604" s="25" t="str">
        <x:v>汽车服务顾问</x:v>
      </x:c>
      <x:c r="D604" s="25" t="str">
        <x:v>2-02-07-11</x:v>
      </x:c>
      <x:c r="E604" s="25" t="str">
        <x:v>汽车工程技术人员</x:v>
      </x:c>
      <x:c r="F604" s="28" t="n">
        <x:f>COUNTIF('岗位-产业节点关系'!$C$4:$C$709,B604)</x:f>
        <x:v>1</x:v>
      </x:c>
      <x:c r="G604" s="26" t="str">
        <x:f>IF(F604=0,"未匹配（现有产业链范围未覆盖或证据不足）",IF(COUNTIFS('岗位-产业节点关系'!$C$4:$C$709,B604,'岗位-产业节点关系'!$M$4:$M$709,"低")&gt;0,"已匹配，建议复核","已匹配"))</x:f>
        <x:v>已匹配</x:v>
      </x:c>
      <x:c r="H604" s="26" t="str">
        <x:v>中</x:v>
      </x:c>
      <x:c r="I604" s="26" t="str">
        <x:v>ICN023</x:v>
      </x:c>
      <x:c r="J604" s="26" t="str">
        <x:v>汽车与智能网联汽车产业链/中游/整车制造与智能网联系统集成</x:v>
      </x:c>
      <x:c r="K604" s="26" t="str">
        <x:v>汽车服务顾问是汽车行业中不可或缺的角色，他们不仅负责维护现有客户的关系，还承担着吸引潜在客户的重要任务。作为连接客户与企业的桥梁，汽车服务顾问在提升品牌形象和客户满意度方面发挥着至关重要的作用。通过提供高质量的服务体验，…</x:v>
      </x:c>
      <x:c r="L604" s="26" t="str">
        <x:v>1. 为客户提供专业的产品介绍及咨询服务，解答关于车辆性能、配置等方面的问题，旨在提高客户购车意愿。 2. 负责处理客户的售后服务请求，包括但不限于维修保养、配件更换等，确保客户满意度达到最高标准。 3. 定期跟进客户使…</x:v>
      </x:c>
    </x:row>
    <x:row r="605" ht="72" customHeight="1">
      <x:c r="A605" s="25" t="n">
        <x:v>11497</x:v>
      </x:c>
      <x:c r="B605" s="25" t="str">
        <x:v>IC-L3-754</x:v>
      </x:c>
      <x:c r="C605" s="25" t="str">
        <x:v>汽车检验/检测</x:v>
      </x:c>
      <x:c r="D605" s="25" t="str">
        <x:v>2-02-07-11</x:v>
      </x:c>
      <x:c r="E605" s="25" t="str">
        <x:v>汽车工程技术人员</x:v>
      </x:c>
      <x:c r="F605" s="28" t="n">
        <x:f>COUNTIF('岗位-产业节点关系'!$C$4:$C$709,B605)</x:f>
        <x:v>1</x:v>
      </x:c>
      <x:c r="G605" s="26" t="str">
        <x:f>IF(F605=0,"未匹配（现有产业链范围未覆盖或证据不足）",IF(COUNTIFS('岗位-产业节点关系'!$C$4:$C$709,B605,'岗位-产业节点关系'!$M$4:$M$709,"低")&gt;0,"已匹配，建议复核","已匹配"))</x:f>
        <x:v>已匹配</x:v>
      </x:c>
      <x:c r="H605" s="26" t="str">
        <x:v>中</x:v>
      </x:c>
      <x:c r="I605" s="26" t="str">
        <x:v>ICN023</x:v>
      </x:c>
      <x:c r="J605" s="26" t="str">
        <x:v>汽车与智能网联汽车产业链/中游/整车制造与智能网联系统集成</x:v>
      </x:c>
      <x:c r="K605" s="26" t="str">
        <x:v>汽车检验/检测作为汽车销售与服务领域中不可或缺的一环，扮演着确保车辆安全性能及质量的重要角色。通过专业的技术手段和严格的检测标准，该职位不仅能够有效预防潜在的安全隐患，还能提升客户对品牌的信任度和满意度，是连接制造商与消…</x:v>
      </x:c>
      <x:c r="L605" s="26" t="str">
        <x:v>1. 对进店的新车、二手车及维修完成的车辆进行外观、内饰、机械部件等全方位的检查，确保车辆状态良好无误。 2. 使用专业设备和技术方法，对车辆的关键系统（如制动系统、转向系统、发动机等）进行功能测试，评估其工作性能是否达…</x:v>
      </x:c>
    </x:row>
    <x:row r="606" ht="72" customHeight="1">
      <x:c r="A606" s="25" t="n">
        <x:v>11498</x:v>
      </x:c>
      <x:c r="B606" s="25" t="str">
        <x:v>IC-L3-755</x:v>
      </x:c>
      <x:c r="C606" s="25" t="str">
        <x:v>汽车电工</x:v>
      </x:c>
      <x:c r="D606" s="25" t="str">
        <x:v>2-02-07-11</x:v>
      </x:c>
      <x:c r="E606" s="25" t="str">
        <x:v>汽车工程技术人员</x:v>
      </x:c>
      <x:c r="F606" s="28" t="n">
        <x:f>COUNTIF('岗位-产业节点关系'!$C$4:$C$709,B606)</x:f>
        <x:v>1</x:v>
      </x:c>
      <x:c r="G606" s="26" t="str">
        <x:f>IF(F606=0,"未匹配（现有产业链范围未覆盖或证据不足）",IF(COUNTIFS('岗位-产业节点关系'!$C$4:$C$709,B606,'岗位-产业节点关系'!$M$4:$M$709,"低")&gt;0,"已匹配，建议复核","已匹配"))</x:f>
        <x:v>已匹配</x:v>
      </x:c>
      <x:c r="H606" s="26" t="str">
        <x:v>中</x:v>
      </x:c>
      <x:c r="I606" s="26" t="str">
        <x:v>ICN023</x:v>
      </x:c>
      <x:c r="J606" s="26" t="str">
        <x:v>汽车与智能网联汽车产业链/中游/整车制造与智能网联系统集成</x:v>
      </x:c>
      <x:c r="K606" s="26" t="str">
        <x:v>汽车电工是汽车销售与服务领域中不可或缺的专业技术人才。他们负责确保车辆电气系统的正常运行，对于提升客户满意度和维护品牌形象具有重要作用。在现代汽车行业中，随着技术的不断进步，电子控制系统变得越来越复杂，这使得汽车电工的专…</x:v>
      </x:c>
      <x:c r="L606" s="26" t="str">
        <x:v>1. 负责对进厂维修的车辆进行全面的电气系统检查，及时发现潜在问题，并制定合理的维修方案。 2. 运用专业知识和工具设备，快速准确地排除各种电气故障，恢复车辆正常运作状态。 3. 定期参与培训学习，掌握最新的汽车电气技术…</x:v>
      </x:c>
    </x:row>
    <x:row r="607" ht="72" customHeight="1">
      <x:c r="A607" s="25" t="n">
        <x:v>11499</x:v>
      </x:c>
      <x:c r="B607" s="25" t="str">
        <x:v>IC-L3-756</x:v>
      </x:c>
      <x:c r="C607" s="25" t="str">
        <x:v>汽车维修</x:v>
      </x:c>
      <x:c r="D607" s="25" t="str">
        <x:v>2-02-07-11</x:v>
      </x:c>
      <x:c r="E607" s="25" t="str">
        <x:v>汽车工程技术人员</x:v>
      </x:c>
      <x:c r="F607" s="28" t="n">
        <x:f>COUNTIF('岗位-产业节点关系'!$C$4:$C$709,B607)</x:f>
        <x:v>1</x:v>
      </x:c>
      <x:c r="G607" s="26" t="str">
        <x:f>IF(F607=0,"未匹配（现有产业链范围未覆盖或证据不足）",IF(COUNTIFS('岗位-产业节点关系'!$C$4:$C$709,B607,'岗位-产业节点关系'!$M$4:$M$709,"低")&gt;0,"已匹配，建议复核","已匹配"))</x:f>
        <x:v>已匹配</x:v>
      </x:c>
      <x:c r="H607" s="26" t="str">
        <x:v>高</x:v>
      </x:c>
      <x:c r="I607" s="26" t="str">
        <x:v>ICN024</x:v>
      </x:c>
      <x:c r="J607" s="26" t="str">
        <x:v>汽车与智能网联汽车产业链/下游/出行服务、后市场与自动驾驶应用</x:v>
      </x:c>
      <x:c r="K607" s="26" t="str">
        <x:v>汽车维修技师是汽车销售与服务领域中不可或缺的专业人才，他们负责确保车辆的安全性和可靠性，通过高质量的服务赢得客户信任，提升品牌形象。在日常工作中，维修技师不仅要解决各种复杂的机械故障，还需要不断学习新技术，以适应汽车行业…</x:v>
      </x:c>
      <x:c r="L607" s="26" t="str">
        <x:v>1. 负责对进站维修的车辆进行全面检查，准确诊断故障原因并制定合理的维修方案。 2. 依据维修手册及操作规程，执行车辆保养、修理工作，确保所有作业符合安全标准和技术要求。 3. 及时记录维修过程中的相关信息，包括更换零件…</x:v>
      </x:c>
    </x:row>
    <x:row r="608" ht="72" customHeight="1">
      <x:c r="A608" s="25" t="n">
        <x:v>11500</x:v>
      </x:c>
      <x:c r="B608" s="25" t="str">
        <x:v>IC-L3-757</x:v>
      </x:c>
      <x:c r="C608" s="25" t="str">
        <x:v>汽车金融专员</x:v>
      </x:c>
      <x:c r="D608" s="25" t="str">
        <x:v>2-06-11-04</x:v>
      </x:c>
      <x:c r="E608" s="25" t="str">
        <x:v>金融产品销售专业人员</x:v>
      </x:c>
      <x:c r="F608" s="28" t="n">
        <x:f>COUNTIF('岗位-产业节点关系'!$C$4:$C$709,B608)</x:f>
        <x:v>1</x:v>
      </x:c>
      <x:c r="G608" s="26" t="str">
        <x:f>IF(F608=0,"未匹配（现有产业链范围未覆盖或证据不足）",IF(COUNTIFS('岗位-产业节点关系'!$C$4:$C$709,B608,'岗位-产业节点关系'!$M$4:$M$709,"低")&gt;0,"已匹配，建议复核","已匹配"))</x:f>
        <x:v>已匹配</x:v>
      </x:c>
      <x:c r="H608" s="26" t="str">
        <x:v>中</x:v>
      </x:c>
      <x:c r="I608" s="26" t="str">
        <x:v>ICN023</x:v>
      </x:c>
      <x:c r="J608" s="26" t="str">
        <x:v>汽车与智能网联汽车产业链/中游/整车制造与智能网联系统集成</x:v>
      </x:c>
      <x:c r="K608" s="26" t="str">
        <x:v>汽车金融专员是汽车销售与服务行业中不可或缺的角色之一，他们通过提供专业的金融服务方案，帮助客户解决购车时的资金问题，促进销售成交，同时提升客户的购车体验。该职位不仅能够推动公司销售额的增长，还能增强客户满意度和忠诚度，对…</x:v>
      </x:c>
      <x:c r="L608" s="26" t="str">
        <x:v>1. 负责了解客户需求，结合产品特点和市场情况，为客户量身定制合适的汽车贷款、租赁等金融解决方案。 2. 与银行、融资租赁公司等金融机构建立并维护良好的合作关系，确保金融产品的丰富性和竞争力。 3. 协助销售团队完成销售…</x:v>
      </x:c>
    </x:row>
    <x:row r="609" ht="72" customHeight="1">
      <x:c r="A609" s="25" t="n">
        <x:v>11501</x:v>
      </x:c>
      <x:c r="B609" s="25" t="str">
        <x:v>IC-L3-758</x:v>
      </x:c>
      <x:c r="C609" s="25" t="str">
        <x:v>汽车金融经理</x:v>
      </x:c>
      <x:c r="D609" s="25" t="str">
        <x:v>2-06-11-04</x:v>
      </x:c>
      <x:c r="E609" s="25" t="str">
        <x:v>金融产品销售专业人员</x:v>
      </x:c>
      <x:c r="F609" s="28" t="n">
        <x:f>COUNTIF('岗位-产业节点关系'!$C$4:$C$709,B609)</x:f>
        <x:v>1</x:v>
      </x:c>
      <x:c r="G609" s="26" t="str">
        <x:f>IF(F609=0,"未匹配（现有产业链范围未覆盖或证据不足）",IF(COUNTIFS('岗位-产业节点关系'!$C$4:$C$709,B609,'岗位-产业节点关系'!$M$4:$M$709,"低")&gt;0,"已匹配，建议复核","已匹配"))</x:f>
        <x:v>已匹配</x:v>
      </x:c>
      <x:c r="H609" s="26" t="str">
        <x:v>中</x:v>
      </x:c>
      <x:c r="I609" s="26" t="str">
        <x:v>ICN023</x:v>
      </x:c>
      <x:c r="J609" s="26" t="str">
        <x:v>汽车与智能网联汽车产业链/中游/整车制造与智能网联系统集成</x:v>
      </x:c>
      <x:c r="K609" s="26" t="str">
        <x:v>汽车金融经理是汽车销售与服务领域中不可或缺的关键角色，负责推动金融产品和服务的发展，满足客户多样化的需求，促进销售增长。通过设计并实施有效的金融方案，该职位不仅能够提高客户的购车体验，还能增强公司品牌形象，实现业务的可持…</x:v>
      </x:c>
      <x:c r="L609" s="26" t="str">
        <x:v>1. 负责制定并执行汽车金融策略，确保金融产品符合市场需求，同时支持公司整体销售目标的达成。 2. 分析市场趋势及竞争对手动态，及时调整金融政策，以应对市场变化，优化客户购车流程。 3. 与银行、保险公司等外部机构建立合…</x:v>
      </x:c>
    </x:row>
    <x:row r="610" ht="72" customHeight="1">
      <x:c r="A610" s="25" t="n">
        <x:v>11502</x:v>
      </x:c>
      <x:c r="B610" s="25" t="str">
        <x:v>IC-L3-759</x:v>
      </x:c>
      <x:c r="C610" s="25" t="str">
        <x:v>汽车钣金</x:v>
      </x:c>
      <x:c r="D610" s="25" t="str">
        <x:v>2-02-07-11</x:v>
      </x:c>
      <x:c r="E610" s="25" t="str">
        <x:v>汽车工程技术人员</x:v>
      </x:c>
      <x:c r="F610" s="28" t="n">
        <x:f>COUNTIF('岗位-产业节点关系'!$C$4:$C$709,B610)</x:f>
        <x:v>1</x:v>
      </x:c>
      <x:c r="G610" s="26" t="str">
        <x:f>IF(F610=0,"未匹配（现有产业链范围未覆盖或证据不足）",IF(COUNTIFS('岗位-产业节点关系'!$C$4:$C$709,B610,'岗位-产业节点关系'!$M$4:$M$709,"低")&gt;0,"已匹配，建议复核","已匹配"))</x:f>
        <x:v>已匹配</x:v>
      </x:c>
      <x:c r="H610" s="26" t="str">
        <x:v>中</x:v>
      </x:c>
      <x:c r="I610" s="26" t="str">
        <x:v>ICN023</x:v>
      </x:c>
      <x:c r="J610" s="26" t="str">
        <x:v>汽车与智能网联汽车产业链/中游/整车制造与智能网联系统集成</x:v>
      </x:c>
      <x:c r="K610" s="26" t="str">
        <x:v>汽车钣金师是汽车销售与服务行业中不可或缺的专业人才，他们负责修复车辆因事故或磨损造成的车身损伤，确保车辆外观恢复至最佳状态，从而提升客户满意度和品牌声誉。该职位的核心目标在于高效、高质量地完成车辆钣金维修工作，减少维修时…</x:v>
      </x:c>
      <x:c r="L610" s="26" t="str">
        <x:v>1. 对受损车辆进行细致检查，确定损伤程度及所需维修方案，确保维修工作的准确性和有效性。 2. 使用专业工具和技术手段，对车辆车身进行整形、焊接、打磨等操作，恢复其原始形状和结构强度。 3. 与喷漆技师密切配合，确保车身…</x:v>
      </x:c>
    </x:row>
    <x:row r="611" ht="72" customHeight="1">
      <x:c r="A611" s="25" t="n">
        <x:v>11503</x:v>
      </x:c>
      <x:c r="B611" s="25" t="str">
        <x:v>IC-L3-760</x:v>
      </x:c>
      <x:c r="C611" s="25" t="str">
        <x:v>汽车销售/经纪人</x:v>
      </x:c>
      <x:c r="D611" s="25" t="str">
        <x:v>2-02-07-11</x:v>
      </x:c>
      <x:c r="E611" s="25" t="str">
        <x:v>汽车工程技术人员</x:v>
      </x:c>
      <x:c r="F611" s="28" t="n">
        <x:f>COUNTIF('岗位-产业节点关系'!$C$4:$C$709,B611)</x:f>
        <x:v>1</x:v>
      </x:c>
      <x:c r="G611" s="26" t="str">
        <x:f>IF(F611=0,"未匹配（现有产业链范围未覆盖或证据不足）",IF(COUNTIFS('岗位-产业节点关系'!$C$4:$C$709,B611,'岗位-产业节点关系'!$M$4:$M$709,"低")&gt;0,"已匹配，建议复核","已匹配"))</x:f>
        <x:v>已匹配</x:v>
      </x:c>
      <x:c r="H611" s="26" t="str">
        <x:v>高</x:v>
      </x:c>
      <x:c r="I611" s="26" t="str">
        <x:v>ICN024</x:v>
      </x:c>
      <x:c r="J611" s="26" t="str">
        <x:v>汽车与智能网联汽车产业链/下游/出行服务、后市场与自动驾驶应用</x:v>
      </x:c>
      <x:c r="K611" s="26" t="str">
        <x:v>汽车销售/经纪人在汽车行业扮演着至关重要的角色，他们是连接客户与制造商之间的桥梁，不仅负责推广和销售汽车产品，还承担着提升品牌形象和服务质量的任务。该职位的核心目标是通过深入了解客户需求并提供个性化解决方案来促进汽车销售…</x:v>
      </x:c>
      <x:c r="L611" s="26" t="str">
        <x:v>1. 通过电话、网络及面对面交流等方式主动开发潜在客户，了解其购车需求，并推荐合适的车型。 2. 定期参加产品知识培训，掌握最新汽车技术和市场动态，以便向客户提供准确的信息咨询。 3. 协助客户完成购车手续，包括但不限于…</x:v>
      </x:c>
    </x:row>
    <x:row r="612" ht="72" customHeight="1">
      <x:c r="A612" s="25" t="n">
        <x:v>11504</x:v>
      </x:c>
      <x:c r="B612" s="25" t="str">
        <x:v>IC-L3-761</x:v>
      </x:c>
      <x:c r="C612" s="25" t="str">
        <x:v>车险定损/理赔</x:v>
      </x:c>
      <x:c r="D612" s="25" t="str">
        <x:v>4-02-02-01</x:v>
      </x:c>
      <x:c r="E612" s="25" t="str">
        <x:v>客运车辆驾驶员</x:v>
      </x:c>
      <x:c r="F612" s="28" t="n">
        <x:f>COUNTIF('岗位-产业节点关系'!$C$4:$C$709,B612)</x:f>
        <x:v>1</x:v>
      </x:c>
      <x:c r="G612" s="26" t="str">
        <x:f>IF(F612=0,"未匹配（现有产业链范围未覆盖或证据不足）",IF(COUNTIFS('岗位-产业节点关系'!$C$4:$C$709,B612,'岗位-产业节点关系'!$M$4:$M$709,"低")&gt;0,"已匹配，建议复核","已匹配"))</x:f>
        <x:v>已匹配，建议复核</x:v>
      </x:c>
      <x:c r="H612" s="26" t="str">
        <x:v>低</x:v>
      </x:c>
      <x:c r="I612" s="26" t="str">
        <x:v>ICN023</x:v>
      </x:c>
      <x:c r="J612" s="26" t="str">
        <x:v>汽车与智能网联汽车产业链/中游/整车制造与智能网联系统集成</x:v>
      </x:c>
      <x:c r="K612" s="26" t="str">
        <x:v>车险定损/理赔是汽车销售与服务领域中不可或缺的一环，负责评估车辆损失并处理保险理赔事宜，确保客户得到公正合理的赔偿，维护公司与客户的良好关系。该职位的核心目标在于准确无误地完成定损工作，高效解决理赔问题，不仅能够帮助客户…</x:v>
      </x:c>
      <x:c r="L612" s="26" t="str">
        <x:v>1. 负责现场勘查事故车辆，收集相关证据资料，确保定损结果客观公正。 2. 依据保险公司规定流程，及时准确地提交理赔申请，跟踪处理进度直至结案。 3. 与客户沟通解释定损报告内容及理赔政策，解答疑问，提供专业建议。 4.…</x:v>
      </x:c>
    </x:row>
    <x:row r="613" ht="72" customHeight="1">
      <x:c r="A613" s="25" t="n">
        <x:v>11505</x:v>
      </x:c>
      <x:c r="B613" s="25" t="str">
        <x:v>IC-L3-762</x:v>
      </x:c>
      <x:c r="C613" s="25" t="str">
        <x:v>汽车电子工程师</x:v>
      </x:c>
      <x:c r="D613" s="25" t="str">
        <x:v>2-02-09-02</x:v>
      </x:c>
      <x:c r="E613" s="25" t="str">
        <x:v>电子元器件工程技术人员</x:v>
      </x:c>
      <x:c r="F613" s="28" t="n">
        <x:f>COUNTIF('岗位-产业节点关系'!$C$4:$C$709,B613)</x:f>
        <x:v>1</x:v>
      </x:c>
      <x:c r="G613" s="26" t="str">
        <x:f>IF(F613=0,"未匹配（现有产业链范围未覆盖或证据不足）",IF(COUNTIFS('岗位-产业节点关系'!$C$4:$C$709,B613,'岗位-产业节点关系'!$M$4:$M$709,"低")&gt;0,"已匹配，建议复核","已匹配"))</x:f>
        <x:v>已匹配</x:v>
      </x:c>
      <x:c r="H613" s="26" t="str">
        <x:v>高</x:v>
      </x:c>
      <x:c r="I613" s="26" t="str">
        <x:v>ICN022</x:v>
      </x:c>
      <x:c r="J613" s="26" t="str">
        <x:v>汽车与智能网联汽车产业链/上游/汽车材料、零部件与电子电气</x:v>
      </x:c>
      <x:c r="K613" s="26" t="str">
        <x:v>汽车电子工程师是专门从事汽车电子系统研发与维护的专业人员。该职位的核心目标是通过设计、测试和优化电子控制系统，提升车辆性能与用户体验。在日常工作中，需要进行车载电子设备调试、故障诊断与维修、技术方案制定等工作。</x:v>
      </x:c>
      <x:c r="L613" s="26" t="str">
        <x:v>1. 设计汽车电子系统 2. 开发车载控制软件 3. 测试电子设备性能 4. 诊断维修电路故障 5. 优化车载通信网络 6. 编写技术文档报告</x:v>
      </x:c>
    </x:row>
    <x:row r="614" ht="72" customHeight="1">
      <x:c r="A614" s="25" t="n">
        <x:v>11506</x:v>
      </x:c>
      <x:c r="B614" s="25" t="str">
        <x:v>IC-L3-763</x:v>
      </x:c>
      <x:c r="C614" s="25" t="str">
        <x:v>汽车安全性能工程师</x:v>
      </x:c>
      <x:c r="D614" s="25" t="str">
        <x:v>2-02-07-11</x:v>
      </x:c>
      <x:c r="E614" s="25" t="str">
        <x:v>汽车工程技术人员</x:v>
      </x:c>
      <x:c r="F614" s="28" t="n">
        <x:f>COUNTIF('岗位-产业节点关系'!$C$4:$C$709,B614)</x:f>
        <x:v>1</x:v>
      </x:c>
      <x:c r="G614" s="26" t="str">
        <x:f>IF(F614=0,"未匹配（现有产业链范围未覆盖或证据不足）",IF(COUNTIFS('岗位-产业节点关系'!$C$4:$C$709,B614,'岗位-产业节点关系'!$M$4:$M$709,"低")&gt;0,"已匹配，建议复核","已匹配"))</x:f>
        <x:v>已匹配</x:v>
      </x:c>
      <x:c r="H614" s="26" t="str">
        <x:v>中</x:v>
      </x:c>
      <x:c r="I614" s="26" t="str">
        <x:v>ICN023</x:v>
      </x:c>
      <x:c r="J614" s="26" t="str">
        <x:v>汽车与智能网联汽车产业链/中游/整车制造与智能网联系统集成</x:v>
      </x:c>
      <x:c r="K614" s="26" t="str">
        <x:v>汽车安全性能工程师是专门从事车辆安全系统设计与优化的专业人员。该职位的核心目标是通过研发和测试安全技术，提升车辆被动与主动安全性能。在日常工作中，需要进行碰撞测试分析、安全系统调试、法规符合性验证以及客户安全诉求调研等工…</x:v>
      </x:c>
      <x:c r="L614" s="26" t="str">
        <x:v>1. 设计安全性能测试方案 2. 评估车辆碰撞安全性能 3. 优化安全系统配置方案 4. 分析事故数据改进设计 5. 制定安全性能验收标准 6. 培训售后安全技术要点</x:v>
      </x:c>
    </x:row>
    <x:row r="615" ht="72" customHeight="1">
      <x:c r="A615" s="25" t="n">
        <x:v>11507</x:v>
      </x:c>
      <x:c r="B615" s="25" t="str">
        <x:v>IC-L3-764</x:v>
      </x:c>
      <x:c r="C615" s="25" t="str">
        <x:v>汽车装配工艺工程师</x:v>
      </x:c>
      <x:c r="D615" s="25" t="str">
        <x:v>2-02-07-11</x:v>
      </x:c>
      <x:c r="E615" s="25" t="str">
        <x:v>汽车工程技术人员</x:v>
      </x:c>
      <x:c r="F615" s="28" t="n">
        <x:f>COUNTIF('岗位-产业节点关系'!$C$4:$C$709,B615)</x:f>
        <x:v>2</x:v>
      </x:c>
      <x:c r="G615" s="26" t="str">
        <x:f>IF(F615=0,"未匹配（现有产业链范围未覆盖或证据不足）",IF(COUNTIFS('岗位-产业节点关系'!$C$4:$C$709,B615,'岗位-产业节点关系'!$M$4:$M$709,"低")&gt;0,"已匹配，建议复核","已匹配"))</x:f>
        <x:v>已匹配</x:v>
      </x:c>
      <x:c r="H615" s="26" t="str">
        <x:v>高</x:v>
      </x:c>
      <x:c r="I615" s="26" t="str">
        <x:v>ICN023、ICN005</x:v>
      </x:c>
      <x:c r="J615" s="26" t="str">
        <x:v>汽车与智能网联汽车产业链/中游/整车制造与智能网联系统集成；高端装备与智能制造产业链/中游/高端装备制造与激光加工</x:v>
      </x:c>
      <x:c r="K615" s="26" t="str">
        <x:v>汽车装配工艺工程师是专门从事汽车生产制造工艺设计与优化的专业人员。该职位的核心目标是通过改进装配工艺流程，提升生产效率和产品质量。在日常工作中，需要进行工艺方案制定、装配线优化、工装夹具设计以及生产问题分析解决等工作。</x:v>
      </x:c>
      <x:c r="L615" s="26" t="str">
        <x:v>1. 设计装配工艺流程 2. 优化生产线效率 3. 制定工艺标准文件 4. 解决生产现场问题 5. 培训装配操作人员 6. 评估工艺改进效果</x:v>
      </x:c>
    </x:row>
    <x:row r="616" ht="72" customHeight="1">
      <x:c r="A616" s="25" t="n">
        <x:v>11508</x:v>
      </x:c>
      <x:c r="B616" s="25" t="str">
        <x:v>IC-L3-765</x:v>
      </x:c>
      <x:c r="C616" s="25" t="str">
        <x:v>底盘工程师</x:v>
      </x:c>
      <x:c r="D616" s="25" t="str">
        <x:v>4-02-02-01</x:v>
      </x:c>
      <x:c r="E616" s="25" t="str">
        <x:v>客运车辆驾驶员</x:v>
      </x:c>
      <x:c r="F616" s="28" t="n">
        <x:f>COUNTIF('岗位-产业节点关系'!$C$4:$C$709,B616)</x:f>
        <x:v>0</x:v>
      </x:c>
      <x:c r="G616" s="26" t="str">
        <x:f>IF(F616=0,"未匹配（现有产业链范围未覆盖或证据不足）",IF(COUNTIFS('岗位-产业节点关系'!$C$4:$C$709,B616,'岗位-产业节点关系'!$M$4:$M$709,"低")&gt;0,"已匹配，建议复核","已匹配"))</x:f>
        <x:v>未匹配（现有产业链范围未覆盖或证据不足）</x:v>
      </x:c>
      <x:c r="H616" s="26" t="str">
        <x:v>-</x:v>
      </x:c>
      <x:c r="I616" s="26" t="str"/>
      <x:c r="J616" s="26" t="str"/>
      <x:c r="K616" s="26" t="str">
        <x:v>底盘工程师是专门从事汽车底盘系统设计、开发与优化的专业人员。该职位的核心目标是通过提升底盘性能与可靠性，实现车辆操控性与舒适性的优化。在日常工作中，需要进行底盘结构设计、性能测试分析、故障诊断与维修方案制定等工作。</x:v>
      </x:c>
      <x:c r="L616" s="26" t="str">
        <x:v>1. 设计底盘系统方案 2. 测试底盘性能参数 3. 优化底盘结构设计 4. 解决底盘技术问题 5. 编制底盘技术文档 6. 跟进底盘维修服务</x:v>
      </x:c>
    </x:row>
    <x:row r="617" ht="72" customHeight="1">
      <x:c r="A617" s="25" t="n">
        <x:v>11509</x:v>
      </x:c>
      <x:c r="B617" s="25" t="str">
        <x:v>IC-L3-766</x:v>
      </x:c>
      <x:c r="C617" s="25" t="str">
        <x:v>系统工程师</x:v>
      </x:c>
      <x:c r="D617" s="25" t="str">
        <x:v>4-02-02-01</x:v>
      </x:c>
      <x:c r="E617" s="25" t="str">
        <x:v>客运车辆驾驶员</x:v>
      </x:c>
      <x:c r="F617" s="28" t="n">
        <x:f>COUNTIF('岗位-产业节点关系'!$C$4:$C$709,B617)</x:f>
        <x:v>1</x:v>
      </x:c>
      <x:c r="G617" s="26" t="str">
        <x:f>IF(F617=0,"未匹配（现有产业链范围未覆盖或证据不足）",IF(COUNTIFS('岗位-产业节点关系'!$C$4:$C$709,B617,'岗位-产业节点关系'!$M$4:$M$709,"低")&gt;0,"已匹配，建议复核","已匹配"))</x:f>
        <x:v>已匹配，建议复核</x:v>
      </x:c>
      <x:c r="H617" s="26" t="str">
        <x:v>低</x:v>
      </x:c>
      <x:c r="I617" s="26" t="str">
        <x:v>ICN023</x:v>
      </x:c>
      <x:c r="J617" s="26" t="str">
        <x:v>汽车与智能网联汽车产业链/中游/整车制造与智能网联系统集成</x:v>
      </x:c>
      <x:c r="K617" s="26" t="str">
        <x:v>系统工程师是专门从事汽车销售与服务信息系统开发与维护的专业人员。该职位的核心目标是通过设计、优化和保障关键业务系统，提升企业数字化运营效率。在日常工作中，需要进行系统需求分析、技术方案设计、系统部署实施及性能监控等工作。</x:v>
      </x:c>
      <x:c r="L617" s="26" t="str">
        <x:v>1. 维护信息系统运行 2. 优化业务流程系统 3. 处理系统故障问题 4. 开发业务管理模块 5. 保障数据安全存储 6. 培训用户系统操作</x:v>
      </x:c>
    </x:row>
    <x:row r="618" ht="72" customHeight="1">
      <x:c r="A618" s="25" t="n">
        <x:v>11510</x:v>
      </x:c>
      <x:c r="B618" s="25" t="str">
        <x:v>IC-L3-767</x:v>
      </x:c>
      <x:c r="C618" s="25" t="str">
        <x:v>资料员</x:v>
      </x:c>
      <x:c r="D618" s="25" t="str">
        <x:v>3-01-02-02</x:v>
      </x:c>
      <x:c r="E618" s="25" t="str">
        <x:v>秘书</x:v>
      </x:c>
      <x:c r="F618" s="28" t="n">
        <x:f>COUNTIF('岗位-产业节点关系'!$C$4:$C$709,B618)</x:f>
        <x:v>0</x:v>
      </x:c>
      <x:c r="G618" s="26" t="str">
        <x:f>IF(F618=0,"未匹配（现有产业链范围未覆盖或证据不足）",IF(COUNTIFS('岗位-产业节点关系'!$C$4:$C$709,B618,'岗位-产业节点关系'!$M$4:$M$709,"低")&gt;0,"已匹配，建议复核","已匹配"))</x:f>
        <x:v>未匹配（现有产业链范围未覆盖或证据不足）</x:v>
      </x:c>
      <x:c r="H618" s="26" t="str">
        <x:v>-</x:v>
      </x:c>
      <x:c r="I618" s="26" t="str"/>
      <x:c r="J618" s="26" t="str"/>
      <x:c r="K618" s="26" t="str">
        <x:v>资料员是专门从事汽车销售与服务领域文档管理的专业人员。该职位的核心目标是通过规范化的资料管理，确保业务资料的完整性与可追溯性。在日常工作中，需要进行销售合同归档、维修记录整理、客户档案维护等工作。</x:v>
      </x:c>
      <x:c r="L618" s="26" t="str">
        <x:v>1. 收集客户档案资料 2. 整理销售服务单据 3. 录入系统数据信息 4. 维护档案完整准确 5. 协助办理车辆手续 6. 定期归档重要文件</x:v>
      </x:c>
    </x:row>
    <x:row r="619" ht="72" customHeight="1">
      <x:c r="A619" s="25" t="n">
        <x:v>11511</x:v>
      </x:c>
      <x:c r="B619" s="25" t="str">
        <x:v>IC-L3-768</x:v>
      </x:c>
      <x:c r="C619" s="25" t="str">
        <x:v>印刷工</x:v>
      </x:c>
      <x:c r="D619" s="25" t="str">
        <x:v>6-23-01-01</x:v>
      </x:c>
      <x:c r="E619" s="25" t="str">
        <x:v>铁路机车制修工</x:v>
      </x:c>
      <x:c r="F619" s="28" t="n">
        <x:f>COUNTIF('岗位-产业节点关系'!$C$4:$C$709,B619)</x:f>
        <x:v>0</x:v>
      </x:c>
      <x:c r="G619" s="26" t="str">
        <x:f>IF(F619=0,"未匹配（现有产业链范围未覆盖或证据不足）",IF(COUNTIFS('岗位-产业节点关系'!$C$4:$C$709,B619,'岗位-产业节点关系'!$M$4:$M$709,"低")&gt;0,"已匹配，建议复核","已匹配"))</x:f>
        <x:v>未匹配（现有产业链范围未覆盖或证据不足）</x:v>
      </x:c>
      <x:c r="H619" s="26" t="str">
        <x:v>-</x:v>
      </x:c>
      <x:c r="I619" s="26" t="str"/>
      <x:c r="J619" s="26" t="str"/>
      <x:c r="K619" s="26" t="str">
        <x:v>印刷工是生产制造行业中印刷包装领域不可或缺的角色，主要负责确保产品包装材料的高质量印刷，满足客户对视觉效果和品牌识别的需求。作为连接设计与成品的关键环节，印刷工在保证生产流程顺畅的同时，还承担着提高产品质量和效率的重要任…</x:v>
      </x:c>
      <x:c r="L619" s="26" t="str">
        <x:v>1. 负责操作和维护印刷设备，确保机器正常运行，按时完成生产计划中的各项任务。 2. 根据设计图纸或样品要求，精确设置印刷参数，调整色彩以达到最佳视觉效果，确保每个批次的产品颜色一致。 3. 对生产过程中的半成品和成品进…</x:v>
      </x:c>
    </x:row>
    <x:row r="620" ht="72" customHeight="1">
      <x:c r="A620" s="25" t="n">
        <x:v>11512</x:v>
      </x:c>
      <x:c r="B620" s="25" t="str">
        <x:v>IC-L3-769</x:v>
      </x:c>
      <x:c r="C620" s="25" t="str">
        <x:v>印刷排版/制版</x:v>
      </x:c>
      <x:c r="D620" s="25" t="str">
        <x:v>6-23-01-01</x:v>
      </x:c>
      <x:c r="E620" s="25" t="str">
        <x:v>铁路机车制修工</x:v>
      </x:c>
      <x:c r="F620" s="28" t="n">
        <x:f>COUNTIF('岗位-产业节点关系'!$C$4:$C$709,B620)</x:f>
        <x:v>1</x:v>
      </x:c>
      <x:c r="G620" s="26" t="str">
        <x:f>IF(F620=0,"未匹配（现有产业链范围未覆盖或证据不足）",IF(COUNTIFS('岗位-产业节点关系'!$C$4:$C$709,B620,'岗位-产业节点关系'!$M$4:$M$709,"低")&gt;0,"已匹配，建议复核","已匹配"))</x:f>
        <x:v>已匹配，建议复核</x:v>
      </x:c>
      <x:c r="H620" s="26" t="str">
        <x:v>低</x:v>
      </x:c>
      <x:c r="I620" s="26" t="str">
        <x:v>ICN002</x:v>
      </x:c>
      <x:c r="J620" s="26" t="str">
        <x:v>数据要素与数字经济产业链/中游/数据治理、流通与服务</x:v>
      </x:c>
      <x:c r="K620" s="26" t="str">
        <x:v>印刷排版/制版作为生产制造中印刷包装方向的关键技术岗位，在整个产品包装流程中占据着不可替代的地位。该职位不仅需要具备精湛的专业技能，还需要有良好的审美观与创新思维，以确保产品的视觉效果符合市场需求，同时提高品牌形象。 该…</x:v>
      </x:c>
      <x:c r="L620" s="26" t="str">
        <x:v>1. 负责根据客户提供的设计稿件进行印刷前的排版工作，确保文字、图片等内容布局合理美观，符合相关标准要求。 2. 运用专业软件（如Adobe InDesign, Illustrator等）制作高质量的印前文件，保证文件格…</x:v>
      </x:c>
    </x:row>
    <x:row r="621" ht="72" customHeight="1">
      <x:c r="A621" s="25" t="n">
        <x:v>11513</x:v>
      </x:c>
      <x:c r="B621" s="25" t="str">
        <x:v>IC-L3-770</x:v>
      </x:c>
      <x:c r="C621" s="25" t="str">
        <x:v>印刷机械机长</x:v>
      </x:c>
      <x:c r="D621" s="25" t="str">
        <x:v>6-23-01-01</x:v>
      </x:c>
      <x:c r="E621" s="25" t="str">
        <x:v>铁路机车制修工</x:v>
      </x:c>
      <x:c r="F621" s="28" t="n">
        <x:f>COUNTIF('岗位-产业节点关系'!$C$4:$C$709,B621)</x:f>
        <x:v>1</x:v>
      </x:c>
      <x:c r="G621" s="26" t="str">
        <x:f>IF(F621=0,"未匹配（现有产业链范围未覆盖或证据不足）",IF(COUNTIFS('岗位-产业节点关系'!$C$4:$C$709,B621,'岗位-产业节点关系'!$M$4:$M$709,"低")&gt;0,"已匹配，建议复核","已匹配"))</x:f>
        <x:v>已匹配</x:v>
      </x:c>
      <x:c r="H621" s="26" t="str">
        <x:v>中</x:v>
      </x:c>
      <x:c r="I621" s="26" t="str">
        <x:v>ICN005</x:v>
      </x:c>
      <x:c r="J621" s="26" t="str">
        <x:v>高端装备与智能制造产业链/中游/高端装备制造与激光加工</x:v>
      </x:c>
      <x:c r="K621" s="26" t="str">
        <x:v>印刷机械机长是生产制造行业中印刷包装领域不可或缺的关键角色。作为生产线上的技术核心，机长不仅负责操作和维护先进的印刷设备，还承担着确保生产过程高效、产品质量符合标准的重要任务，是连接技术与生产的桥梁。 该职位的核心目标在…</x:v>
      </x:c>
      <x:c r="L621" s="26" t="str">
        <x:v>1. 负责操作和维护印刷机械设备，确保其正常运转并定期进行保养检查，以延长设备使用寿命。 2. 监控生产流程，及时发现并排除故障，保障生产计划按时完成，同时降低废品率，提高成品合格率。 3. 依据客户需求制定合理的生产工…</x:v>
      </x:c>
    </x:row>
    <x:row r="622" ht="72" customHeight="1">
      <x:c r="A622" s="25" t="n">
        <x:v>11514</x:v>
      </x:c>
      <x:c r="B622" s="25" t="str">
        <x:v>IC-L3-771</x:v>
      </x:c>
      <x:c r="C622" s="25" t="str">
        <x:v>校对/录入</x:v>
      </x:c>
      <x:c r="D622" s="25" t="str">
        <x:v>6-23-01-01</x:v>
      </x:c>
      <x:c r="E622" s="25" t="str">
        <x:v>铁路机车制修工</x:v>
      </x:c>
      <x:c r="F622" s="28" t="n">
        <x:f>COUNTIF('岗位-产业节点关系'!$C$4:$C$709,B622)</x:f>
        <x:v>0</x:v>
      </x:c>
      <x:c r="G622" s="26" t="str">
        <x:f>IF(F622=0,"未匹配（现有产业链范围未覆盖或证据不足）",IF(COUNTIFS('岗位-产业节点关系'!$C$4:$C$709,B622,'岗位-产业节点关系'!$M$4:$M$709,"低")&gt;0,"已匹配，建议复核","已匹配"))</x:f>
        <x:v>未匹配（现有产业链范围未覆盖或证据不足）</x:v>
      </x:c>
      <x:c r="H622" s="26" t="str">
        <x:v>-</x:v>
      </x:c>
      <x:c r="I622" s="26" t="str"/>
      <x:c r="J622" s="26" t="str"/>
      <x:c r="K622" s="26" t="str">
        <x:v>在校对/录入这一职位上，员工扮演着确保生产制造行业中印刷包装质量的关键角色。通过精确的数据录入与细致的校对工作，他们能够有效减少错误，提升产品的一致性和可靠性，从而维护公司品牌形象并增强客户满意度。 该职位的核心目标是确…</x:v>
      </x:c>
      <x:c r="L622" s="26" t="str">
        <x:v>1. 负责接收并审核来自不同渠道的文件资料，确保其内容准确无误，符合公司标准。 2. 使用专业软件完成大量数据的快速录入工作，同时保持高度的准确性和及时性。 3. 定期检查已录入的信息，发现并纠正任何潜在的错误或遗漏，确…</x:v>
      </x:c>
    </x:row>
    <x:row r="623" ht="72" customHeight="1">
      <x:c r="A623" s="25" t="n">
        <x:v>11515</x:v>
      </x:c>
      <x:c r="B623" s="25" t="str">
        <x:v>IC-L3-772</x:v>
      </x:c>
      <x:c r="C623" s="25" t="str">
        <x:v>电分操作员</x:v>
      </x:c>
      <x:c r="D623" s="25" t="str">
        <x:v>6-23-01-01</x:v>
      </x:c>
      <x:c r="E623" s="25" t="str">
        <x:v>铁路机车制修工</x:v>
      </x:c>
      <x:c r="F623" s="28" t="n">
        <x:f>COUNTIF('岗位-产业节点关系'!$C$4:$C$709,B623)</x:f>
        <x:v>0</x:v>
      </x:c>
      <x:c r="G623" s="26" t="str">
        <x:f>IF(F623=0,"未匹配（现有产业链范围未覆盖或证据不足）",IF(COUNTIFS('岗位-产业节点关系'!$C$4:$C$709,B623,'岗位-产业节点关系'!$M$4:$M$709,"低")&gt;0,"已匹配，建议复核","已匹配"))</x:f>
        <x:v>未匹配（现有产业链范围未覆盖或证据不足）</x:v>
      </x:c>
      <x:c r="H623" s="26" t="str">
        <x:v>-</x:v>
      </x:c>
      <x:c r="I623" s="26" t="str"/>
      <x:c r="J623" s="26" t="str"/>
      <x:c r="K623" s="26" t="str">
        <x:v>电分操作员是印刷包装行业中不可或缺的专业技术人才，主要负责确保印刷品的颜色准确无误。这一角色对于提升产品品质、满足客户需求具有至关重要的作用。通过精准控制色彩管理流程，电分操作员能够有效提高成品的一致性和稳定性，从而增强…</x:v>
      </x:c>
      <x:c r="L623" s="26" t="str">
        <x:v>1. 负责操作电脑分色设备，进行图像处理及色彩校正工作，确保输出效果符合客户要求。 2. 对接设计师与生产部门，沟通确认样稿色彩标准，解决可能出现的技术问题。 3. 定期维护保养所使用的电分仪器，保证其正常运行，延长使用…</x:v>
      </x:c>
    </x:row>
    <x:row r="624" ht="72" customHeight="1">
      <x:c r="A624" s="25" t="n">
        <x:v>11516</x:v>
      </x:c>
      <x:c r="B624" s="25" t="str">
        <x:v>IC-L3-773</x:v>
      </x:c>
      <x:c r="C624" s="25" t="str">
        <x:v>包装设计</x:v>
      </x:c>
      <x:c r="D624" s="25" t="str">
        <x:v>6-23-01-01</x:v>
      </x:c>
      <x:c r="E624" s="25" t="str">
        <x:v>铁路机车制修工</x:v>
      </x:c>
      <x:c r="F624" s="28" t="n">
        <x:f>COUNTIF('岗位-产业节点关系'!$C$4:$C$709,B624)</x:f>
        <x:v>0</x:v>
      </x:c>
      <x:c r="G624" s="26" t="str">
        <x:f>IF(F624=0,"未匹配（现有产业链范围未覆盖或证据不足）",IF(COUNTIFS('岗位-产业节点关系'!$C$4:$C$709,B624,'岗位-产业节点关系'!$M$4:$M$709,"低")&gt;0,"已匹配，建议复核","已匹配"))</x:f>
        <x:v>未匹配（现有产业链范围未覆盖或证据不足）</x:v>
      </x:c>
      <x:c r="H624" s="26" t="str">
        <x:v>-</x:v>
      </x:c>
      <x:c r="I624" s="26" t="str"/>
      <x:c r="J624" s="26" t="str"/>
      <x:c r="K624" s="26" t="str">
        <x:v>包装设计是专门从事产品包装视觉创意与结构设计的专业人员。该职位的核心目标是通过创新的设计解决方案，提升产品市场竞争力与品牌价值。在日常工作中，需要进行包装创意设计、材料选择评估、印刷工艺对接及3D效果图制作等工作。</x:v>
      </x:c>
      <x:c r="L624" s="26" t="str">
        <x:v>1. 设计产品包装方案 2. 制作包装工艺图纸 3. 选择包装材料工艺 4. 跟进包装打样测试 5. 协助解决生产问题 6. 优化包装成本结构</x:v>
      </x:c>
    </x:row>
    <x:row r="625" ht="72" customHeight="1">
      <x:c r="A625" s="25" t="n">
        <x:v>11517</x:v>
      </x:c>
      <x:c r="B625" s="25" t="str">
        <x:v>IC-L3-774</x:v>
      </x:c>
      <x:c r="C625" s="25" t="str">
        <x:v>CNC/数控操机</x:v>
      </x:c>
      <x:c r="D625" s="25" t="str">
        <x:v>2-02-07-01</x:v>
      </x:c>
      <x:c r="E625" s="25" t="str">
        <x:v>机械设计工程技术人员</x:v>
      </x:c>
      <x:c r="F625" s="28" t="n">
        <x:f>COUNTIF('岗位-产业节点关系'!$C$4:$C$709,B625)</x:f>
        <x:v>1</x:v>
      </x:c>
      <x:c r="G625" s="26" t="str">
        <x:f>IF(F625=0,"未匹配（现有产业链范围未覆盖或证据不足）",IF(COUNTIFS('岗位-产业节点关系'!$C$4:$C$709,B625,'岗位-产业节点关系'!$M$4:$M$709,"低")&gt;0,"已匹配，建议复核","已匹配"))</x:f>
        <x:v>已匹配</x:v>
      </x:c>
      <x:c r="H625" s="26" t="str">
        <x:v>中</x:v>
      </x:c>
      <x:c r="I625" s="26" t="str">
        <x:v>ICN005</x:v>
      </x:c>
      <x:c r="J625" s="26" t="str">
        <x:v>高端装备与智能制造产业链/中游/高端装备制造与激光加工</x:v>
      </x:c>
      <x:c r="K625" s="26" t="str">
        <x:v>CNC/数控操机是在生产制造行业中不可或缺的技术岗位，尤其在工程和机械领域，该职位通过精密操作数控机床来确保产品加工的高效与精准。作为连接设计与生产的桥梁，数控操机人员不仅负责将工程师的设计图纸转化为实际产品，还需不断优…</x:v>
      </x:c>
      <x:c r="L625" s="26" t="str">
        <x:v>1. 根据生产计划及工艺文件要求，正确设置并操作数控机床完成零件加工任务，确保加工精度符合标准。 2. 定期维护保养所使用的设备，检查机床运行状态，及时排除故障，保证设备正常运转。 3. 记录生产过程中的各项数据，分析加…</x:v>
      </x:c>
    </x:row>
    <x:row r="626" ht="72" customHeight="1">
      <x:c r="A626" s="25" t="n">
        <x:v>11518</x:v>
      </x:c>
      <x:c r="B626" s="25" t="str">
        <x:v>IC-L3-775</x:v>
      </x:c>
      <x:c r="C626" s="25" t="str">
        <x:v>CNC/数控编程</x:v>
      </x:c>
      <x:c r="D626" s="25" t="str">
        <x:v>2-02-07-01</x:v>
      </x:c>
      <x:c r="E626" s="25" t="str">
        <x:v>机械设计工程技术人员</x:v>
      </x:c>
      <x:c r="F626" s="28" t="n">
        <x:f>COUNTIF('岗位-产业节点关系'!$C$4:$C$709,B626)</x:f>
        <x:v>1</x:v>
      </x:c>
      <x:c r="G626" s="26" t="str">
        <x:f>IF(F626=0,"未匹配（现有产业链范围未覆盖或证据不足）",IF(COUNTIFS('岗位-产业节点关系'!$C$4:$C$709,B626,'岗位-产业节点关系'!$M$4:$M$709,"低")&gt;0,"已匹配，建议复核","已匹配"))</x:f>
        <x:v>已匹配</x:v>
      </x:c>
      <x:c r="H626" s="26" t="str">
        <x:v>中</x:v>
      </x:c>
      <x:c r="I626" s="26" t="str">
        <x:v>ICN005</x:v>
      </x:c>
      <x:c r="J626" s="26" t="str">
        <x:v>高端装备与智能制造产业链/中游/高端装备制造与激光加工</x:v>
      </x:c>
      <x:c r="K626" s="26" t="str">
        <x:v>CNC/数控编程工程师是生产制造行业中不可或缺的专业技术人才，他们负责利用先进的计算机辅助设计（CAD）和计算机辅助制造（CAM）软件进行零件加工程序的编写，确保产品从设计图纸到实际生产的精准转换。通过优化加工路径、提高…</x:v>
      </x:c>
      <x:c r="L626" s="26" t="str">
        <x:v>1. 根据产品图纸和工艺要求，使用CAD/CAM软件准确编制CNC数控机床的加工程序，确保加工精度和表面质量达到标准。 2. 分析零件结构特点，合理选择刀具类型和加工参数，制定最优的加工方案，以提高加工效率并保证产品质量…</x:v>
      </x:c>
    </x:row>
    <x:row r="627" ht="72" customHeight="1">
      <x:c r="A627" s="25" t="n">
        <x:v>11519</x:v>
      </x:c>
      <x:c r="B627" s="25" t="str">
        <x:v>IC-L3-776</x:v>
      </x:c>
      <x:c r="C627" s="25" t="str">
        <x:v>光源与照明工程</x:v>
      </x:c>
      <x:c r="D627" s="25" t="str">
        <x:v>2-02-07-01</x:v>
      </x:c>
      <x:c r="E627" s="25" t="str">
        <x:v>机械设计工程技术人员</x:v>
      </x:c>
      <x:c r="F627" s="28" t="n">
        <x:f>COUNTIF('岗位-产业节点关系'!$C$4:$C$709,B627)</x:f>
        <x:v>0</x:v>
      </x:c>
      <x:c r="G627" s="26" t="str">
        <x:f>IF(F627=0,"未匹配（现有产业链范围未覆盖或证据不足）",IF(COUNTIFS('岗位-产业节点关系'!$C$4:$C$709,B627,'岗位-产业节点关系'!$M$4:$M$709,"低")&gt;0,"已匹配，建议复核","已匹配"))</x:f>
        <x:v>未匹配（现有产业链范围未覆盖或证据不足）</x:v>
      </x:c>
      <x:c r="H627" s="26" t="str">
        <x:v>-</x:v>
      </x:c>
      <x:c r="I627" s="26" t="str"/>
      <x:c r="J627" s="26" t="str"/>
      <x:c r="K627" s="26" t="str">
        <x:v>光源与照明工程师是生产制造行业中不可或缺的专业人才，他们负责设计、开发和优化各种光源和照明系统，确保产品符合安全标准和环保要求。该职位不仅需要深厚的技术背景，还需要具备创新思维和解决问题的能力，以应对不断变化的市场需求和…</x:v>
      </x:c>
      <x:c r="L627" s="26" t="str">
        <x:v>1. 负责光源及照明产品的设计与开发工作，确保设计方案满足客户要求及行业规范。 2. 对现有产品进行持续改进，提高能效比，减少成本，增强市场竞争力。 3. 参与新项目的评估与立项过程，提供技术支持并制定实施计划。 4. …</x:v>
      </x:c>
    </x:row>
    <x:row r="628" ht="72" customHeight="1">
      <x:c r="A628" s="25" t="n">
        <x:v>11520</x:v>
      </x:c>
      <x:c r="B628" s="25" t="str">
        <x:v>IC-L3-777</x:v>
      </x:c>
      <x:c r="C628" s="25" t="str">
        <x:v>冲压工程师</x:v>
      </x:c>
      <x:c r="D628" s="25" t="str">
        <x:v>2-02-07-01</x:v>
      </x:c>
      <x:c r="E628" s="25" t="str">
        <x:v>机械设计工程技术人员</x:v>
      </x:c>
      <x:c r="F628" s="28" t="n">
        <x:f>COUNTIF('岗位-产业节点关系'!$C$4:$C$709,B628)</x:f>
        <x:v>1</x:v>
      </x:c>
      <x:c r="G628" s="26" t="str">
        <x:f>IF(F628=0,"未匹配（现有产业链范围未覆盖或证据不足）",IF(COUNTIFS('岗位-产业节点关系'!$C$4:$C$709,B628,'岗位-产业节点关系'!$M$4:$M$709,"低")&gt;0,"已匹配，建议复核","已匹配"))</x:f>
        <x:v>已匹配</x:v>
      </x:c>
      <x:c r="H628" s="26" t="str">
        <x:v>中</x:v>
      </x:c>
      <x:c r="I628" s="26" t="str">
        <x:v>ICN005</x:v>
      </x:c>
      <x:c r="J628" s="26" t="str">
        <x:v>高端装备与智能制造产业链/中游/高端装备制造与激光加工</x:v>
      </x:c>
      <x:c r="K628" s="26" t="str">
        <x:v>冲压工程师是生产制造行业中不可或缺的专业技术人才，负责确保金属板材等材料通过精密加工形成所需形状和尺寸的产品部件。在现代制造业中，他们扮演着连接设计与生产的桥梁角色，确保产品从概念到实物的顺利转换。 该职位的核心目标在于…</x:v>
      </x:c>
      <x:c r="L628" s="26" t="str">
        <x:v>1. 负责制定详细的冲压工艺方案，包括选择合适的模具类型、确定加工参数等，确保产品符合设计要求并具备良好的可制造性。 2. 对现有生产线进行定期评估，识别潜在的问题点并提出改进建议，推动生产工艺的持续优化。 3. 协调供…</x:v>
      </x:c>
    </x:row>
    <x:row r="629" ht="72" customHeight="1">
      <x:c r="A629" s="25" t="n">
        <x:v>11521</x:v>
      </x:c>
      <x:c r="B629" s="25" t="str">
        <x:v>IC-L3-778</x:v>
      </x:c>
      <x:c r="C629" s="25" t="str">
        <x:v>夹具工程师</x:v>
      </x:c>
      <x:c r="D629" s="25" t="str">
        <x:v>2-02-07-01</x:v>
      </x:c>
      <x:c r="E629" s="25" t="str">
        <x:v>机械设计工程技术人员</x:v>
      </x:c>
      <x:c r="F629" s="28" t="n">
        <x:f>COUNTIF('岗位-产业节点关系'!$C$4:$C$709,B629)</x:f>
        <x:v>0</x:v>
      </x:c>
      <x:c r="G629" s="26" t="str">
        <x:f>IF(F629=0,"未匹配（现有产业链范围未覆盖或证据不足）",IF(COUNTIFS('岗位-产业节点关系'!$C$4:$C$709,B629,'岗位-产业节点关系'!$M$4:$M$709,"低")&gt;0,"已匹配，建议复核","已匹配"))</x:f>
        <x:v>未匹配（现有产业链范围未覆盖或证据不足）</x:v>
      </x:c>
      <x:c r="H629" s="26" t="str">
        <x:v>-</x:v>
      </x:c>
      <x:c r="I629" s="26" t="str"/>
      <x:c r="J629" s="26" t="str"/>
      <x:c r="K629" s="26" t="str">
        <x:v>夹具工程师是生产制造行业中不可或缺的专业人才，主要负责设计、开发及优化用于产品加工过程中的各种夹具设备。在现代制造业中，随着自动化水平的不断提高，夹具的设计与应用直接关系到生产效率的提升和产品质量的保证，因此该职位在整个…</x:v>
      </x:c>
      <x:c r="L629" s="26" t="str">
        <x:v>1. 根据产品图纸和技术规范，独立完成夹具的设计工作，确保设计方案符合生产工艺需求。 2. 对现有夹具进行性能分析和评估，提出改进建议并实施优化措施，以提高生产效率和降低制造成本。 3. 与供应商协商定制非标准件，确保材…</x:v>
      </x:c>
    </x:row>
    <x:row r="630" ht="72" customHeight="1">
      <x:c r="A630" s="25" t="n">
        <x:v>11522</x:v>
      </x:c>
      <x:c r="B630" s="25" t="str">
        <x:v>IC-L3-779</x:v>
      </x:c>
      <x:c r="C630" s="25" t="str">
        <x:v>实验室负责人/工程师</x:v>
      </x:c>
      <x:c r="D630" s="25" t="str">
        <x:v>2-02-07-01</x:v>
      </x:c>
      <x:c r="E630" s="25" t="str">
        <x:v>机械设计工程技术人员</x:v>
      </x:c>
      <x:c r="F630" s="28" t="n">
        <x:f>COUNTIF('岗位-产业节点关系'!$C$4:$C$709,B630)</x:f>
        <x:v>0</x:v>
      </x:c>
      <x:c r="G630" s="26" t="str">
        <x:f>IF(F630=0,"未匹配（现有产业链范围未覆盖或证据不足）",IF(COUNTIFS('岗位-产业节点关系'!$C$4:$C$709,B630,'岗位-产业节点关系'!$M$4:$M$709,"低")&gt;0,"已匹配，建议复核","已匹配"))</x:f>
        <x:v>未匹配（现有产业链范围未覆盖或证据不足）</x:v>
      </x:c>
      <x:c r="H630" s="26" t="str">
        <x:v>-</x:v>
      </x:c>
      <x:c r="I630" s="26" t="str"/>
      <x:c r="J630" s="26" t="str"/>
      <x:c r="K630" s="26" t="str">
        <x:v>实验室负责人/工程师是生产制造行业中不可或缺的角色，主要负责实验室的日常运营和技术指导工作。该职位不仅确保了产品质量与技术研究的顺利进行，还促进了企业技术创新能力的提升，为公司的发展提供了强有力的技术支持。 作为实验室负…</x:v>
      </x:c>
      <x:c r="L630" s="26" t="str">
        <x:v>1. 制定和完善实验室管理制度与操作规程，监督执行情况，确保实验室各项工作有序开展。 2. 负责实验室设备的选型、安装调试及日常维护保养，保证设备处于良好状态，满足科研需求。 3. 组织并参与新产品开发项目，进行材料性能…</x:v>
      </x:c>
    </x:row>
    <x:row r="631" ht="72" customHeight="1">
      <x:c r="A631" s="25" t="n">
        <x:v>11523</x:v>
      </x:c>
      <x:c r="B631" s="25" t="str">
        <x:v>IC-L3-780</x:v>
      </x:c>
      <x:c r="C631" s="25" t="str">
        <x:v>工业工程师</x:v>
      </x:c>
      <x:c r="D631" s="25" t="str">
        <x:v>2-02-07-01</x:v>
      </x:c>
      <x:c r="E631" s="25" t="str">
        <x:v>机械设计工程技术人员</x:v>
      </x:c>
      <x:c r="F631" s="28" t="n">
        <x:f>COUNTIF('岗位-产业节点关系'!$C$4:$C$709,B631)</x:f>
        <x:v>1</x:v>
      </x:c>
      <x:c r="G631" s="26" t="str">
        <x:f>IF(F631=0,"未匹配（现有产业链范围未覆盖或证据不足）",IF(COUNTIFS('岗位-产业节点关系'!$C$4:$C$709,B631,'岗位-产业节点关系'!$M$4:$M$709,"低")&gt;0,"已匹配，建议复核","已匹配"))</x:f>
        <x:v>已匹配</x:v>
      </x:c>
      <x:c r="H631" s="26" t="str">
        <x:v>中</x:v>
      </x:c>
      <x:c r="I631" s="26" t="str">
        <x:v>ICN005</x:v>
      </x:c>
      <x:c r="J631" s="26" t="str">
        <x:v>高端装备与智能制造产业链/中游/高端装备制造与激光加工</x:v>
      </x:c>
      <x:c r="K631" s="26" t="str">
        <x:v>工业工程师在生产制造行业中扮演着至关重要的角色，他们负责优化生产流程，提高效率并减少浪费，确保企业能够以最低的成本提供最高质量的产品。通过应用统计学、人机工程学等多学科知识，工业工程师能够识别生产过程中的瓶颈，设计解决方…</x:v>
      </x:c>
      <x:c r="L631" s="26" t="str">
        <x:v>1. 分析现有生产线布局及工艺流程，提出改进建议，旨在降低单位产品成本至少10%。 2. 制定并执行标准化作业程序，确保所有操作符合安全规范，同时提高工作效率20%以上。 3. 与采购部门合作，评估供应商提供的原材料质量…</x:v>
      </x:c>
    </x:row>
    <x:row r="632" ht="72" customHeight="1">
      <x:c r="A632" s="25" t="n">
        <x:v>11524</x:v>
      </x:c>
      <x:c r="B632" s="25" t="str">
        <x:v>IC-L3-781</x:v>
      </x:c>
      <x:c r="C632" s="25" t="str">
        <x:v>工艺/制程工程师</x:v>
      </x:c>
      <x:c r="D632" s="25" t="str">
        <x:v>2-02-07-01</x:v>
      </x:c>
      <x:c r="E632" s="25" t="str">
        <x:v>机械设计工程技术人员</x:v>
      </x:c>
      <x:c r="F632" s="28" t="n">
        <x:f>COUNTIF('岗位-产业节点关系'!$C$4:$C$709,B632)</x:f>
        <x:v>0</x:v>
      </x:c>
      <x:c r="G632" s="26" t="str">
        <x:f>IF(F632=0,"未匹配（现有产业链范围未覆盖或证据不足）",IF(COUNTIFS('岗位-产业节点关系'!$C$4:$C$709,B632,'岗位-产业节点关系'!$M$4:$M$709,"低")&gt;0,"已匹配，建议复核","已匹配"))</x:f>
        <x:v>未匹配（现有产业链范围未覆盖或证据不足）</x:v>
      </x:c>
      <x:c r="H632" s="26" t="str">
        <x:v>-</x:v>
      </x:c>
      <x:c r="I632" s="26" t="str"/>
      <x:c r="J632" s="26" t="str"/>
      <x:c r="K632" s="26" t="str">
        <x:v>工艺/制程工程师是生产制造行业中不可或缺的专业技术人才，在企业内部扮演着确保产品质量与生产效率的重要角色。他们负责优化生产流程，减少浪费，提高产出，通过科学的方法和技术手段实现成本控制与效能提升，是连接设计与生产的桥梁，…</x:v>
      </x:c>
      <x:c r="L632" s="26" t="str">
        <x:v>1. 负责制定和优化生产工艺流程，确保生产过程顺畅高效，达到预定的质量标准和生产目标。 2. 分析生产数据，识别生产瓶颈，提出并执行有效的解决方案，以提高生产效率和降低成本。 3. 与研发部门紧密配合，参与新产品开发阶段…</x:v>
      </x:c>
    </x:row>
    <x:row r="633" ht="72" customHeight="1">
      <x:c r="A633" s="25" t="n">
        <x:v>11525</x:v>
      </x:c>
      <x:c r="B633" s="25" t="str">
        <x:v>IC-L3-782</x:v>
      </x:c>
      <x:c r="C633" s="25" t="str">
        <x:v>机械产品工程师</x:v>
      </x:c>
      <x:c r="D633" s="25" t="str">
        <x:v>2-02-07-01</x:v>
      </x:c>
      <x:c r="E633" s="25" t="str">
        <x:v>机械设计工程技术人员</x:v>
      </x:c>
      <x:c r="F633" s="28" t="n">
        <x:f>COUNTIF('岗位-产业节点关系'!$C$4:$C$709,B633)</x:f>
        <x:v>1</x:v>
      </x:c>
      <x:c r="G633" s="26" t="str">
        <x:f>IF(F633=0,"未匹配（现有产业链范围未覆盖或证据不足）",IF(COUNTIFS('岗位-产业节点关系'!$C$4:$C$709,B633,'岗位-产业节点关系'!$M$4:$M$709,"低")&gt;0,"已匹配，建议复核","已匹配"))</x:f>
        <x:v>已匹配</x:v>
      </x:c>
      <x:c r="H633" s="26" t="str">
        <x:v>中</x:v>
      </x:c>
      <x:c r="I633" s="26" t="str">
        <x:v>ICN005</x:v>
      </x:c>
      <x:c r="J633" s="26" t="str">
        <x:v>高端装备与智能制造产业链/中游/高端装备制造与激光加工</x:v>
      </x:c>
      <x:c r="K633" s="26" t="str">
        <x:v>机械产品工程师是生产制造行业中不可或缺的专业人才，他们负责设计、开发和优化机械设备及系统，确保产品的性能、安全性和成本效益，对于推动技术进步和提高企业竞争力具有关键作用。该职位的核心目标是通过创新的设计方案和高效的技术支…</x:v>
      </x:c>
      <x:c r="L633" s="26" t="str">
        <x:v>1. 负责新产品的机械结构设计与优化工作，确保设计方案符合功能要求并具备良好的可制造性。 2. 对现有产品进行持续改进，分析并解决生产过程中出现的技术难题，提高产品可靠性和市场竞争力。 3. 参与产品生命周期各阶段的技术…</x:v>
      </x:c>
    </x:row>
    <x:row r="634" ht="72" customHeight="1">
      <x:c r="A634" s="25" t="n">
        <x:v>11526</x:v>
      </x:c>
      <x:c r="B634" s="25" t="str">
        <x:v>IC-L3-783</x:v>
      </x:c>
      <x:c r="C634" s="25" t="str">
        <x:v>机械制图</x:v>
      </x:c>
      <x:c r="D634" s="25" t="str">
        <x:v>2-02-07-01</x:v>
      </x:c>
      <x:c r="E634" s="25" t="str">
        <x:v>机械设计工程技术人员</x:v>
      </x:c>
      <x:c r="F634" s="28" t="n">
        <x:f>COUNTIF('岗位-产业节点关系'!$C$4:$C$709,B634)</x:f>
        <x:v>1</x:v>
      </x:c>
      <x:c r="G634" s="26" t="str">
        <x:f>IF(F634=0,"未匹配（现有产业链范围未覆盖或证据不足）",IF(COUNTIFS('岗位-产业节点关系'!$C$4:$C$709,B634,'岗位-产业节点关系'!$M$4:$M$709,"低")&gt;0,"已匹配，建议复核","已匹配"))</x:f>
        <x:v>已匹配</x:v>
      </x:c>
      <x:c r="H634" s="26" t="str">
        <x:v>中</x:v>
      </x:c>
      <x:c r="I634" s="26" t="str">
        <x:v>ICN005</x:v>
      </x:c>
      <x:c r="J634" s="26" t="str">
        <x:v>高端装备与智能制造产业链/中游/高端装备制造与激光加工</x:v>
      </x:c>
      <x:c r="K634" s="26" t="str">
        <x:v>机械制图师是生产制造行业中不可或缺的专业人才，他们通过精准的图纸设计与优化，确保机械设备和部件的制造符合技术规范和质量标准，从而推动项目的顺利进行。作为连接设计与生产的桥梁，机械制图师的核心目标在于将复杂的设计理念转化为…</x:v>
      </x:c>
      <x:c r="L634" s="26" t="str">
        <x:v>1. 负责根据产品设计要求绘制详细的机械零件图及装配图，确保图纸准确无误，满足加工需求。 2. 与研发团队密切沟通，参与新产品开发过程中的方案讨论，提出合理化建议以优化设计方案。 3. 定期审查现有图纸资料库，及时更新过…</x:v>
      </x:c>
    </x:row>
    <x:row r="635" ht="72" customHeight="1">
      <x:c r="A635" s="25" t="n">
        <x:v>11527</x:v>
      </x:c>
      <x:c r="B635" s="25" t="str">
        <x:v>IC-L3-784</x:v>
      </x:c>
      <x:c r="C635" s="25" t="str">
        <x:v>机械工程师</x:v>
      </x:c>
      <x:c r="D635" s="25" t="str">
        <x:v>2-02-07-01</x:v>
      </x:c>
      <x:c r="E635" s="25" t="str">
        <x:v>机械设计工程技术人员</x:v>
      </x:c>
      <x:c r="F635" s="28" t="n">
        <x:f>COUNTIF('岗位-产业节点关系'!$C$4:$C$709,B635)</x:f>
        <x:v>1</x:v>
      </x:c>
      <x:c r="G635" s="26" t="str">
        <x:f>IF(F635=0,"未匹配（现有产业链范围未覆盖或证据不足）",IF(COUNTIFS('岗位-产业节点关系'!$C$4:$C$709,B635,'岗位-产业节点关系'!$M$4:$M$709,"低")&gt;0,"已匹配，建议复核","已匹配"))</x:f>
        <x:v>已匹配</x:v>
      </x:c>
      <x:c r="H635" s="26" t="str">
        <x:v>中</x:v>
      </x:c>
      <x:c r="I635" s="26" t="str">
        <x:v>ICN004</x:v>
      </x:c>
      <x:c r="J635" s="26" t="str">
        <x:v>高端装备与智能制造产业链/上游/关键基础件与工业母机</x:v>
      </x:c>
      <x:c r="K635" s="26" t="str">
        <x:v>机械工程师在生产制造行业中扮演着至关重要的角色，他们是技术创新与实际应用之间的桥梁。通过设计、开发和优化机械设备，机械工程师确保了生产线的高效运行，同时推动了整个行业的技术进步。他们不仅负责解决现有设备的问题，还致力于探…</x:v>
      </x:c>
      <x:c r="L635" s="26" t="str">
        <x:v>1. 负责新产品的机械设计工作，包括绘制图纸、选择材料及零部件等，确保产品满足性能要求并符合安全标准。 2. 参与生产设备的技术改造与升级项目，分析现有流程中的瓶颈问题，提出改进方案并实施，以提升生产效率。 3. 对已投…</x:v>
      </x:c>
    </x:row>
    <x:row r="636" ht="72" customHeight="1">
      <x:c r="A636" s="25" t="n">
        <x:v>11528</x:v>
      </x:c>
      <x:c r="B636" s="25" t="str">
        <x:v>IC-L3-785</x:v>
      </x:c>
      <x:c r="C636" s="25" t="str">
        <x:v>机械研发工程师</x:v>
      </x:c>
      <x:c r="D636" s="25" t="str">
        <x:v>2-02-07-01</x:v>
      </x:c>
      <x:c r="E636" s="25" t="str">
        <x:v>机械设计工程技术人员</x:v>
      </x:c>
      <x:c r="F636" s="28" t="n">
        <x:f>COUNTIF('岗位-产业节点关系'!$C$4:$C$709,B636)</x:f>
        <x:v>1</x:v>
      </x:c>
      <x:c r="G636" s="26" t="str">
        <x:f>IF(F636=0,"未匹配（现有产业链范围未覆盖或证据不足）",IF(COUNTIFS('岗位-产业节点关系'!$C$4:$C$709,B636,'岗位-产业节点关系'!$M$4:$M$709,"低")&gt;0,"已匹配，建议复核","已匹配"))</x:f>
        <x:v>已匹配</x:v>
      </x:c>
      <x:c r="H636" s="26" t="str">
        <x:v>中</x:v>
      </x:c>
      <x:c r="I636" s="26" t="str">
        <x:v>ICN004</x:v>
      </x:c>
      <x:c r="J636" s="26" t="str">
        <x:v>高端装备与智能制造产业链/上游/关键基础件与工业母机</x:v>
      </x:c>
      <x:c r="K636" s="26" t="str">
        <x:v>机械研发工程师是生产制造行业中不可或缺的专业人才，负责新产品的设计与开发，确保产品从概念到市场的顺利过渡。这一职位不仅要求具备扎实的机械原理知识，还需要有创新思维和解决实际问题的能力，在推动企业技术进步和产品升级中扮演着…</x:v>
      </x:c>
      <x:c r="L636" s="26" t="str">
        <x:v>1. 负责机械设备的设计与优化工作，确保设计方案满足功能需求并具备良好的可制造性和经济性。 2. 参与新产品开发流程，从市场需求分析到原型测试，全程跟踪项目进度，确保按时完成各阶段任务。 3. 对现有产品进行改进升级，提…</x:v>
      </x:c>
    </x:row>
    <x:row r="637" ht="72" customHeight="1">
      <x:c r="A637" s="25" t="n">
        <x:v>11529</x:v>
      </x:c>
      <x:c r="B637" s="25" t="str">
        <x:v>IC-L3-786</x:v>
      </x:c>
      <x:c r="C637" s="25" t="str">
        <x:v>机械研发经理/主管</x:v>
      </x:c>
      <x:c r="D637" s="25" t="str">
        <x:v>2-02-07-01</x:v>
      </x:c>
      <x:c r="E637" s="25" t="str">
        <x:v>机械设计工程技术人员</x:v>
      </x:c>
      <x:c r="F637" s="28" t="n">
        <x:f>COUNTIF('岗位-产业节点关系'!$C$4:$C$709,B637)</x:f>
        <x:v>1</x:v>
      </x:c>
      <x:c r="G637" s="26" t="str">
        <x:f>IF(F637=0,"未匹配（现有产业链范围未覆盖或证据不足）",IF(COUNTIFS('岗位-产业节点关系'!$C$4:$C$709,B637,'岗位-产业节点关系'!$M$4:$M$709,"低")&gt;0,"已匹配，建议复核","已匹配"))</x:f>
        <x:v>已匹配</x:v>
      </x:c>
      <x:c r="H637" s="26" t="str">
        <x:v>中</x:v>
      </x:c>
      <x:c r="I637" s="26" t="str">
        <x:v>ICN004</x:v>
      </x:c>
      <x:c r="J637" s="26" t="str">
        <x:v>高端装备与智能制造产业链/上游/关键基础件与工业母机</x:v>
      </x:c>
      <x:c r="K637" s="26" t="str">
        <x:v>**岗位简介** 机械研发经理/主管是生产制造行业中不可或缺的角色，他们负责推动公司产品创新和技术进步，确保公司在激烈的市场竞争中保持领先地位。通过引领机械设计与开发工作，该职位不仅促进了新产品线的扩展，还提升了现有产品…</x:v>
      </x:c>
      <x:c r="L637" s="26" t="str">
        <x:v>机械研发经理/主管的主要职责包括：领导研发团队进行新产品设计与开发，确保项目按时按质完成；负责研发流程的优化与改进，提升研发效率；与市场、销售等部门紧密合作，确保产品满足市场需求；进行技术调研与分析，跟踪行业技术发展趋势…</x:v>
      </x:c>
    </x:row>
    <x:row r="638" ht="72" customHeight="1">
      <x:c r="A638" s="25" t="n">
        <x:v>11530</x:v>
      </x:c>
      <x:c r="B638" s="25" t="str">
        <x:v>IC-L3-787</x:v>
      </x:c>
      <x:c r="C638" s="25" t="str">
        <x:v>机械结构工程师</x:v>
      </x:c>
      <x:c r="D638" s="25" t="str">
        <x:v>2-02-07-01</x:v>
      </x:c>
      <x:c r="E638" s="25" t="str">
        <x:v>机械设计工程技术人员</x:v>
      </x:c>
      <x:c r="F638" s="28" t="n">
        <x:f>COUNTIF('岗位-产业节点关系'!$C$4:$C$709,B638)</x:f>
        <x:v>1</x:v>
      </x:c>
      <x:c r="G638" s="26" t="str">
        <x:f>IF(F638=0,"未匹配（现有产业链范围未覆盖或证据不足）",IF(COUNTIFS('岗位-产业节点关系'!$C$4:$C$709,B638,'岗位-产业节点关系'!$M$4:$M$709,"低")&gt;0,"已匹配，建议复核","已匹配"))</x:f>
        <x:v>已匹配</x:v>
      </x:c>
      <x:c r="H638" s="26" t="str">
        <x:v>中</x:v>
      </x:c>
      <x:c r="I638" s="26" t="str">
        <x:v>ICN005</x:v>
      </x:c>
      <x:c r="J638" s="26" t="str">
        <x:v>高端装备与智能制造产业链/中游/高端装备制造与激光加工</x:v>
      </x:c>
      <x:c r="K638" s="26" t="str">
        <x:v>机械结构工程师是生产制造行业中不可或缺的专业技术人才，他们负责设计和优化机械设备及组件，确保产品既满足功能需求又符合成本效益，是连接理论设计与实际生产的桥梁。作为公司研发团队的核心成员，机械结构工程师的主要目标是通过创新…</x:v>
      </x:c>
      <x:c r="L638" s="26" t="str">
        <x:v>1. 负责新产品的机械结构设计与优化，确保设计方案满足客户要求并具备良好的可制造性。 2. 利用CAD软件完成详细图纸绘制，指导生产部门进行样品试制，并参与样机测试以验证设计的有效性。 3. 分析现有产品的缺陷，提出改进…</x:v>
      </x:c>
    </x:row>
    <x:row r="639" ht="72" customHeight="1">
      <x:c r="A639" s="25" t="n">
        <x:v>11531</x:v>
      </x:c>
      <x:c r="B639" s="25" t="str">
        <x:v>IC-L3-788</x:v>
      </x:c>
      <x:c r="C639" s="25" t="str">
        <x:v>机械维修/保养</x:v>
      </x:c>
      <x:c r="D639" s="25" t="str">
        <x:v>2-02-07-01</x:v>
      </x:c>
      <x:c r="E639" s="25" t="str">
        <x:v>机械设计工程技术人员</x:v>
      </x:c>
      <x:c r="F639" s="28" t="n">
        <x:f>COUNTIF('岗位-产业节点关系'!$C$4:$C$709,B639)</x:f>
        <x:v>1</x:v>
      </x:c>
      <x:c r="G639" s="26" t="str">
        <x:f>IF(F639=0,"未匹配（现有产业链范围未覆盖或证据不足）",IF(COUNTIFS('岗位-产业节点关系'!$C$4:$C$709,B639,'岗位-产业节点关系'!$M$4:$M$709,"低")&gt;0,"已匹配，建议复核","已匹配"))</x:f>
        <x:v>已匹配</x:v>
      </x:c>
      <x:c r="H639" s="26" t="str">
        <x:v>中</x:v>
      </x:c>
      <x:c r="I639" s="26" t="str">
        <x:v>ICN005</x:v>
      </x:c>
      <x:c r="J639" s="26" t="str">
        <x:v>高端装备与智能制造产业链/中游/高端装备制造与激光加工</x:v>
      </x:c>
      <x:c r="K639" s="26" t="str">
        <x:v>机械维修/保养是生产制造行业中不可或缺的关键职能之一。通过确保所有机械设备处于最佳运行状态，这一角色对于维持生产线的高效运作至关重要，能够有效减少因设备故障导致的停工时间，提高整体生产效率。作为机械维修/保养人员，您的主…</x:v>
      </x:c>
      <x:c r="L639" s="26" t="str">
        <x:v>1. 定期执行机械设备的检查工作，记录设备运行状况，识别潜在故障点，制定并实施预防性维护计划，以延长设备使用寿命。 2. 在发生设备故障时迅速响应，准确判断故障原因，采取有效措施进行维修，确保最短时间内恢复生产活动。 3…</x:v>
      </x:c>
    </x:row>
    <x:row r="640" ht="72" customHeight="1">
      <x:c r="A640" s="25" t="n">
        <x:v>11532</x:v>
      </x:c>
      <x:c r="B640" s="25" t="str">
        <x:v>IC-L3-789</x:v>
      </x:c>
      <x:c r="C640" s="25" t="str">
        <x:v>机械装配工程师</x:v>
      </x:c>
      <x:c r="D640" s="25" t="str">
        <x:v>2-02-07-01</x:v>
      </x:c>
      <x:c r="E640" s="25" t="str">
        <x:v>机械设计工程技术人员</x:v>
      </x:c>
      <x:c r="F640" s="28" t="n">
        <x:f>COUNTIF('岗位-产业节点关系'!$C$4:$C$709,B640)</x:f>
        <x:v>1</x:v>
      </x:c>
      <x:c r="G640" s="26" t="str">
        <x:f>IF(F640=0,"未匹配（现有产业链范围未覆盖或证据不足）",IF(COUNTIFS('岗位-产业节点关系'!$C$4:$C$709,B640,'岗位-产业节点关系'!$M$4:$M$709,"低")&gt;0,"已匹配，建议复核","已匹配"))</x:f>
        <x:v>已匹配</x:v>
      </x:c>
      <x:c r="H640" s="26" t="str">
        <x:v>高</x:v>
      </x:c>
      <x:c r="I640" s="26" t="str">
        <x:v>ICN005</x:v>
      </x:c>
      <x:c r="J640" s="26" t="str">
        <x:v>高端装备与智能制造产业链/中游/高端装备制造与激光加工</x:v>
      </x:c>
      <x:c r="K640" s="26" t="str">
        <x:v>机械装配工程师是生产制造行业中不可或缺的专业人才，负责确保机械设备的高效组装与调试，直接关系到产品质量和生产效率。在工程/机械领域中，这一角色不仅需要具备扎实的技术基础，还应拥有良好的问题解决能力和创新思维，以适应不断变…</x:v>
      </x:c>
      <x:c r="L640" s="26" t="str">
        <x:v>1. 负责机械设备的安装、调试及维护工作，确保设备运行稳定可靠，满足生产需求。 2. 根据产品图纸和技术规范，指导并监督装配线上的操作人员正确执行装配任务，提高工作效率。 3. 定期检查装配过程中的质量问题，及时提出改进…</x:v>
      </x:c>
    </x:row>
    <x:row r="641" ht="72" customHeight="1">
      <x:c r="A641" s="25" t="n">
        <x:v>11533</x:v>
      </x:c>
      <x:c r="B641" s="25" t="str">
        <x:v>IC-L3-790</x:v>
      </x:c>
      <x:c r="C641" s="25" t="str">
        <x:v>机械设备工程师</x:v>
      </x:c>
      <x:c r="D641" s="25" t="str">
        <x:v>2-02-07-01</x:v>
      </x:c>
      <x:c r="E641" s="25" t="str">
        <x:v>机械设计工程技术人员</x:v>
      </x:c>
      <x:c r="F641" s="28" t="n">
        <x:f>COUNTIF('岗位-产业节点关系'!$C$4:$C$709,B641)</x:f>
        <x:v>1</x:v>
      </x:c>
      <x:c r="G641" s="26" t="str">
        <x:f>IF(F641=0,"未匹配（现有产业链范围未覆盖或证据不足）",IF(COUNTIFS('岗位-产业节点关系'!$C$4:$C$709,B641,'岗位-产业节点关系'!$M$4:$M$709,"低")&gt;0,"已匹配，建议复核","已匹配"))</x:f>
        <x:v>已匹配</x:v>
      </x:c>
      <x:c r="H641" s="26" t="str">
        <x:v>高</x:v>
      </x:c>
      <x:c r="I641" s="26" t="str">
        <x:v>ICN005</x:v>
      </x:c>
      <x:c r="J641" s="26" t="str">
        <x:v>高端装备与智能制造产业链/中游/高端装备制造与激光加工</x:v>
      </x:c>
      <x:c r="K641" s="26" t="str">
        <x:v>机械设备工程师是生产制造行业中不可或缺的专业技术人才，他们负责确保机械设备的高效运行与维护，对提高生产效率、保障产品质量起着至关重要的作用。作为连接理论设计与实际操作之间的桥梁，机械设备工程师通过持续优化设备性能、减少故…</x:v>
      </x:c>
      <x:c r="L641" s="26" t="str">
        <x:v>1. 负责制定和执行机械设备的预防性保养计划，定期检查设备状态以防止突发故障发生，确保生产线正常运转。 2. 对出现异常状况的机器进行故障诊断与修复，迅速排除障碍恢复生产活动，减少因设备原因导致的停工损失。 3. 参与新…</x:v>
      </x:c>
    </x:row>
    <x:row r="642" ht="72" customHeight="1">
      <x:c r="A642" s="25" t="n">
        <x:v>11534</x:v>
      </x:c>
      <x:c r="B642" s="25" t="str">
        <x:v>IC-L3-791</x:v>
      </x:c>
      <x:c r="C642" s="25" t="str">
        <x:v>机械设备经理/主管</x:v>
      </x:c>
      <x:c r="D642" s="25" t="str">
        <x:v>2-02-07-01</x:v>
      </x:c>
      <x:c r="E642" s="25" t="str">
        <x:v>机械设计工程技术人员</x:v>
      </x:c>
      <x:c r="F642" s="28" t="n">
        <x:f>COUNTIF('岗位-产业节点关系'!$C$4:$C$709,B642)</x:f>
        <x:v>1</x:v>
      </x:c>
      <x:c r="G642" s="26" t="str">
        <x:f>IF(F642=0,"未匹配（现有产业链范围未覆盖或证据不足）",IF(COUNTIFS('岗位-产业节点关系'!$C$4:$C$709,B642,'岗位-产业节点关系'!$M$4:$M$709,"低")&gt;0,"已匹配，建议复核","已匹配"))</x:f>
        <x:v>已匹配</x:v>
      </x:c>
      <x:c r="H642" s="26" t="str">
        <x:v>高</x:v>
      </x:c>
      <x:c r="I642" s="26" t="str">
        <x:v>ICN005</x:v>
      </x:c>
      <x:c r="J642" s="26" t="str">
        <x:v>高端装备与智能制造产业链/中游/高端装备制造与激光加工</x:v>
      </x:c>
      <x:c r="K642" s="26" t="str">
        <x:v>机械设备经理或主管是生产制造行业中至关重要的角色之一，他们负责确保工厂内所有机械设备的高效运行与维护，对于提升生产效率、降低运营成本及保障员工安全至关重要。作为连接技术与管理的桥梁，机械设备经理不仅需要具备扎实的专业知识…</x:v>
      </x:c>
      <x:c r="L642" s="26" t="str">
        <x:v>1. 负责制定并执行全面的机械设备维护保养计划，确保所有设备处于最佳工作状态，延长使用寿命。 2. 监督设备安装、调试及改造项目，确保按时完成并符合安全标准和生产需求。 3. 分析设备故障原因，制定有效的解决方案，缩短故…</x:v>
      </x:c>
    </x:row>
    <x:row r="643" ht="72" customHeight="1">
      <x:c r="A643" s="25" t="n">
        <x:v>11535</x:v>
      </x:c>
      <x:c r="B643" s="25" t="str">
        <x:v>IC-L3-792</x:v>
      </x:c>
      <x:c r="C643" s="25" t="str">
        <x:v>机械设计</x:v>
      </x:c>
      <x:c r="D643" s="25" t="str">
        <x:v>2-02-07-01</x:v>
      </x:c>
      <x:c r="E643" s="25" t="str">
        <x:v>机械设计工程技术人员</x:v>
      </x:c>
      <x:c r="F643" s="28" t="n">
        <x:f>COUNTIF('岗位-产业节点关系'!$C$4:$C$709,B643)</x:f>
        <x:v>1</x:v>
      </x:c>
      <x:c r="G643" s="26" t="str">
        <x:f>IF(F643=0,"未匹配（现有产业链范围未覆盖或证据不足）",IF(COUNTIFS('岗位-产业节点关系'!$C$4:$C$709,B643,'岗位-产业节点关系'!$M$4:$M$709,"低")&gt;0,"已匹配，建议复核","已匹配"))</x:f>
        <x:v>已匹配</x:v>
      </x:c>
      <x:c r="H643" s="26" t="str">
        <x:v>中</x:v>
      </x:c>
      <x:c r="I643" s="26" t="str">
        <x:v>ICN004</x:v>
      </x:c>
      <x:c r="J643" s="26" t="str">
        <x:v>高端装备与智能制造产业链/上游/关键基础件与工业母机</x:v>
      </x:c>
      <x:c r="K643" s="26" t="str">
        <x:v>机械设计师是生产制造行业中不可或缺的角色，他们通过创新的设计和优化的解决方案，确保产品的高效生产和性能稳定。机械设计师不仅负责产品从概念到生产的全过程设计，还肩负着提升产品竞争力和市场适应性的重任，是连接技术与市场的桥梁…</x:v>
      </x:c>
      <x:c r="L643" s="26" t="str">
        <x:v>1. 负责新产品的机械结构设计及改进现有产品的结构，确保设计符合功能要求并具有成本效益。 2. 利用CAD软件进行详细图纸绘制，确保所有技术参数准确无误，满足生产工艺标准。 3. 参与产品开发流程，与跨职能团队成员沟通协…</x:v>
      </x:c>
    </x:row>
    <x:row r="644" ht="72" customHeight="1">
      <x:c r="A644" s="25" t="n">
        <x:v>11536</x:v>
      </x:c>
      <x:c r="B644" s="25" t="str">
        <x:v>IC-L3-793</x:v>
      </x:c>
      <x:c r="C644" s="25" t="str">
        <x:v>机械项目管理</x:v>
      </x:c>
      <x:c r="D644" s="25" t="str">
        <x:v>2-02-07-01</x:v>
      </x:c>
      <x:c r="E644" s="25" t="str">
        <x:v>机械设计工程技术人员</x:v>
      </x:c>
      <x:c r="F644" s="28" t="n">
        <x:f>COUNTIF('岗位-产业节点关系'!$C$4:$C$709,B644)</x:f>
        <x:v>1</x:v>
      </x:c>
      <x:c r="G644" s="26" t="str">
        <x:f>IF(F644=0,"未匹配（现有产业链范围未覆盖或证据不足）",IF(COUNTIFS('岗位-产业节点关系'!$C$4:$C$709,B644,'岗位-产业节点关系'!$M$4:$M$709,"低")&gt;0,"已匹配，建议复核","已匹配"))</x:f>
        <x:v>已匹配</x:v>
      </x:c>
      <x:c r="H644" s="26" t="str">
        <x:v>中</x:v>
      </x:c>
      <x:c r="I644" s="26" t="str">
        <x:v>ICN005</x:v>
      </x:c>
      <x:c r="J644" s="26" t="str">
        <x:v>高端装备与智能制造产业链/中游/高端装备制造与激光加工</x:v>
      </x:c>
      <x:c r="K644" s="26" t="str">
        <x:v>机械项目管理是生产制造行业中至关重要的角色之一，负责确保从设计到生产的每一个环节都能高效运作。作为连接工程与生产的关键桥梁，机械项目经理不仅需要具备扎实的技术背景，还需要拥有出色的项目管理和沟通协调能力，以确保项目按时按…</x:v>
      </x:c>
      <x:c r="L644" s="26" t="str">
        <x:v>1. 负责制定详细的项目计划，包括时间表、成本预算和资源分配，确保所有活动符合既定目标。 2. 协调跨部门之间的沟通与合作，及时解决项目执行过程中出现的技术难题或管理障碍。 3. 监控项目的进展状况，定期向高级管理层汇报…</x:v>
      </x:c>
    </x:row>
    <x:row r="645" ht="72" customHeight="1">
      <x:c r="A645" s="25" t="n">
        <x:v>11537</x:v>
      </x:c>
      <x:c r="B645" s="25" t="str">
        <x:v>IC-L3-794</x:v>
      </x:c>
      <x:c r="C645" s="25" t="str">
        <x:v>机电工程师</x:v>
      </x:c>
      <x:c r="D645" s="25" t="str">
        <x:v>2-02-07-01</x:v>
      </x:c>
      <x:c r="E645" s="25" t="str">
        <x:v>机械设计工程技术人员</x:v>
      </x:c>
      <x:c r="F645" s="28" t="n">
        <x:f>COUNTIF('岗位-产业节点关系'!$C$4:$C$709,B645)</x:f>
        <x:v>1</x:v>
      </x:c>
      <x:c r="G645" s="26" t="str">
        <x:f>IF(F645=0,"未匹配（现有产业链范围未覆盖或证据不足）",IF(COUNTIFS('岗位-产业节点关系'!$C$4:$C$709,B645,'岗位-产业节点关系'!$M$4:$M$709,"低")&gt;0,"已匹配，建议复核","已匹配"))</x:f>
        <x:v>已匹配</x:v>
      </x:c>
      <x:c r="H645" s="26" t="str">
        <x:v>中</x:v>
      </x:c>
      <x:c r="I645" s="26" t="str">
        <x:v>ICN005</x:v>
      </x:c>
      <x:c r="J645" s="26" t="str">
        <x:v>高端装备与智能制造产业链/中游/高端装备制造与激光加工</x:v>
      </x:c>
      <x:c r="K645" s="26" t="str">
        <x:v>机电工程师在生产制造行业中扮演着至关重要的角色，负责确保生产线上的机械设备高效运行，是连接电气与机械技术的关键桥梁。通过优化设备性能，减少停机时间，提高生产效率，机电工程师对于企业的成本控制和产品质量提升具有不可替代的作…</x:v>
      </x:c>
      <x:c r="L645" s="26" t="str">
        <x:v>1. 负责设计、安装、调试及维护生产线上的机电一体化设备，确保其正常运转并满足生产工艺要求。 2. 定期检查生产设备的安全性能，及时发现潜在故障点，制定预防措施，降低事故风险，保障员工安全。 3. 分析生产过程中的技术问…</x:v>
      </x:c>
    </x:row>
    <x:row r="646" ht="72" customHeight="1">
      <x:c r="A646" s="25" t="n">
        <x:v>11538</x:v>
      </x:c>
      <x:c r="B646" s="25" t="str">
        <x:v>IC-L3-795</x:v>
      </x:c>
      <x:c r="C646" s="25" t="str">
        <x:v>材料工程师</x:v>
      </x:c>
      <x:c r="D646" s="25" t="str">
        <x:v>2-02-07-01</x:v>
      </x:c>
      <x:c r="E646" s="25" t="str">
        <x:v>机械设计工程技术人员</x:v>
      </x:c>
      <x:c r="F646" s="28" t="n">
        <x:f>COUNTIF('岗位-产业节点关系'!$C$4:$C$709,B646)</x:f>
        <x:v>1</x:v>
      </x:c>
      <x:c r="G646" s="26" t="str">
        <x:f>IF(F646=0,"未匹配（现有产业链范围未覆盖或证据不足）",IF(COUNTIFS('岗位-产业节点关系'!$C$4:$C$709,B646,'岗位-产业节点关系'!$M$4:$M$709,"低")&gt;0,"已匹配，建议复核","已匹配"))</x:f>
        <x:v>已匹配</x:v>
      </x:c>
      <x:c r="H646" s="26" t="str">
        <x:v>中</x:v>
      </x:c>
      <x:c r="I646" s="26" t="str">
        <x:v>ICN035</x:v>
      </x:c>
      <x:c r="J646" s="26" t="str">
        <x:v>新材料产业链/中游/先进材料制备与加工</x:v>
      </x:c>
      <x:c r="K646" s="26" t="str">
        <x:v>材料工程师是生产制造行业中不可或缺的专业人才，他们通过科学的方法研究和开发新材料，以满足产品的性能要求，从而提升产品质量和降低成本。该职位的核心目标在于通过材料的创新与优化，确保产品从设计到生产的整个流程中能够高效运行，…</x:v>
      </x:c>
      <x:c r="L646" s="26" t="str">
        <x:v>材料工程师的主要职责包括：负责新材料的研发与测试，优化材料性能以满足产品需求；进行材料成本分析，选择性价比高的材料供应商；监督材料采购、入库、存储及使用过程，确保材料质量；参与产品设计评审，提供材料方面的专业意见；制定并…</x:v>
      </x:c>
    </x:row>
    <x:row r="647" ht="72" customHeight="1">
      <x:c r="A647" s="25" t="n">
        <x:v>11539</x:v>
      </x:c>
      <x:c r="B647" s="25" t="str">
        <x:v>IC-L3-796</x:v>
      </x:c>
      <x:c r="C647" s="25" t="str">
        <x:v>模具工程师</x:v>
      </x:c>
      <x:c r="D647" s="25" t="str">
        <x:v>2-02-07-01</x:v>
      </x:c>
      <x:c r="E647" s="25" t="str">
        <x:v>机械设计工程技术人员</x:v>
      </x:c>
      <x:c r="F647" s="28" t="n">
        <x:f>COUNTIF('岗位-产业节点关系'!$C$4:$C$709,B647)</x:f>
        <x:v>1</x:v>
      </x:c>
      <x:c r="G647" s="26" t="str">
        <x:f>IF(F647=0,"未匹配（现有产业链范围未覆盖或证据不足）",IF(COUNTIFS('岗位-产业节点关系'!$C$4:$C$709,B647,'岗位-产业节点关系'!$M$4:$M$709,"低")&gt;0,"已匹配，建议复核","已匹配"))</x:f>
        <x:v>已匹配</x:v>
      </x:c>
      <x:c r="H647" s="26" t="str">
        <x:v>中</x:v>
      </x:c>
      <x:c r="I647" s="26" t="str">
        <x:v>ICN004</x:v>
      </x:c>
      <x:c r="J647" s="26" t="str">
        <x:v>高端装备与智能制造产业链/上游/关键基础件与工业母机</x:v>
      </x:c>
      <x:c r="K647" s="26" t="str">
        <x:v>模具工程师是生产制造行业中不可或缺的专业人才，他们负责设计、开发和优化用于生产各种产品的模具，确保产品质量与生产效率。作为连接产品设计与制造过程的关键桥梁，模具工程师对于提升企业竞争力、降低成本、缩短生产周期等方面发挥着…</x:v>
      </x:c>
      <x:c r="L647" s="26" t="str">
        <x:v>1. 负责新产品的模具设计工作，包括但不限于3D建模、2D图纸绘制以及相关计算分析，确保设计方案满足产品性能指标和生产需求。 2. 与客户及内部团队进行技术沟通，准确理解客户需求，提供专业的模具方案建议，协助解决产品开发…</x:v>
      </x:c>
    </x:row>
    <x:row r="648" ht="72" customHeight="1">
      <x:c r="A648" s="25" t="n">
        <x:v>11540</x:v>
      </x:c>
      <x:c r="B648" s="25" t="str">
        <x:v>IC-L3-797</x:v>
      </x:c>
      <x:c r="C648" s="25" t="str">
        <x:v>模具设计</x:v>
      </x:c>
      <x:c r="D648" s="25" t="str">
        <x:v>2-02-07-01</x:v>
      </x:c>
      <x:c r="E648" s="25" t="str">
        <x:v>机械设计工程技术人员</x:v>
      </x:c>
      <x:c r="F648" s="28" t="n">
        <x:f>COUNTIF('岗位-产业节点关系'!$C$4:$C$709,B648)</x:f>
        <x:v>1</x:v>
      </x:c>
      <x:c r="G648" s="26" t="str">
        <x:f>IF(F648=0,"未匹配（现有产业链范围未覆盖或证据不足）",IF(COUNTIFS('岗位-产业节点关系'!$C$4:$C$709,B648,'岗位-产业节点关系'!$M$4:$M$709,"低")&gt;0,"已匹配，建议复核","已匹配"))</x:f>
        <x:v>已匹配</x:v>
      </x:c>
      <x:c r="H648" s="26" t="str">
        <x:v>中</x:v>
      </x:c>
      <x:c r="I648" s="26" t="str">
        <x:v>ICN004</x:v>
      </x:c>
      <x:c r="J648" s="26" t="str">
        <x:v>高端装备与智能制造产业链/上游/关键基础件与工业母机</x:v>
      </x:c>
      <x:c r="K648" s="26" t="str">
        <x:v>模具设计师是生产制造行业中不可或缺的专业人才，尤其在工程与机械领域中扮演着至关重要的角色。他们负责开发和优化用于制造产品的模具，确保产品能够高效、高质量地生产出来。通过精确的设计方案，模具设计师不仅能够提高生产效率，降低…</x:v>
      </x:c>
      <x:c r="L648" s="26" t="str">
        <x:v>1. 根据产品图纸和技术规范，运用CAD/CAM软件进行模具结构设计，确保设计合理、加工方便并满足使用需求。 2. 与项目团队沟通交流，参与产品开发流程，提供专业意见以优化设计方案，缩短生产周期。 3. 对现有模具进行维…</x:v>
      </x:c>
    </x:row>
    <x:row r="649" ht="72" customHeight="1">
      <x:c r="A649" s="25" t="n">
        <x:v>11541</x:v>
      </x:c>
      <x:c r="B649" s="25" t="str">
        <x:v>IC-L3-798</x:v>
      </x:c>
      <x:c r="C649" s="25" t="str">
        <x:v>注塑工程师</x:v>
      </x:c>
      <x:c r="D649" s="25" t="str">
        <x:v>2-02-07-01</x:v>
      </x:c>
      <x:c r="E649" s="25" t="str">
        <x:v>机械设计工程技术人员</x:v>
      </x:c>
      <x:c r="F649" s="28" t="n">
        <x:f>COUNTIF('岗位-产业节点关系'!$C$4:$C$709,B649)</x:f>
        <x:v>1</x:v>
      </x:c>
      <x:c r="G649" s="26" t="str">
        <x:f>IF(F649=0,"未匹配（现有产业链范围未覆盖或证据不足）",IF(COUNTIFS('岗位-产业节点关系'!$C$4:$C$709,B649,'岗位-产业节点关系'!$M$4:$M$709,"低")&gt;0,"已匹配，建议复核","已匹配"))</x:f>
        <x:v>已匹配</x:v>
      </x:c>
      <x:c r="H649" s="26" t="str">
        <x:v>中</x:v>
      </x:c>
      <x:c r="I649" s="26" t="str">
        <x:v>ICN005</x:v>
      </x:c>
      <x:c r="J649" s="26" t="str">
        <x:v>高端装备与智能制造产业链/中游/高端装备制造与激光加工</x:v>
      </x:c>
      <x:c r="K649" s="26" t="str">
        <x:v>### 岗位简介 注塑工程师在生产制造行业中扮演着至关重要的角色，尤其是在涉及塑料制品生产的领域。他们不仅负责确保生产设备的高效运行，还通过优化工艺流程来提高产品质量和生产效率，是连接设计与制造的关键桥梁。 该职位的核心…</x:v>
      </x:c>
      <x:c r="L649" s="26" t="str">
        <x:v>注塑工程师的主要职责包括：负责注塑工艺的设计与优化，确保产品质量和生产效率；制定注塑模具的设计方案，并与模具供应商沟通协调；监控生产过程，解决生产中出现的技术问题；进行注塑材料的选择与测试，优化注塑配方；参与新产品开发，…</x:v>
      </x:c>
    </x:row>
    <x:row r="650" ht="72" customHeight="1">
      <x:c r="A650" s="25" t="n">
        <x:v>11542</x:v>
      </x:c>
      <x:c r="B650" s="25" t="str">
        <x:v>IC-L3-799</x:v>
      </x:c>
      <x:c r="C650" s="25" t="str">
        <x:v>热能工程师</x:v>
      </x:c>
      <x:c r="D650" s="25" t="str">
        <x:v>2-02-07-01</x:v>
      </x:c>
      <x:c r="E650" s="25" t="str">
        <x:v>机械设计工程技术人员</x:v>
      </x:c>
      <x:c r="F650" s="28" t="n">
        <x:f>COUNTIF('岗位-产业节点关系'!$C$4:$C$709,B650)</x:f>
        <x:v>0</x:v>
      </x:c>
      <x:c r="G650" s="26" t="str">
        <x:f>IF(F650=0,"未匹配（现有产业链范围未覆盖或证据不足）",IF(COUNTIFS('岗位-产业节点关系'!$C$4:$C$709,B650,'岗位-产业节点关系'!$M$4:$M$709,"低")&gt;0,"已匹配，建议复核","已匹配"))</x:f>
        <x:v>未匹配（现有产业链范围未覆盖或证据不足）</x:v>
      </x:c>
      <x:c r="H650" s="26" t="str">
        <x:v>-</x:v>
      </x:c>
      <x:c r="I650" s="26" t="str"/>
      <x:c r="J650" s="26" t="str"/>
      <x:c r="K650" s="26" t="str">
        <x:v>热能工程师是生产制造行业中不可或缺的专业人才，他们负责确保能源的有效利用与管理，通过技术创新和优化流程来提高能源效率，降低生产成本，从而为企业创造更大的经济价值和社会效益。作为热能领域的专家，热能工程师的主要任务是设计、…</x:v>
      </x:c>
      <x:c r="L650" s="26" t="str">
        <x:v>1. 负责热能系统的设计与优化工作，确保其符合安全标准和环保要求，达到最佳能效比。 2. 对现有热能设施进行全面检查与维护，及时发现故障并采取有效措施予以修复，保障生产活动正常进行。 3. 开展热能转换效率研究，探索节能…</x:v>
      </x:c>
    </x:row>
    <x:row r="651" ht="72" customHeight="1">
      <x:c r="A651" s="25" t="n">
        <x:v>11543</x:v>
      </x:c>
      <x:c r="B651" s="25" t="str">
        <x:v>IC-L3-800</x:v>
      </x:c>
      <x:c r="C651" s="25" t="str">
        <x:v>焊接工程师</x:v>
      </x:c>
      <x:c r="D651" s="25" t="str">
        <x:v>2-02-07-01</x:v>
      </x:c>
      <x:c r="E651" s="25" t="str">
        <x:v>机械设计工程技术人员</x:v>
      </x:c>
      <x:c r="F651" s="28" t="n">
        <x:f>COUNTIF('岗位-产业节点关系'!$C$4:$C$709,B651)</x:f>
        <x:v>1</x:v>
      </x:c>
      <x:c r="G651" s="26" t="str">
        <x:f>IF(F651=0,"未匹配（现有产业链范围未覆盖或证据不足）",IF(COUNTIFS('岗位-产业节点关系'!$C$4:$C$709,B651,'岗位-产业节点关系'!$M$4:$M$709,"低")&gt;0,"已匹配，建议复核","已匹配"))</x:f>
        <x:v>已匹配</x:v>
      </x:c>
      <x:c r="H651" s="26" t="str">
        <x:v>中</x:v>
      </x:c>
      <x:c r="I651" s="26" t="str">
        <x:v>ICN005</x:v>
      </x:c>
      <x:c r="J651" s="26" t="str">
        <x:v>高端装备与智能制造产业链/中游/高端装备制造与激光加工</x:v>
      </x:c>
      <x:c r="K651" s="26" t="str">
        <x:v>焊接工程师在生产制造行业中扮演着至关重要的角色，特别是在工程与机械领域。作为连接设计与生产的桥梁，焊接工程师不仅负责确保产品的焊接质量，还致力于提高生产效率和降低成本，是实现高质量制造的关键人物。 焊接工程师的核心目标在…</x:v>
      </x:c>
      <x:c r="L651" s="26" t="str">
        <x:v>1. 负责制定并实施焊接工艺标准，确保所有焊接作业符合国家相关法规和企业内部的质量要求。 2. 对现有焊接工艺进行持续改进，研究并引入先进的焊接技术和设备，以提高生产效率和产品质量。 3. 协助处理生产线上出现的焊接问题…</x:v>
      </x:c>
    </x:row>
    <x:row r="652" ht="72" customHeight="1">
      <x:c r="A652" s="25" t="n">
        <x:v>11544</x:v>
      </x:c>
      <x:c r="B652" s="25" t="str">
        <x:v>IC-L3-801</x:v>
      </x:c>
      <x:c r="C652" s="25" t="str">
        <x:v>船舶工程师</x:v>
      </x:c>
      <x:c r="D652" s="25" t="str">
        <x:v>2-02-07-01</x:v>
      </x:c>
      <x:c r="E652" s="25" t="str">
        <x:v>机械设计工程技术人员</x:v>
      </x:c>
      <x:c r="F652" s="28" t="n">
        <x:f>COUNTIF('岗位-产业节点关系'!$C$4:$C$709,B652)</x:f>
        <x:v>0</x:v>
      </x:c>
      <x:c r="G652" s="26" t="str">
        <x:f>IF(F652=0,"未匹配（现有产业链范围未覆盖或证据不足）",IF(COUNTIFS('岗位-产业节点关系'!$C$4:$C$709,B652,'岗位-产业节点关系'!$M$4:$M$709,"低")&gt;0,"已匹配，建议复核","已匹配"))</x:f>
        <x:v>未匹配（现有产业链范围未覆盖或证据不足）</x:v>
      </x:c>
      <x:c r="H652" s="26" t="str">
        <x:v>-</x:v>
      </x:c>
      <x:c r="I652" s="26" t="str"/>
      <x:c r="J652" s="26" t="str"/>
      <x:c r="K652" s="26" t="str">
        <x:v>船舶工程师是生产制造行业中不可或缺的专业技术人才，在海洋工程与船舶建造领域中扮演着至关重要的角色。他们不仅负责设计和开发各类水上交通工具，还承担着确保这些产品安全可靠运行的任务。作为连接理论知识与实际操作之间的桥梁，船舶…</x:v>
      </x:c>
      <x:c r="L652" s="26" t="str">
        <x:v>1. 负责船舶总体设计，包括船体结构、动力系统、电气设备等各方面的规划与实施，确保满足客户定制需求。 2. 对现有产品进行定期评估分析，寻找改进空间，制定并执行相应的升级方案，持续提升产品竞争力。 3. 与供应商建立良好…</x:v>
      </x:c>
    </x:row>
    <x:row r="653" ht="72" customHeight="1">
      <x:c r="A653" s="25" t="n">
        <x:v>11545</x:v>
      </x:c>
      <x:c r="B653" s="25" t="str">
        <x:v>IC-L3-802</x:v>
      </x:c>
      <x:c r="C653" s="25" t="str">
        <x:v>轨道交通工程师</x:v>
      </x:c>
      <x:c r="D653" s="25" t="str">
        <x:v>2-02-07-01</x:v>
      </x:c>
      <x:c r="E653" s="25" t="str">
        <x:v>机械设计工程技术人员</x:v>
      </x:c>
      <x:c r="F653" s="28" t="n">
        <x:f>COUNTIF('岗位-产业节点关系'!$C$4:$C$709,B653)</x:f>
        <x:v>1</x:v>
      </x:c>
      <x:c r="G653" s="26" t="str">
        <x:f>IF(F653=0,"未匹配（现有产业链范围未覆盖或证据不足）",IF(COUNTIFS('岗位-产业节点关系'!$C$4:$C$709,B653,'岗位-产业节点关系'!$M$4:$M$709,"低")&gt;0,"已匹配，建议复核","已匹配"))</x:f>
        <x:v>已匹配</x:v>
      </x:c>
      <x:c r="H653" s="26" t="str">
        <x:v>中</x:v>
      </x:c>
      <x:c r="I653" s="26" t="str">
        <x:v>ICN008</x:v>
      </x:c>
      <x:c r="J653" s="26" t="str">
        <x:v>基础设施与城市建设产业链/中游/基础设施建设与房地产开发</x:v>
      </x:c>
      <x:c r="K653" s="26" t="str">
        <x:v>轨道交通工程师是生产制造行业中不可或缺的专业人才，主要负责铁路、地铁等公共交通系统的规划、设计与维护工作。作为工程/机械方向的核心角色，轨道交通工程师不仅需要具备扎实的理论基础，还需拥有丰富的实践经验，以确保公共交通的安…</x:v>
      </x:c>
      <x:c r="L653" s="26" t="str">
        <x:v>1. 负责轨道交通系统的设计开发，包括线路布局、车辆选型、信号控制系统等关键环节，确保设计方案符合国家相关标准和技术规范。 2. 参与轨道交通项目的前期调研与评估工作，收集整理客户需求，制定合理的项目计划，并监督执行过程…</x:v>
      </x:c>
    </x:row>
    <x:row r="654" ht="72" customHeight="1">
      <x:c r="A654" s="25" t="n">
        <x:v>11546</x:v>
      </x:c>
      <x:c r="B654" s="25" t="str">
        <x:v>IC-L3-803</x:v>
      </x:c>
      <x:c r="C654" s="25" t="str">
        <x:v>铸造/锻造工程师/技师</x:v>
      </x:c>
      <x:c r="D654" s="25" t="str">
        <x:v>2-05-07-01</x:v>
      </x:c>
      <x:c r="E654" s="25" t="str">
        <x:v>影像技师</x:v>
      </x:c>
      <x:c r="F654" s="28" t="n">
        <x:f>COUNTIF('岗位-产业节点关系'!$C$4:$C$709,B654)</x:f>
        <x:v>0</x:v>
      </x:c>
      <x:c r="G654" s="26" t="str">
        <x:f>IF(F654=0,"未匹配（现有产业链范围未覆盖或证据不足）",IF(COUNTIFS('岗位-产业节点关系'!$C$4:$C$709,B654,'岗位-产业节点关系'!$M$4:$M$709,"低")&gt;0,"已匹配，建议复核","已匹配"))</x:f>
        <x:v>未匹配（现有产业链范围未覆盖或证据不足）</x:v>
      </x:c>
      <x:c r="H654" s="26" t="str">
        <x:v>-</x:v>
      </x:c>
      <x:c r="I654" s="26" t="str"/>
      <x:c r="J654" s="26" t="str"/>
      <x:c r="K654" s="26" t="str">
        <x:v>**岗位简介** 铸造/锻造工程师/技师是生产制造行业中不可或缺的专业人才，他们负责确保金属材料通过铸造或锻造工艺形成符合设计要求的产品。该职位不仅关乎产品的质量和性能，也是连接研发与生产的桥梁，对于实现技术创新和成本控…</x:v>
      </x:c>
      <x:c r="L654" s="26" t="str">
        <x:v>铸造/锻造工程师/技师的主要职责包括：负责铸造/锻造工艺的设计与优化，确保产品质量和生产效率；进行原材料和工艺参数的测试与分析，以改进工艺流程；监控生产过程，解决生产中的技术问题，确保生产安全；编制工艺文件和操作规程，指…</x:v>
      </x:c>
    </x:row>
    <x:row r="655" ht="72" customHeight="1">
      <x:c r="A655" s="25" t="n">
        <x:v>11547</x:v>
      </x:c>
      <x:c r="B655" s="25" t="str">
        <x:v>IC-L3-804</x:v>
      </x:c>
      <x:c r="C655" s="25" t="str">
        <x:v>飞机维修机械师</x:v>
      </x:c>
      <x:c r="D655" s="25" t="str">
        <x:v>2-02-07-01</x:v>
      </x:c>
      <x:c r="E655" s="25" t="str">
        <x:v>机械设计工程技术人员</x:v>
      </x:c>
      <x:c r="F655" s="28" t="n">
        <x:f>COUNTIF('岗位-产业节点关系'!$C$4:$C$709,B655)</x:f>
        <x:v>1</x:v>
      </x:c>
      <x:c r="G655" s="26" t="str">
        <x:f>IF(F655=0,"未匹配（现有产业链范围未覆盖或证据不足）",IF(COUNTIFS('岗位-产业节点关系'!$C$4:$C$709,B655,'岗位-产业节点关系'!$M$4:$M$709,"低")&gt;0,"已匹配，建议复核","已匹配"))</x:f>
        <x:v>已匹配</x:v>
      </x:c>
      <x:c r="H655" s="26" t="str">
        <x:v>中</x:v>
      </x:c>
      <x:c r="I655" s="26" t="str">
        <x:v>ICN005</x:v>
      </x:c>
      <x:c r="J655" s="26" t="str">
        <x:v>高端装备与智能制造产业链/中游/高端装备制造与激光加工</x:v>
      </x:c>
      <x:c r="K655" s="26" t="str">
        <x:v>飞机维修机械师是生产制造行业中不可或缺的专业人才，特别是在航空领域，他们负责确保飞行器的安全运行与高效维护，扮演着至关重要的角色。通过精确地执行日常检查、故障诊断以及必要的修理工作，本职人员不仅能够保障航空公司运营的连续…</x:v>
      </x:c>
      <x:c r="L655" s="26" t="str">
        <x:v>1. 执行定期检查程序，包括但不限于外观检查、系统测试等，以发现潜在故障并及时采取措施修复，确保所有飞机均符合安全标准。 2. 根据制造商提供的手册和技术规范，进行部件更换、调整或改装操作，保证维修活动符合法规要求。 3…</x:v>
      </x:c>
    </x:row>
    <x:row r="656" ht="72" customHeight="1">
      <x:c r="A656" s="25" t="n">
        <x:v>11548</x:v>
      </x:c>
      <x:c r="B656" s="25" t="str">
        <x:v>IC-L3-805</x:v>
      </x:c>
      <x:c r="C656" s="25" t="str">
        <x:v>飞行器设计与制造</x:v>
      </x:c>
      <x:c r="D656" s="25" t="str">
        <x:v>2-02-07-01</x:v>
      </x:c>
      <x:c r="E656" s="25" t="str">
        <x:v>机械设计工程技术人员</x:v>
      </x:c>
      <x:c r="F656" s="28" t="n">
        <x:f>COUNTIF('岗位-产业节点关系'!$C$4:$C$709,B656)</x:f>
        <x:v>1</x:v>
      </x:c>
      <x:c r="G656" s="26" t="str">
        <x:f>IF(F656=0,"未匹配（现有产业链范围未覆盖或证据不足）",IF(COUNTIFS('岗位-产业节点关系'!$C$4:$C$709,B656,'岗位-产业节点关系'!$M$4:$M$709,"低")&gt;0,"已匹配，建议复核","已匹配"))</x:f>
        <x:v>已匹配</x:v>
      </x:c>
      <x:c r="H656" s="26" t="str">
        <x:v>高</x:v>
      </x:c>
      <x:c r="I656" s="26" t="str">
        <x:v>ICN037</x:v>
      </x:c>
      <x:c r="J656" s="26" t="str">
        <x:v>空天装备与低空经济产业链/上游/航空航天材料、零部件与核心系统</x:v>
      </x:c>
      <x:c r="K656" s="26" t="str">
        <x:v>飞行器设计与制造是生产制造业中极具挑战性和创新性的领域，它不仅代表了工程技术的最高成就，也是推动航空业进步的关键力量。本职位负责将先进的设计理念转化为实际可行的产品方案，确保从概念到成品的每一个环节都符合最高的质量标准和…</x:v>
      </x:c>
      <x:c r="L656" s="26" t="str">
        <x:v>1. 负责飞行器的整体结构设计及优化工作，确保设计方案满足性能指标和安全规范的要求。 2. 参与飞行器制造工艺流程的设计与改进，提高生产效率和产品质量，降低制造成本。 3. 对飞行器进行系统集成测试，分析测试数据，及时发…</x:v>
      </x:c>
    </x:row>
    <x:row r="657" ht="72" customHeight="1">
      <x:c r="A657" s="25" t="n">
        <x:v>11549</x:v>
      </x:c>
      <x:c r="B657" s="25" t="str">
        <x:v>IC-L3-806</x:v>
      </x:c>
      <x:c r="C657" s="25" t="str">
        <x:v>系统工程师</x:v>
      </x:c>
      <x:c r="D657" s="25" t="str">
        <x:v>2-02-07-01</x:v>
      </x:c>
      <x:c r="E657" s="25" t="str">
        <x:v>机械设计工程技术人员</x:v>
      </x:c>
      <x:c r="F657" s="28" t="n">
        <x:f>COUNTIF('岗位-产业节点关系'!$C$4:$C$709,B657)</x:f>
        <x:v>0</x:v>
      </x:c>
      <x:c r="G657" s="26" t="str">
        <x:f>IF(F657=0,"未匹配（现有产业链范围未覆盖或证据不足）",IF(COUNTIFS('岗位-产业节点关系'!$C$4:$C$709,B657,'岗位-产业节点关系'!$M$4:$M$709,"低")&gt;0,"已匹配，建议复核","已匹配"))</x:f>
        <x:v>未匹配（现有产业链范围未覆盖或证据不足）</x:v>
      </x:c>
      <x:c r="H657" s="26" t="str">
        <x:v>-</x:v>
      </x:c>
      <x:c r="I657" s="26" t="str"/>
      <x:c r="J657" s="26" t="str"/>
      <x:c r="K657" s="26" t="str">
        <x:v>系统工程师是专门从事机械系统设计与优化的专业人员。该职位的核心目标是通过分析系统需求和技术方案，确保机械系统的高效可靠运行。在日常工作中，需要进行系统架构设计、性能测试评估、故障诊断及技术文档编写等工作。</x:v>
      </x:c>
      <x:c r="L657" s="26" t="str">
        <x:v>1. 设计机械系统方案 2. 优化生产工艺流程 3. 维护设备运行稳定 4. 分析系统故障问题 5. 编制技术文档资料 6. 协调跨部门项目</x:v>
      </x:c>
    </x:row>
    <x:row r="658" ht="72" customHeight="1">
      <x:c r="A658" s="25" t="n">
        <x:v>11550</x:v>
      </x:c>
      <x:c r="B658" s="25" t="str">
        <x:v>IC-L3-807</x:v>
      </x:c>
      <x:c r="C658" s="25" t="str">
        <x:v>技术总监</x:v>
      </x:c>
      <x:c r="D658" s="25" t="str">
        <x:v>2-02-07-01</x:v>
      </x:c>
      <x:c r="E658" s="25" t="str">
        <x:v>机械设计工程技术人员</x:v>
      </x:c>
      <x:c r="F658" s="28" t="n">
        <x:f>COUNTIF('岗位-产业节点关系'!$C$4:$C$709,B658)</x:f>
        <x:v>0</x:v>
      </x:c>
      <x:c r="G658" s="26" t="str">
        <x:f>IF(F658=0,"未匹配（现有产业链范围未覆盖或证据不足）",IF(COUNTIFS('岗位-产业节点关系'!$C$4:$C$709,B658,'岗位-产业节点关系'!$M$4:$M$709,"低")&gt;0,"已匹配，建议复核","已匹配"))</x:f>
        <x:v>未匹配（现有产业链范围未覆盖或证据不足）</x:v>
      </x:c>
      <x:c r="H658" s="26" t="str">
        <x:v>-</x:v>
      </x:c>
      <x:c r="I658" s="26" t="str"/>
      <x:c r="J658" s="26" t="str"/>
      <x:c r="K658" s="26" t="str">
        <x:v>技术总监是负责工程技术战略规划与实施的高级专业人员。该职位的核心目标是通过技术创新和团队管理，提升企业工程机械领域的核心竞争力。在日常工作中，需要进行技术方案评审、研发团队管理、跨部门协作及行业技术趋势分析等工作。</x:v>
      </x:c>
      <x:c r="L658" s="26" t="str">
        <x:v>1. 制定技术发展战略 2. 领导技术团队建设 3. 监督工程项目实施 4. 优化机械设计方案 5. 推动技术创新应用 6. 把控产品质量标准</x:v>
      </x:c>
    </x:row>
    <x:row r="659" ht="72" customHeight="1">
      <x:c r="A659" s="25" t="n">
        <x:v>11551</x:v>
      </x:c>
      <x:c r="B659" s="25" t="str">
        <x:v>IC-L3-808</x:v>
      </x:c>
      <x:c r="C659" s="25" t="str">
        <x:v>核力工程师</x:v>
      </x:c>
      <x:c r="D659" s="25" t="str">
        <x:v>2-02-07-01</x:v>
      </x:c>
      <x:c r="E659" s="25" t="str">
        <x:v>机械设计工程技术人员</x:v>
      </x:c>
      <x:c r="F659" s="28" t="n">
        <x:f>COUNTIF('岗位-产业节点关系'!$C$4:$C$709,B659)</x:f>
        <x:v>0</x:v>
      </x:c>
      <x:c r="G659" s="26" t="str">
        <x:f>IF(F659=0,"未匹配（现有产业链范围未覆盖或证据不足）",IF(COUNTIFS('岗位-产业节点关系'!$C$4:$C$709,B659,'岗位-产业节点关系'!$M$4:$M$709,"低")&gt;0,"已匹配，建议复核","已匹配"))</x:f>
        <x:v>未匹配（现有产业链范围未覆盖或证据不足）</x:v>
      </x:c>
      <x:c r="H659" s="26" t="str">
        <x:v>-</x:v>
      </x:c>
      <x:c r="I659" s="26" t="str"/>
      <x:c r="J659" s="26" t="str"/>
      <x:c r="K659" s="26" t="str">
        <x:v>核力工程师是专门从事核能系统设计与应用的专业人员。该职位的核心目标是通过优化核能技术方案，确保核设施安全高效运行。在日常工作中，需要进行反应堆设计分析、辐射防护计算、设备性能测试及技术文档编制等工作。</x:v>
      </x:c>
      <x:c r="L659" s="26" t="str">
        <x:v>1. 设计核能系统方案 2. 分析机械结构强度 3. 优化热能转换效率 4. 评估设备安全性能 5. 编制技术规范文档 6. 解决工程故障问题</x:v>
      </x:c>
    </x:row>
    <x:row r="660" ht="72" customHeight="1">
      <x:c r="A660" s="25" t="n">
        <x:v>11552</x:v>
      </x:c>
      <x:c r="B660" s="25" t="str">
        <x:v>IC-L3-809</x:v>
      </x:c>
      <x:c r="C660" s="25" t="str">
        <x:v>电气工程师</x:v>
      </x:c>
      <x:c r="D660" s="25" t="str">
        <x:v>2-02-07-01</x:v>
      </x:c>
      <x:c r="E660" s="25" t="str">
        <x:v>机械设计工程技术人员</x:v>
      </x:c>
      <x:c r="F660" s="28" t="n">
        <x:f>COUNTIF('岗位-产业节点关系'!$C$4:$C$709,B660)</x:f>
        <x:v>1</x:v>
      </x:c>
      <x:c r="G660" s="26" t="str">
        <x:f>IF(F660=0,"未匹配（现有产业链范围未覆盖或证据不足）",IF(COUNTIFS('岗位-产业节点关系'!$C$4:$C$709,B660,'岗位-产业节点关系'!$M$4:$M$709,"低")&gt;0,"已匹配，建议复核","已匹配"))</x:f>
        <x:v>已匹配</x:v>
      </x:c>
      <x:c r="H660" s="26" t="str">
        <x:v>中</x:v>
      </x:c>
      <x:c r="I660" s="26" t="str">
        <x:v>ICN014</x:v>
      </x:c>
      <x:c r="J660" s="26" t="str">
        <x:v>新能源与电力装备产业链/中游/发电、储能与输配电装备</x:v>
      </x:c>
      <x:c r="K660" s="26" t="str">
        <x:v>电气工程师是专门从事电气系统设计与维护的专业人员。该职位的核心目标是通过设计、开发和优化电气系统，确保设备安全高效运行。在日常工作中，需要进行电路设计、系统调试、故障排查以及技术文档编制等工作。</x:v>
      </x:c>
      <x:c r="L660" s="26" t="str">
        <x:v>1. 设计电气系统方案 2. 绘制电气工程图纸 3. 选配电气设备元件 4. 调试电气控制系统 5. 解决现场技术问题 6. 编写技术文档报告</x:v>
      </x:c>
    </x:row>
    <x:row r="661" ht="72" customHeight="1">
      <x:c r="A661" s="25" t="n">
        <x:v>11553</x:v>
      </x:c>
      <x:c r="B661" s="25" t="str">
        <x:v>IC-L3-810</x:v>
      </x:c>
      <x:c r="C661" s="25" t="str">
        <x:v>电子工程师</x:v>
      </x:c>
      <x:c r="D661" s="25" t="str">
        <x:v>2-02-09-02</x:v>
      </x:c>
      <x:c r="E661" s="25" t="str">
        <x:v>电子元器件工程技术人员</x:v>
      </x:c>
      <x:c r="F661" s="28" t="n">
        <x:f>COUNTIF('岗位-产业节点关系'!$C$4:$C$709,B661)</x:f>
        <x:v>1</x:v>
      </x:c>
      <x:c r="G661" s="26" t="str">
        <x:f>IF(F661=0,"未匹配（现有产业链范围未覆盖或证据不足）",IF(COUNTIFS('岗位-产业节点关系'!$C$4:$C$709,B661,'岗位-产业节点关系'!$M$4:$M$709,"低")&gt;0,"已匹配，建议复核","已匹配"))</x:f>
        <x:v>已匹配，建议复核</x:v>
      </x:c>
      <x:c r="H661" s="26" t="str">
        <x:v>低</x:v>
      </x:c>
      <x:c r="I661" s="26" t="str">
        <x:v>ICN016</x:v>
      </x:c>
      <x:c r="J661" s="26" t="str">
        <x:v>智能物联与消费电子产业链/上游/传感器、芯片模组与基础器件</x:v>
      </x:c>
      <x:c r="K661" s="26" t="str">
        <x:v>电子工程师是专门从事电子系统设计与开发的专业人员。该职位的核心目标是通过研发高性能电子产品和系统，支持机械工程项目的创新与优化。在日常工作中，需要进行电路设计、PCB布局、系统调试及技术文档编写等工作。</x:v>
      </x:c>
      <x:c r="L661" s="26" t="str">
        <x:v>1. 设计电子电路系统 2. 开发嵌入式控制软件 3. 测试硬件产品性能 4. 优化机械电子接口 5. 维护设备技术文档 6. 解决生产现场问题</x:v>
      </x:c>
    </x:row>
    <x:row r="662" ht="72" customHeight="1">
      <x:c r="A662" s="25" t="n">
        <x:v>11554</x:v>
      </x:c>
      <x:c r="B662" s="25" t="str">
        <x:v>IC-L3-811</x:v>
      </x:c>
      <x:c r="C662" s="25" t="str">
        <x:v>测试工程师</x:v>
      </x:c>
      <x:c r="D662" s="25" t="str">
        <x:v>2-02-07-01</x:v>
      </x:c>
      <x:c r="E662" s="25" t="str">
        <x:v>机械设计工程技术人员</x:v>
      </x:c>
      <x:c r="F662" s="28" t="n">
        <x:f>COUNTIF('岗位-产业节点关系'!$C$4:$C$709,B662)</x:f>
        <x:v>0</x:v>
      </x:c>
      <x:c r="G662" s="26" t="str">
        <x:f>IF(F662=0,"未匹配（现有产业链范围未覆盖或证据不足）",IF(COUNTIFS('岗位-产业节点关系'!$C$4:$C$709,B662,'岗位-产业节点关系'!$M$4:$M$709,"低")&gt;0,"已匹配，建议复核","已匹配"))</x:f>
        <x:v>未匹配（现有产业链范围未覆盖或证据不足）</x:v>
      </x:c>
      <x:c r="H662" s="26" t="str">
        <x:v>-</x:v>
      </x:c>
      <x:c r="I662" s="26" t="str"/>
      <x:c r="J662" s="26" t="str"/>
      <x:c r="K662" s="26" t="str">
        <x:v>测试工程师是专门从事工程机械产品测试验证的专业人员。该职位的核心目标是通过系统性测试确保产品质量，降低产品故障风险。在日常工作中，需要进行测试方案设计、测试设备操作、测试数据分析及报告编制等工作。</x:v>
      </x:c>
      <x:c r="L662" s="26" t="str">
        <x:v>1. 设计测试方案 2. 执行机械测试 3. 记录测试数据 4. 分析测试结果 5. 编写测试报告 6. 维护测试设备</x:v>
      </x:c>
    </x:row>
    <x:row r="663" ht="72" customHeight="1">
      <x:c r="A663" s="25" t="n">
        <x:v>11555</x:v>
      </x:c>
      <x:c r="B663" s="25" t="str">
        <x:v>IC-L3-812</x:v>
      </x:c>
      <x:c r="C663" s="25" t="str">
        <x:v>发动机工程师</x:v>
      </x:c>
      <x:c r="D663" s="25" t="str">
        <x:v>2-02-07-01</x:v>
      </x:c>
      <x:c r="E663" s="25" t="str">
        <x:v>机械设计工程技术人员</x:v>
      </x:c>
      <x:c r="F663" s="28" t="n">
        <x:f>COUNTIF('岗位-产业节点关系'!$C$4:$C$709,B663)</x:f>
        <x:v>0</x:v>
      </x:c>
      <x:c r="G663" s="26" t="str">
        <x:f>IF(F663=0,"未匹配（现有产业链范围未覆盖或证据不足）",IF(COUNTIFS('岗位-产业节点关系'!$C$4:$C$709,B663,'岗位-产业节点关系'!$M$4:$M$709,"低")&gt;0,"已匹配，建议复核","已匹配"))</x:f>
        <x:v>未匹配（现有产业链范围未覆盖或证据不足）</x:v>
      </x:c>
      <x:c r="H663" s="26" t="str">
        <x:v>-</x:v>
      </x:c>
      <x:c r="I663" s="26" t="str"/>
      <x:c r="J663" s="26" t="str"/>
      <x:c r="K663" s="26" t="str">
        <x:v>发动机工程师是专门从事发动机设计、开发和优化的专业人员。该职位的核心目标是通过技术创新和性能提升，实现发动机高效可靠运行。在日常工作中，需要进行发动机性能分析、结构设计优化、测试验证及故障诊断等工作。</x:v>
      </x:c>
      <x:c r="L663" s="26" t="str">
        <x:v>1. 设计发动机结构 2. 优化性能参数 3. 测试发动机性能 4. 分析故障原因 5. 改进生产工艺 6. 编写技术文档</x:v>
      </x:c>
    </x:row>
    <x:row r="664" ht="72" customHeight="1">
      <x:c r="A664" s="25" t="n">
        <x:v>11556</x:v>
      </x:c>
      <x:c r="B664" s="25" t="str">
        <x:v>IC-L3-813</x:v>
      </x:c>
      <x:c r="C664" s="25" t="str">
        <x:v>自动化运维工程师</x:v>
      </x:c>
      <x:c r="D664" s="25" t="str">
        <x:v>4-04-05-01</x:v>
      </x:c>
      <x:c r="E664" s="25" t="str">
        <x:v>计算机程序设计员</x:v>
      </x:c>
      <x:c r="F664" s="28" t="n">
        <x:f>COUNTIF('岗位-产业节点关系'!$C$4:$C$709,B664)</x:f>
        <x:v>0</x:v>
      </x:c>
      <x:c r="G664" s="26" t="str">
        <x:f>IF(F664=0,"未匹配（现有产业链范围未覆盖或证据不足）",IF(COUNTIFS('岗位-产业节点关系'!$C$4:$C$709,B664,'岗位-产业节点关系'!$M$4:$M$709,"低")&gt;0,"已匹配，建议复核","已匹配"))</x:f>
        <x:v>未匹配（现有产业链范围未覆盖或证据不足）</x:v>
      </x:c>
      <x:c r="H664" s="26" t="str">
        <x:v>-</x:v>
      </x:c>
      <x:c r="I664" s="26" t="str"/>
      <x:c r="J664" s="26" t="str"/>
      <x:c r="K664" s="26" t="str">
        <x:v>自动化运维工程师是专门从事机械自动化系统运维的专业人员。该职位的核心目标是通过自动化运维技术，保障生产设备的高效稳定运行。在日常工作中，需要进行自动化系统监控、故障诊断与排除、运维流程优化等工作。</x:v>
      </x:c>
      <x:c r="L664" s="26" t="str">
        <x:v>1. 设计自动化运维方案 2. 部署机械运维系统 3. 监控设备运行状态 4. 优化生产流程效率 5. 处理系统异常故障 6. 编写技术文档报告</x:v>
      </x:c>
    </x:row>
    <x:row r="665" ht="72" customHeight="1">
      <x:c r="A665" s="25" t="n">
        <x:v>11557</x:v>
      </x:c>
      <x:c r="B665" s="25" t="str">
        <x:v>IC-L3-814</x:v>
      </x:c>
      <x:c r="C665" s="25" t="str">
        <x:v>智能驾驶工程师</x:v>
      </x:c>
      <x:c r="D665" s="25" t="str">
        <x:v>2-02-38-01</x:v>
      </x:c>
      <x:c r="E665" s="25" t="str">
        <x:v>人工智能工程技术人员</x:v>
      </x:c>
      <x:c r="F665" s="28" t="n">
        <x:f>COUNTIF('岗位-产业节点关系'!$C$4:$C$709,B665)</x:f>
        <x:v>2</x:v>
      </x:c>
      <x:c r="G665" s="26" t="str">
        <x:f>IF(F665=0,"未匹配（现有产业链范围未覆盖或证据不足）",IF(COUNTIFS('岗位-产业节点关系'!$C$4:$C$709,B665,'岗位-产业节点关系'!$M$4:$M$709,"低")&gt;0,"已匹配，建议复核","已匹配"))</x:f>
        <x:v>已匹配</x:v>
      </x:c>
      <x:c r="H665" s="26" t="str">
        <x:v>中</x:v>
      </x:c>
      <x:c r="I665" s="26" t="str">
        <x:v>ICN045、ICN024</x:v>
      </x:c>
      <x:c r="J665" s="26" t="str">
        <x:v>人工智能产业链/下游/行业智能化应用与AI服务；汽车与智能网联汽车产业链/下游/出行服务、后市场与自动驾驶应用</x:v>
      </x:c>
      <x:c r="K665" s="26" t="str">
        <x:v>智能驾驶工程师是专门从事自动驾驶系统研发的专业人员。该职位的核心目标是通过算法开发与系统集成，实现车辆智能驾驶功能的安全可靠运行。在日常工作中，需要进行传感器融合、路径规划、控制算法开发及实车测试验证等工作。</x:v>
      </x:c>
      <x:c r="L665" s="26" t="str">
        <x:v>1. 研发自动驾驶算法 2. 优化传感器融合技术 3. 设计车辆控制系统 4. 测试智能驾驶功能 5. 分析路测数据报告 6. 改进系统安全性能</x:v>
      </x:c>
    </x:row>
    <x:row r="666" ht="72" customHeight="1">
      <x:c r="A666" s="25" t="n">
        <x:v>11558</x:v>
      </x:c>
      <x:c r="B666" s="25" t="str">
        <x:v>IC-L3-815</x:v>
      </x:c>
      <x:c r="C666" s="25" t="str">
        <x:v>机器人调试工程师</x:v>
      </x:c>
      <x:c r="D666" s="25" t="str">
        <x:v>2-02-07-01</x:v>
      </x:c>
      <x:c r="E666" s="25" t="str">
        <x:v>机械设计工程技术人员</x:v>
      </x:c>
      <x:c r="F666" s="28" t="n">
        <x:f>COUNTIF('岗位-产业节点关系'!$C$4:$C$709,B666)</x:f>
        <x:v>1</x:v>
      </x:c>
      <x:c r="G666" s="26" t="str">
        <x:f>IF(F666=0,"未匹配（现有产业链范围未覆盖或证据不足）",IF(COUNTIFS('岗位-产业节点关系'!$C$4:$C$709,B666,'岗位-产业节点关系'!$M$4:$M$709,"低")&gt;0,"已匹配，建议复核","已匹配"))</x:f>
        <x:v>已匹配</x:v>
      </x:c>
      <x:c r="H666" s="26" t="str">
        <x:v>中</x:v>
      </x:c>
      <x:c r="I666" s="26" t="str">
        <x:v>ICN041</x:v>
      </x:c>
      <x:c r="J666" s="26" t="str">
        <x:v>机器人产业链/中游/机器人本体制造与系统集成</x:v>
      </x:c>
      <x:c r="K666" s="26" t="str">
        <x:v>机器人调试工程师是专门从事工业机器人系统调试与优化的专业人员。该职位的核心目标是通过精准调试机器人运行参数，确保设备高效稳定运行。在日常工作中，需要进行机器人程序编写、现场调试、故障诊断及性能优化等工作。</x:v>
      </x:c>
      <x:c r="L666" s="26" t="str">
        <x:v>1. 调试机器人系统 2. 优化运行参数 3. 分析故障原因 4. 编写调试报告 5. 维护设备性能 6. 培训操作人员</x:v>
      </x:c>
    </x:row>
    <x:row r="667" ht="72" customHeight="1">
      <x:c r="A667" s="25" t="n">
        <x:v>11559</x:v>
      </x:c>
      <x:c r="B667" s="25" t="str">
        <x:v>IC-L3-816</x:v>
      </x:c>
      <x:c r="C667" s="25" t="str">
        <x:v>销售工程师</x:v>
      </x:c>
      <x:c r="D667" s="25" t="str">
        <x:v>4-04-05-01</x:v>
      </x:c>
      <x:c r="E667" s="25" t="str">
        <x:v>计算机程序设计员</x:v>
      </x:c>
      <x:c r="F667" s="28" t="n">
        <x:f>COUNTIF('岗位-产业节点关系'!$C$4:$C$709,B667)</x:f>
        <x:v>0</x:v>
      </x:c>
      <x:c r="G667" s="26" t="str">
        <x:f>IF(F667=0,"未匹配（现有产业链范围未覆盖或证据不足）",IF(COUNTIFS('岗位-产业节点关系'!$C$4:$C$709,B667,'岗位-产业节点关系'!$M$4:$M$709,"低")&gt;0,"已匹配，建议复核","已匹配"))</x:f>
        <x:v>未匹配（现有产业链范围未覆盖或证据不足）</x:v>
      </x:c>
      <x:c r="H667" s="26" t="str">
        <x:v>-</x:v>
      </x:c>
      <x:c r="I667" s="26" t="str"/>
      <x:c r="J667" s="26" t="str"/>
      <x:c r="K667" s="26" t="str">
        <x:v>销售工程师是专门从事工程机械产品销售和技术服务的专业人员。该职位的核心目标是通过专业的产品方案设计和客户需求分析，实现销售业绩增长和市场占有率提升。在日常工作中，需要进行客户拜访、技术方案演示、报价谈判、合同签订及售后支…</x:v>
      </x:c>
      <x:c r="L667" s="26" t="str">
        <x:v>1. 开发工程客户资源 2. 推广机械产品方案 3. 制定技术销售策略 4. 跟进项目投标流程 5. 维护客户技术关系 6. 完成销售业绩目标</x:v>
      </x:c>
    </x:row>
    <x:row r="668" ht="72" customHeight="1">
      <x:c r="A668" s="25" t="n">
        <x:v>11560</x:v>
      </x:c>
      <x:c r="B668" s="25" t="str">
        <x:v>IC-L3-817</x:v>
      </x:c>
      <x:c r="C668" s="25" t="str">
        <x:v>仪表工</x:v>
      </x:c>
      <x:c r="D668" s="25" t="str">
        <x:v>6-31-01-01</x:v>
      </x:c>
      <x:c r="E668" s="25" t="str">
        <x:v>设备点检员</x:v>
      </x:c>
      <x:c r="F668" s="28" t="n">
        <x:f>COUNTIF('岗位-产业节点关系'!$C$4:$C$709,B668)</x:f>
        <x:v>2</x:v>
      </x:c>
      <x:c r="G668" s="26" t="str">
        <x:f>IF(F668=0,"未匹配（现有产业链范围未覆盖或证据不足）",IF(COUNTIFS('岗位-产业节点关系'!$C$4:$C$709,B668,'岗位-产业节点关系'!$M$4:$M$709,"低")&gt;0,"已匹配，建议复核","已匹配"))</x:f>
        <x:v>已匹配</x:v>
      </x:c>
      <x:c r="H668" s="26" t="str">
        <x:v>中</x:v>
      </x:c>
      <x:c r="I668" s="26" t="str">
        <x:v>ICN005、ICN016</x:v>
      </x:c>
      <x:c r="J668" s="26" t="str">
        <x:v>高端装备与智能制造产业链/中游/高端装备制造与激光加工；智能物联与消费电子产业链/上游/传感器、芯片模组与基础器件</x:v>
      </x:c>
      <x:c r="K668" s="26" t="str">
        <x:v>仪表工是生产制造行业中不可或缺的技术力量，他们负责确保生产设备的正常运行，对生产流程的安全与效率起着关键作用。作为技术操作人员，仪表工不仅需要具备扎实的专业技能，还应拥有良好的问题解决能力，以快速应对生产线上的突发状况，…</x:v>
      </x:c>
      <x:c r="L668" s="26" t="str">
        <x:v>1. 负责日常巡检工作，检查仪表设备的运行状态，记录并报告异常情况，确保所有仪表处于良好工作状态。 2. 执行定期校准任务，对测量仪器进行精度调整，保证数据采集的准确性，满足生产工艺要求。 3. 在设备出现故障时，迅速诊…</x:v>
      </x:c>
    </x:row>
    <x:row r="669" ht="72" customHeight="1">
      <x:c r="A669" s="25" t="n">
        <x:v>11561</x:v>
      </x:c>
      <x:c r="B669" s="25" t="str">
        <x:v>IC-L3-818</x:v>
      </x:c>
      <x:c r="C669" s="25" t="str">
        <x:v>木工</x:v>
      </x:c>
      <x:c r="D669" s="25" t="str">
        <x:v>6-31-01-01</x:v>
      </x:c>
      <x:c r="E669" s="25" t="str">
        <x:v>设备点检员</x:v>
      </x:c>
      <x:c r="F669" s="28" t="n">
        <x:f>COUNTIF('岗位-产业节点关系'!$C$4:$C$709,B669)</x:f>
        <x:v>1</x:v>
      </x:c>
      <x:c r="G669" s="26" t="str">
        <x:f>IF(F669=0,"未匹配（现有产业链范围未覆盖或证据不足）",IF(COUNTIFS('岗位-产业节点关系'!$C$4:$C$709,B669,'岗位-产业节点关系'!$M$4:$M$709,"低")&gt;0,"已匹配，建议复核","已匹配"))</x:f>
        <x:v>已匹配，建议复核</x:v>
      </x:c>
      <x:c r="H669" s="26" t="str">
        <x:v>低</x:v>
      </x:c>
      <x:c r="I669" s="26" t="str">
        <x:v>ICN005</x:v>
      </x:c>
      <x:c r="J669" s="26" t="str">
        <x:v>高端装备与智能制造产业链/中游/高端装备制造与激光加工</x:v>
      </x:c>
      <x:c r="K669" s="26" t="str">
        <x:v>木工是生产制造行业中不可或缺的专业技能岗位，负责从原木到成品的加工过程，确保产品既美观又实用。这一角色不仅要求高超的手工技艺，还需要具备良好的机械操作能力，以适应现代制造业的发展需求。 木工的核心目标在于通过精准的切割、…</x:v>
      </x:c>
      <x:c r="L669" s="26" t="str">
        <x:v>1. 根据设计图纸或样品要求，使用各类工具和机械设备进行木材加工，确保尺寸准确无误。 2. 负责检查原材料质量，及时发现并处理不合格材料，避免浪费和影响生产进度。 3. 完成半成品组装、表面处理等工作，确保最终产品符合质…</x:v>
      </x:c>
    </x:row>
    <x:row r="670" ht="72" customHeight="1">
      <x:c r="A670" s="25" t="n">
        <x:v>11562</x:v>
      </x:c>
      <x:c r="B670" s="25" t="str">
        <x:v>IC-L3-819</x:v>
      </x:c>
      <x:c r="C670" s="25" t="str">
        <x:v>机修工</x:v>
      </x:c>
      <x:c r="D670" s="25" t="str">
        <x:v>6-31-01-01</x:v>
      </x:c>
      <x:c r="E670" s="25" t="str">
        <x:v>设备点检员</x:v>
      </x:c>
      <x:c r="F670" s="28" t="n">
        <x:f>COUNTIF('岗位-产业节点关系'!$C$4:$C$709,B670)</x:f>
        <x:v>1</x:v>
      </x:c>
      <x:c r="G670" s="26" t="str">
        <x:f>IF(F670=0,"未匹配（现有产业链范围未覆盖或证据不足）",IF(COUNTIFS('岗位-产业节点关系'!$C$4:$C$709,B670,'岗位-产业节点关系'!$M$4:$M$709,"低")&gt;0,"已匹配，建议复核","已匹配"))</x:f>
        <x:v>已匹配</x:v>
      </x:c>
      <x:c r="H670" s="26" t="str">
        <x:v>中</x:v>
      </x:c>
      <x:c r="I670" s="26" t="str">
        <x:v>ICN005</x:v>
      </x:c>
      <x:c r="J670" s="26" t="str">
        <x:v>高端装备与智能制造产业链/中游/高端装备制造与激光加工</x:v>
      </x:c>
      <x:c r="K670" s="26" t="str">
        <x:v>机修工是生产制造行业中不可或缺的技术人才，他们负责维护和修理生产设备，确保生产线的正常运行，对于提高生产效率和产品质量起着至关重要的作用。机修工的核心目标在于通过快速准确地解决设备故障，减少停机时间，保障生产流程的连续性…</x:v>
      </x:c>
      <x:c r="L670" s="26" t="str">
        <x:v>1. 定期巡检生产线上的各类机械设备，记录并分析其运行状态，及时发现潜在问题并采取预防措施，以降低突发故障的发生率。 2. 针对出现故障的机器进行诊断和维修，运用专业知识和工具排除故障，确保设备恢复正常运作，缩短故障处理…</x:v>
      </x:c>
    </x:row>
    <x:row r="671" ht="72" customHeight="1">
      <x:c r="A671" s="25" t="n">
        <x:v>11563</x:v>
      </x:c>
      <x:c r="B671" s="25" t="str">
        <x:v>IC-L3-820</x:v>
      </x:c>
      <x:c r="C671" s="25" t="str">
        <x:v>水工</x:v>
      </x:c>
      <x:c r="D671" s="25" t="str">
        <x:v>6-31-01-01</x:v>
      </x:c>
      <x:c r="E671" s="25" t="str">
        <x:v>设备点检员</x:v>
      </x:c>
      <x:c r="F671" s="28" t="n">
        <x:f>COUNTIF('岗位-产业节点关系'!$C$4:$C$709,B671)</x:f>
        <x:v>1</x:v>
      </x:c>
      <x:c r="G671" s="26" t="str">
        <x:f>IF(F671=0,"未匹配（现有产业链范围未覆盖或证据不足）",IF(COUNTIFS('岗位-产业节点关系'!$C$4:$C$709,B671,'岗位-产业节点关系'!$M$4:$M$709,"低")&gt;0,"已匹配，建议复核","已匹配"))</x:f>
        <x:v>已匹配，建议复核</x:v>
      </x:c>
      <x:c r="H671" s="26" t="str">
        <x:v>低</x:v>
      </x:c>
      <x:c r="I671" s="26" t="str">
        <x:v>ICN032</x:v>
      </x:c>
      <x:c r="J671" s="26" t="str">
        <x:v>绿色环保与资源循环产业链/中游/污染治理与节能降碳服务</x:v>
      </x:c>
      <x:c r="K671" s="26" t="str">
        <x:v>水工是生产制造行业中不可或缺的技术工种之一，负责确保生产过程中的水资源合理利用与处理，其工作直接关系到生产的效率和环保标准的达成。作为水工，核心目标在于通过优化水资源管理，降低生产成本，提高产品质量，同时确保所有操作符合…</x:v>
      </x:c>
      <x:c r="L671" s="26" t="str">
        <x:v>1. 负责厂区内的给排水系统日常运行监控，定期检查管道、阀门等设施的状态，预防并及时处理泄漏等故障问题。 2. 根据生产需求调整供水量和水质参数，确保生产线稳定运行，满足不同工艺环节对水的要求。 3. 参与制定和完善企业…</x:v>
      </x:c>
    </x:row>
    <x:row r="672" ht="72" customHeight="1">
      <x:c r="A672" s="25" t="n">
        <x:v>11564</x:v>
      </x:c>
      <x:c r="B672" s="25" t="str">
        <x:v>IC-L3-821</x:v>
      </x:c>
      <x:c r="C672" s="25" t="str">
        <x:v>电工</x:v>
      </x:c>
      <x:c r="D672" s="25" t="str">
        <x:v>6-31-01-01</x:v>
      </x:c>
      <x:c r="E672" s="25" t="str">
        <x:v>设备点检员</x:v>
      </x:c>
      <x:c r="F672" s="28" t="n">
        <x:f>COUNTIF('岗位-产业节点关系'!$C$4:$C$709,B672)</x:f>
        <x:v>0</x:v>
      </x:c>
      <x:c r="G672" s="26" t="str">
        <x:f>IF(F672=0,"未匹配（现有产业链范围未覆盖或证据不足）",IF(COUNTIFS('岗位-产业节点关系'!$C$4:$C$709,B672,'岗位-产业节点关系'!$M$4:$M$709,"低")&gt;0,"已匹配，建议复核","已匹配"))</x:f>
        <x:v>未匹配（现有产业链范围未覆盖或证据不足）</x:v>
      </x:c>
      <x:c r="H672" s="26" t="str">
        <x:v>-</x:v>
      </x:c>
      <x:c r="I672" s="26" t="str"/>
      <x:c r="J672" s="26" t="str"/>
      <x:c r="K672" s="26" t="str">
        <x:v>电工是生产制造行业中不可或缺的专业技术人才，他们负责确保工厂内所有电气设备的正常运行，对提高生产效率和保障工作安全起着至关重要的作用。作为公司的核心技术人员之一，电工的主要任务是安装、维护与修理各种电气系统及组件，通过预…</x:v>
      </x:c>
      <x:c r="L672" s="26" t="str">
        <x:v>1. 负责全厂电气线路、控制柜、电机等电力设施的日常巡检，及时发现并排除潜在隐患，确保生产线稳定运作。 2. 根据项目需求进行新设备的电气安装调试工作，编写相关技术文档，配合生产部门完成设备验收测试，确保符合安全标准和性…</x:v>
      </x:c>
    </x:row>
    <x:row r="673" ht="72" customHeight="1">
      <x:c r="A673" s="25" t="n">
        <x:v>11565</x:v>
      </x:c>
      <x:c r="B673" s="25" t="str">
        <x:v>IC-L3-822</x:v>
      </x:c>
      <x:c r="C673" s="25" t="str">
        <x:v>电梯工</x:v>
      </x:c>
      <x:c r="D673" s="25" t="str">
        <x:v>6-31-01-01</x:v>
      </x:c>
      <x:c r="E673" s="25" t="str">
        <x:v>设备点检员</x:v>
      </x:c>
      <x:c r="F673" s="28" t="n">
        <x:f>COUNTIF('岗位-产业节点关系'!$C$4:$C$709,B673)</x:f>
        <x:v>1</x:v>
      </x:c>
      <x:c r="G673" s="26" t="str">
        <x:f>IF(F673=0,"未匹配（现有产业链范围未覆盖或证据不足）",IF(COUNTIFS('岗位-产业节点关系'!$C$4:$C$709,B673,'岗位-产业节点关系'!$M$4:$M$709,"低")&gt;0,"已匹配，建议复核","已匹配"))</x:f>
        <x:v>已匹配</x:v>
      </x:c>
      <x:c r="H673" s="26" t="str">
        <x:v>中</x:v>
      </x:c>
      <x:c r="I673" s="26" t="str">
        <x:v>ICN005</x:v>
      </x:c>
      <x:c r="J673" s="26" t="str">
        <x:v>高端装备与智能制造产业链/中游/高端装备制造与激光加工</x:v>
      </x:c>
      <x:c r="K673" s="26" t="str">
        <x:v>电梯工是生产制造行业中不可或缺的技术岗位，主要负责电梯的安装、调试、维护与修理工作，确保电梯设备的安全运行，是连接设计与使用的桥梁，对于保障人们日常生活的便利和安全具有重要意义。 电梯工的核心目标在于通过专业的技能和服务…</x:v>
      </x:c>
      <x:c r="L673" s="26" t="str">
        <x:v>1. 负责电梯的安装、调试工作，严格按照国家相关标准和公司操作规程执行，确保安装质量符合要求。 2. 定期对电梯进行检查、保养，及时发现并排除潜在的安全隐患，预防事故发生，保障乘客安全。 3. 接受客户报修请求后，快速到…</x:v>
      </x:c>
    </x:row>
    <x:row r="674" ht="72" customHeight="1">
      <x:c r="A674" s="25" t="n">
        <x:v>11566</x:v>
      </x:c>
      <x:c r="B674" s="25" t="str">
        <x:v>IC-L3-823</x:v>
      </x:c>
      <x:c r="C674" s="25" t="str">
        <x:v>钳工</x:v>
      </x:c>
      <x:c r="D674" s="25" t="str">
        <x:v>6-31-01-01</x:v>
      </x:c>
      <x:c r="E674" s="25" t="str">
        <x:v>设备点检员</x:v>
      </x:c>
      <x:c r="F674" s="28" t="n">
        <x:f>COUNTIF('岗位-产业节点关系'!$C$4:$C$709,B674)</x:f>
        <x:v>1</x:v>
      </x:c>
      <x:c r="G674" s="26" t="str">
        <x:f>IF(F674=0,"未匹配（现有产业链范围未覆盖或证据不足）",IF(COUNTIFS('岗位-产业节点关系'!$C$4:$C$709,B674,'岗位-产业节点关系'!$M$4:$M$709,"低")&gt;0,"已匹配，建议复核","已匹配"))</x:f>
        <x:v>已匹配</x:v>
      </x:c>
      <x:c r="H674" s="26" t="str">
        <x:v>中</x:v>
      </x:c>
      <x:c r="I674" s="26" t="str">
        <x:v>ICN005</x:v>
      </x:c>
      <x:c r="J674" s="26" t="str">
        <x:v>高端装备与智能制造产业链/中游/高端装备制造与激光加工</x:v>
      </x:c>
      <x:c r="K674" s="26" t="str">
        <x:v>钳工是专门从事机械零部件加工与装配的专业技术人员。该职位的核心目标是通过精密加工和装配工艺，确保机械设备的高效运行。在日常工作中，需要进行零部件测量与修配、机械设备组装调试、工装夹具维护等工作。</x:v>
      </x:c>
      <x:c r="L674" s="26" t="str">
        <x:v>1. 操作维修机械设备 2. 安装调试工装夹具 3. 进行金属切削加工 4. 检测零部件精度 5. 维护保养工具设备 6. 遵守安全操作规程</x:v>
      </x:c>
    </x:row>
    <x:row r="675" ht="72" customHeight="1">
      <x:c r="A675" s="25" t="n">
        <x:v>11567</x:v>
      </x:c>
      <x:c r="B675" s="25" t="str">
        <x:v>IC-L3-824</x:v>
      </x:c>
      <x:c r="C675" s="25" t="str">
        <x:v>焊工</x:v>
      </x:c>
      <x:c r="D675" s="25" t="str">
        <x:v>6-31-01-01</x:v>
      </x:c>
      <x:c r="E675" s="25" t="str">
        <x:v>设备点检员</x:v>
      </x:c>
      <x:c r="F675" s="28" t="n">
        <x:f>COUNTIF('岗位-产业节点关系'!$C$4:$C$709,B675)</x:f>
        <x:v>0</x:v>
      </x:c>
      <x:c r="G675" s="26" t="str">
        <x:f>IF(F675=0,"未匹配（现有产业链范围未覆盖或证据不足）",IF(COUNTIFS('岗位-产业节点关系'!$C$4:$C$709,B675,'岗位-产业节点关系'!$M$4:$M$709,"低")&gt;0,"已匹配，建议复核","已匹配"))</x:f>
        <x:v>未匹配（现有产业链范围未覆盖或证据不足）</x:v>
      </x:c>
      <x:c r="H675" s="26" t="str">
        <x:v>-</x:v>
      </x:c>
      <x:c r="I675" s="26" t="str"/>
      <x:c r="J675" s="26" t="str"/>
      <x:c r="K675" s="26" t="str">
        <x:v>焊工是专门从事金属材料连接与修复的专业技术人员。该职位的核心目标是通过精确的焊接工艺，确保结构件的牢固性和安全性。在日常工作中，需要进行焊接设备操作、焊缝质量检查、工艺参数调整及安全防护等工作。</x:v>
      </x:c>
      <x:c r="L675" s="26" t="str">
        <x:v>1. 操作焊接设备 2. 完成金属焊接工作 3. 检查焊缝质量 4. 维护焊接工具 5. 遵守安全规范 6. 处理焊接缺陷</x:v>
      </x:c>
    </x:row>
    <x:row r="676" ht="72" customHeight="1">
      <x:c r="A676" s="25" t="n">
        <x:v>11568</x:v>
      </x:c>
      <x:c r="B676" s="25" t="str">
        <x:v>IC-L3-825</x:v>
      </x:c>
      <x:c r="C676" s="25" t="str">
        <x:v>模具工程师</x:v>
      </x:c>
      <x:c r="D676" s="25" t="str">
        <x:v>6-31-01-01</x:v>
      </x:c>
      <x:c r="E676" s="25" t="str">
        <x:v>设备点检员</x:v>
      </x:c>
      <x:c r="F676" s="28" t="n">
        <x:f>COUNTIF('岗位-产业节点关系'!$C$4:$C$709,B676)</x:f>
        <x:v>1</x:v>
      </x:c>
      <x:c r="G676" s="26" t="str">
        <x:f>IF(F676=0,"未匹配（现有产业链范围未覆盖或证据不足）",IF(COUNTIFS('岗位-产业节点关系'!$C$4:$C$709,B676,'岗位-产业节点关系'!$M$4:$M$709,"低")&gt;0,"已匹配，建议复核","已匹配"))</x:f>
        <x:v>已匹配</x:v>
      </x:c>
      <x:c r="H676" s="26" t="str">
        <x:v>中</x:v>
      </x:c>
      <x:c r="I676" s="26" t="str">
        <x:v>ICN004</x:v>
      </x:c>
      <x:c r="J676" s="26" t="str">
        <x:v>高端装备与智能制造产业链/上游/关键基础件与工业母机</x:v>
      </x:c>
      <x:c r="K676" s="26" t="str">
        <x:v>模具工程师是专门从事模具设计与制造的专业技术人员。该职位的核心目标是通过优化模具设计与工艺方案，实现产品质量提升和生产效率提高。在日常工作中，需要进行模具结构设计、加工工艺制定、模具调试维护及技术支持等工作。</x:v>
      </x:c>
      <x:c r="L676" s="26" t="str">
        <x:v>1. 设计模具结构方案 2. 编制模具加工工艺 3. 监督模具制造过程 4. 调试维修生产模具 5. 优化模具生产工艺 6. 管理模具技术档案</x:v>
      </x:c>
    </x:row>
    <x:row r="677" ht="72" customHeight="1">
      <x:c r="A677" s="25" t="n">
        <x:v>11569</x:v>
      </x:c>
      <x:c r="B677" s="25" t="str">
        <x:v>IC-L3-826</x:v>
      </x:c>
      <x:c r="C677" s="25" t="str">
        <x:v>焊接工程师</x:v>
      </x:c>
      <x:c r="D677" s="25" t="str">
        <x:v>6-31-01-01</x:v>
      </x:c>
      <x:c r="E677" s="25" t="str">
        <x:v>设备点检员</x:v>
      </x:c>
      <x:c r="F677" s="28" t="n">
        <x:f>COUNTIF('岗位-产业节点关系'!$C$4:$C$709,B677)</x:f>
        <x:v>1</x:v>
      </x:c>
      <x:c r="G677" s="26" t="str">
        <x:f>IF(F677=0,"未匹配（现有产业链范围未覆盖或证据不足）",IF(COUNTIFS('岗位-产业节点关系'!$C$4:$C$709,B677,'岗位-产业节点关系'!$M$4:$M$709,"低")&gt;0,"已匹配，建议复核","已匹配"))</x:f>
        <x:v>已匹配</x:v>
      </x:c>
      <x:c r="H677" s="26" t="str">
        <x:v>中</x:v>
      </x:c>
      <x:c r="I677" s="26" t="str">
        <x:v>ICN005</x:v>
      </x:c>
      <x:c r="J677" s="26" t="str">
        <x:v>高端装备与智能制造产业链/中游/高端装备制造与激光加工</x:v>
      </x:c>
      <x:c r="K677" s="26" t="str">
        <x:v>焊接工程师是专门从事金属连接工艺设计与优化的专业人员。该职位的核心目标是通过制定科学焊接方案，确保结构完整性和生产效益。在日常工作中，需要进行焊接工艺评定、质量检测、设备维护及技术指导等工作。</x:v>
      </x:c>
      <x:c r="L677" s="26" t="str">
        <x:v>1. 制定焊接工艺方案 2. 选择合适焊接材料 3. 监督焊接质量检测 4. 解决焊接技术问题 5. 培训焊接操作人员 6. 优化焊接工艺流程</x:v>
      </x:c>
    </x:row>
    <x:row r="678" ht="72" customHeight="1">
      <x:c r="A678" s="25" t="n">
        <x:v>11570</x:v>
      </x:c>
      <x:c r="B678" s="25" t="str">
        <x:v>IC-L3-827</x:v>
      </x:c>
      <x:c r="C678" s="25" t="str">
        <x:v>冲压工程师</x:v>
      </x:c>
      <x:c r="D678" s="25" t="str">
        <x:v>6-31-01-01</x:v>
      </x:c>
      <x:c r="E678" s="25" t="str">
        <x:v>设备点检员</x:v>
      </x:c>
      <x:c r="F678" s="28" t="n">
        <x:f>COUNTIF('岗位-产业节点关系'!$C$4:$C$709,B678)</x:f>
        <x:v>1</x:v>
      </x:c>
      <x:c r="G678" s="26" t="str">
        <x:f>IF(F678=0,"未匹配（现有产业链范围未覆盖或证据不足）",IF(COUNTIFS('岗位-产业节点关系'!$C$4:$C$709,B678,'岗位-产业节点关系'!$M$4:$M$709,"低")&gt;0,"已匹配，建议复核","已匹配"))</x:f>
        <x:v>已匹配</x:v>
      </x:c>
      <x:c r="H678" s="26" t="str">
        <x:v>中</x:v>
      </x:c>
      <x:c r="I678" s="26" t="str">
        <x:v>ICN005</x:v>
      </x:c>
      <x:c r="J678" s="26" t="str">
        <x:v>高端装备与智能制造产业链/中游/高端装备制造与激光加工</x:v>
      </x:c>
      <x:c r="K678" s="26" t="str">
        <x:v>冲压工程师是专门从事金属板材冲压成型工艺设计与优化的专业人员。该职位的核心目标是通过开发高效冲压工艺，实现产品质量提升和生产成本控制。在日常工作中，需要进行模具设计评审、工艺参数调试、生产问题解决和设备维护指导等工作。</x:v>
      </x:c>
      <x:c r="L678" s="26" t="str">
        <x:v>1. 设计冲压工艺方案 2. 优化模具结构设计 3. 调试冲压生产设备 4. 分析处理质量问题 5. 制定工艺技术标准 6. 改进生产效率指标</x:v>
      </x:c>
    </x:row>
    <x:row r="679" ht="72" customHeight="1">
      <x:c r="A679" s="25" t="n">
        <x:v>11571</x:v>
      </x:c>
      <x:c r="B679" s="25" t="str">
        <x:v>IC-L3-828</x:v>
      </x:c>
      <x:c r="C679" s="25" t="str">
        <x:v>注塑工程师</x:v>
      </x:c>
      <x:c r="D679" s="25" t="str">
        <x:v>6-31-01-01</x:v>
      </x:c>
      <x:c r="E679" s="25" t="str">
        <x:v>设备点检员</x:v>
      </x:c>
      <x:c r="F679" s="28" t="n">
        <x:f>COUNTIF('岗位-产业节点关系'!$C$4:$C$709,B679)</x:f>
        <x:v>1</x:v>
      </x:c>
      <x:c r="G679" s="26" t="str">
        <x:f>IF(F679=0,"未匹配（现有产业链范围未覆盖或证据不足）",IF(COUNTIFS('岗位-产业节点关系'!$C$4:$C$709,B679,'岗位-产业节点关系'!$M$4:$M$709,"低")&gt;0,"已匹配，建议复核","已匹配"))</x:f>
        <x:v>已匹配</x:v>
      </x:c>
      <x:c r="H679" s="26" t="str">
        <x:v>中</x:v>
      </x:c>
      <x:c r="I679" s="26" t="str">
        <x:v>ICN005</x:v>
      </x:c>
      <x:c r="J679" s="26" t="str">
        <x:v>高端装备与智能制造产业链/中游/高端装备制造与激光加工</x:v>
      </x:c>
      <x:c r="K679" s="26" t="str">
        <x:v>注塑工程师是专门从事塑料成型工艺设计与优化的专业人员。该职位的核心目标是通过注塑工艺技术管理，实现产品质量提升和生产成本控制。在日常工作中，需要进行模具调试、工艺参数设定、设备维护及生产问题解决等工作。</x:v>
      </x:c>
      <x:c r="L679" s="26" t="str">
        <x:v>1. 设计注塑工艺流程 2. 调试注塑设备参数 3. 解决生产品质问题 4. 优化模具设计方案 5. 控制生产成本预算 6. 培训技术操作人员</x:v>
      </x:c>
    </x:row>
    <x:row r="680" ht="72" customHeight="1">
      <x:c r="A680" s="25" t="n">
        <x:v>11572</x:v>
      </x:c>
      <x:c r="B680" s="25" t="str">
        <x:v>IC-L3-829</x:v>
      </x:c>
      <x:c r="C680" s="25" t="str">
        <x:v>射频工程师</x:v>
      </x:c>
      <x:c r="D680" s="25" t="str">
        <x:v>6-31-01-01</x:v>
      </x:c>
      <x:c r="E680" s="25" t="str">
        <x:v>设备点检员</x:v>
      </x:c>
      <x:c r="F680" s="28" t="n">
        <x:f>COUNTIF('岗位-产业节点关系'!$C$4:$C$709,B680)</x:f>
        <x:v>1</x:v>
      </x:c>
      <x:c r="G680" s="26" t="str">
        <x:f>IF(F680=0,"未匹配（现有产业链范围未覆盖或证据不足）",IF(COUNTIFS('岗位-产业节点关系'!$C$4:$C$709,B680,'岗位-产业节点关系'!$M$4:$M$709,"低")&gt;0,"已匹配，建议复核","已匹配"))</x:f>
        <x:v>已匹配，建议复核</x:v>
      </x:c>
      <x:c r="H680" s="26" t="str">
        <x:v>低</x:v>
      </x:c>
      <x:c r="I680" s="26" t="str">
        <x:v>ICN047</x:v>
      </x:c>
      <x:c r="J680" s="26" t="str">
        <x:v>半导体与集成电路产业链/中游/芯片设计、制造、封测与集成电路</x:v>
      </x:c>
      <x:c r="K680" s="26" t="str">
        <x:v>射频工程师是专门从事射频系统设计与调试的专业技术人员。该职位的核心目标是通过优化射频电路性能，确保无线通信设备的稳定传输。在日常工作中，需要进行射频电路设计、测试与调试、故障排查及技术文档编写等工作。</x:v>
      </x:c>
      <x:c r="L680" s="26" t="str">
        <x:v>1. 设计射频电路方案 2. 调试射频系统性能 3. 测试射频器件参数 4. 优化射频信号质量 5. 解决射频干扰问题 6. 编制射频技术文档</x:v>
      </x:c>
    </x:row>
    <x:row r="681" ht="72" customHeight="1">
      <x:c r="A681" s="25" t="n">
        <x:v>11573</x:v>
      </x:c>
      <x:c r="B681" s="25" t="str">
        <x:v>IC-L3-830</x:v>
      </x:c>
      <x:c r="C681" s="25" t="str">
        <x:v>铣工</x:v>
      </x:c>
      <x:c r="D681" s="25" t="str">
        <x:v>6-31-01-01</x:v>
      </x:c>
      <x:c r="E681" s="25" t="str">
        <x:v>设备点检员</x:v>
      </x:c>
      <x:c r="F681" s="28" t="n">
        <x:f>COUNTIF('岗位-产业节点关系'!$C$4:$C$709,B681)</x:f>
        <x:v>1</x:v>
      </x:c>
      <x:c r="G681" s="26" t="str">
        <x:f>IF(F681=0,"未匹配（现有产业链范围未覆盖或证据不足）",IF(COUNTIFS('岗位-产业节点关系'!$C$4:$C$709,B681,'岗位-产业节点关系'!$M$4:$M$709,"低")&gt;0,"已匹配，建议复核","已匹配"))</x:f>
        <x:v>已匹配</x:v>
      </x:c>
      <x:c r="H681" s="26" t="str">
        <x:v>中</x:v>
      </x:c>
      <x:c r="I681" s="26" t="str">
        <x:v>ICN005</x:v>
      </x:c>
      <x:c r="J681" s="26" t="str">
        <x:v>高端装备与智能制造产业链/中游/高端装备制造与激光加工</x:v>
      </x:c>
      <x:c r="K681" s="26" t="str">
        <x:v>铣工是专门从事金属零部件铣削加工的专业人员。该职位的核心目标是通过操作铣床设备，实现高精度零部件的加工制造。在日常工作中，需要进行图纸解读、工艺规划、铣床操作、质量检测及设备维护等工作。</x:v>
      </x:c>
      <x:c r="L681" s="26" t="str">
        <x:v>1. 操作铣床设备 2. 加工金属零件 3. 检查产品精度 4. 维护保养设备 5. 执行工艺规范 6. 记录生产数据</x:v>
      </x:c>
    </x:row>
    <x:row r="682" ht="72" customHeight="1">
      <x:c r="A682" s="25" t="n">
        <x:v>11574</x:v>
      </x:c>
      <x:c r="B682" s="25" t="str">
        <x:v>IC-L3-831</x:v>
      </x:c>
      <x:c r="C682" s="25" t="str">
        <x:v>包装工</x:v>
      </x:c>
      <x:c r="D682" s="25" t="str">
        <x:v>6-29-01-01</x:v>
      </x:c>
      <x:c r="E682" s="25" t="str">
        <x:v>砌筑工</x:v>
      </x:c>
      <x:c r="F682" s="28" t="n">
        <x:f>COUNTIF('岗位-产业节点关系'!$C$4:$C$709,B682)</x:f>
        <x:v>0</x:v>
      </x:c>
      <x:c r="G682" s="26" t="str">
        <x:f>IF(F682=0,"未匹配（现有产业链范围未覆盖或证据不足）",IF(COUNTIFS('岗位-产业节点关系'!$C$4:$C$709,B682,'岗位-产业节点关系'!$M$4:$M$709,"低")&gt;0,"已匹配，建议复核","已匹配"))</x:f>
        <x:v>未匹配（现有产业链范围未覆盖或证据不足）</x:v>
      </x:c>
      <x:c r="H682" s="26" t="str">
        <x:v>-</x:v>
      </x:c>
      <x:c r="I682" s="26" t="str"/>
      <x:c r="J682" s="26" t="str"/>
      <x:c r="K682" s="26" t="str">
        <x:v>包装工作为生产制造行业的重要组成部分，扮演着确保产品从生产线顺利过渡到消费者手中的关键角色。通过高效准确地完成包装任务，不仅能够保护产品质量，还能提升品牌形象，增加市场竞争力。此外，包装工与生产线其他环节紧密合作，共同保…</x:v>
      </x:c>
      <x:c r="L682" s="26" t="str">
        <x:v>1. 负责对成品进行分类、整理并按照标准操作程序进行包装，确保每个环节符合质量要求。 2. 定期检查包装设备的运行状态，及时报告故障并协助维修人员处理问题，保障生产的正常进行。 3. 维护工作区域的整洁有序，遵守安全生产…</x:v>
      </x:c>
    </x:row>
    <x:row r="683" ht="72" customHeight="1">
      <x:c r="A683" s="25" t="n">
        <x:v>11575</x:v>
      </x:c>
      <x:c r="B683" s="25" t="str">
        <x:v>IC-L3-832</x:v>
      </x:c>
      <x:c r="C683" s="25" t="str">
        <x:v>印染工</x:v>
      </x:c>
      <x:c r="D683" s="25" t="str">
        <x:v>6-23-01-01</x:v>
      </x:c>
      <x:c r="E683" s="25" t="str">
        <x:v>铁路机车制修工</x:v>
      </x:c>
      <x:c r="F683" s="28" t="n">
        <x:f>COUNTIF('岗位-产业节点关系'!$C$4:$C$709,B683)</x:f>
        <x:v>1</x:v>
      </x:c>
      <x:c r="G683" s="26" t="str">
        <x:f>IF(F683=0,"未匹配（现有产业链范围未覆盖或证据不足）",IF(COUNTIFS('岗位-产业节点关系'!$C$4:$C$709,B683,'岗位-产业节点关系'!$M$4:$M$709,"低")&gt;0,"已匹配，建议复核","已匹配"))</x:f>
        <x:v>已匹配</x:v>
      </x:c>
      <x:c r="H683" s="26" t="str">
        <x:v>中</x:v>
      </x:c>
      <x:c r="I683" s="26" t="str">
        <x:v>ICN050</x:v>
      </x:c>
      <x:c r="J683" s="26" t="str">
        <x:v>纺织产业链/中游/纺纱织造、印染与面料制造</x:v>
      </x:c>
      <x:c r="K683" s="26" t="str">
        <x:v>印染工作为服装/纺织/皮革行业中不可或缺的一环，主要负责将各种颜色和图案应用到布料上，确保最终产品的美观度与质量。通过精湛的技术和对色彩的敏锐感知，印染工不仅能够提升产品附加值，还能满足市场多样化需求，推动行业发展。 印…</x:v>
      </x:c>
      <x:c r="L683" s="26" t="str">
        <x:v>1. 负责操作印染设备进行布料的预处理、染色、印花等工作，确保生产流程顺畅。 2. 严格控制印染过程中的各项参数（如温度、时间、药剂浓度等），以达到最佳的印染效果。 3. 定期检查设备运行状态，及时排除故障，保障安全生产…</x:v>
      </x:c>
    </x:row>
    <x:row r="684" ht="72" customHeight="1">
      <x:c r="A684" s="25" t="n">
        <x:v>11576</x:v>
      </x:c>
      <x:c r="B684" s="25" t="str">
        <x:v>IC-L3-833</x:v>
      </x:c>
      <x:c r="C684" s="25" t="str">
        <x:v>打样/制版</x:v>
      </x:c>
      <x:c r="D684" s="25" t="str">
        <x:v>6-23-01-01</x:v>
      </x:c>
      <x:c r="E684" s="25" t="str">
        <x:v>铁路机车制修工</x:v>
      </x:c>
      <x:c r="F684" s="28" t="n">
        <x:f>COUNTIF('岗位-产业节点关系'!$C$4:$C$709,B684)</x:f>
        <x:v>1</x:v>
      </x:c>
      <x:c r="G684" s="26" t="str">
        <x:f>IF(F684=0,"未匹配（现有产业链范围未覆盖或证据不足）",IF(COUNTIFS('岗位-产业节点关系'!$C$4:$C$709,B684,'岗位-产业节点关系'!$M$4:$M$709,"低")&gt;0,"已匹配，建议复核","已匹配"))</x:f>
        <x:v>已匹配，建议复核</x:v>
      </x:c>
      <x:c r="H684" s="26" t="str">
        <x:v>低</x:v>
      </x:c>
      <x:c r="I684" s="26" t="str">
        <x:v>ICN050</x:v>
      </x:c>
      <x:c r="J684" s="26" t="str">
        <x:v>纺织产业链/中游/纺纱织造、印染与面料制造</x:v>
      </x:c>
      <x:c r="K684" s="26" t="str">
        <x:v>打样/制版师是服装/纺织/皮革行业中至关重要的角色，他们负责将设计概念转化为实际的产品样本，确保从设计图纸到实物成品的完美转换。该职位不仅需要具备良好的美术基础和技术能力，还需要深刻理解材料特性和工艺流程，以确保样品的质…</x:v>
      </x:c>
      <x:c r="L684" s="26" t="str">
        <x:v>1. 根据设计师提供的图纸或样品，准确无误地完成服装/纺织品的初步打样工作，确保样品符合设计要求。 2. 对所使用的面料、辅料进行深入研究，结合成本控制原则选择最合适的材料，同时保证产品的质量和性能。 3. 与设计师和生…</x:v>
      </x:c>
    </x:row>
    <x:row r="685" ht="72" customHeight="1">
      <x:c r="A685" s="25" t="n">
        <x:v>11577</x:v>
      </x:c>
      <x:c r="B685" s="25" t="str">
        <x:v>IC-L3-834</x:v>
      </x:c>
      <x:c r="C685" s="25" t="str">
        <x:v>挡车工</x:v>
      </x:c>
      <x:c r="D685" s="25" t="str">
        <x:v>6-23-01-01</x:v>
      </x:c>
      <x:c r="E685" s="25" t="str">
        <x:v>铁路机车制修工</x:v>
      </x:c>
      <x:c r="F685" s="28" t="n">
        <x:f>COUNTIF('岗位-产业节点关系'!$C$4:$C$709,B685)</x:f>
        <x:v>1</x:v>
      </x:c>
      <x:c r="G685" s="26" t="str">
        <x:f>IF(F685=0,"未匹配（现有产业链范围未覆盖或证据不足）",IF(COUNTIFS('岗位-产业节点关系'!$C$4:$C$709,B685,'岗位-产业节点关系'!$M$4:$M$709,"低")&gt;0,"已匹配，建议复核","已匹配"))</x:f>
        <x:v>已匹配</x:v>
      </x:c>
      <x:c r="H685" s="26" t="str">
        <x:v>中</x:v>
      </x:c>
      <x:c r="I685" s="26" t="str">
        <x:v>ICN005</x:v>
      </x:c>
      <x:c r="J685" s="26" t="str">
        <x:v>高端装备与智能制造产业链/中游/高端装备制造与激光加工</x:v>
      </x:c>
      <x:c r="K685" s="26" t="str">
        <x:v>挡车工是服装/纺织/皮革行业中不可或缺的一环，主要负责操作和维护各种类型的纺织机械，确保生产流程顺畅无阻。作为生产线上的关键人员，他们不仅需要具备良好的设备操作技能，还需拥有快速应对突发状况的能力，以保障产品质量与生产效…</x:v>
      </x:c>
      <x:c r="L685" s="26" t="str">
        <x:v>1. 负责纺织机械设备的日常操作与维护，确保机器正常运行并及时处理异常情况。 2. 根据生产计划安排，按时完成分配的任务量，保证产品数量与质量符合标准要求。 3. 严格执行安全生产规范，预防事故的发生，营造安全的工作环境…</x:v>
      </x:c>
    </x:row>
    <x:row r="686" ht="72" customHeight="1">
      <x:c r="A686" s="25" t="n">
        <x:v>11578</x:v>
      </x:c>
      <x:c r="B686" s="25" t="str">
        <x:v>IC-L3-835</x:v>
      </x:c>
      <x:c r="C686" s="25" t="str">
        <x:v>整经工</x:v>
      </x:c>
      <x:c r="D686" s="25" t="str">
        <x:v>6-23-01-01</x:v>
      </x:c>
      <x:c r="E686" s="25" t="str">
        <x:v>铁路机车制修工</x:v>
      </x:c>
      <x:c r="F686" s="28" t="n">
        <x:f>COUNTIF('岗位-产业节点关系'!$C$4:$C$709,B686)</x:f>
        <x:v>1</x:v>
      </x:c>
      <x:c r="G686" s="26" t="str">
        <x:f>IF(F686=0,"未匹配（现有产业链范围未覆盖或证据不足）",IF(COUNTIFS('岗位-产业节点关系'!$C$4:$C$709,B686,'岗位-产业节点关系'!$M$4:$M$709,"低")&gt;0,"已匹配，建议复核","已匹配"))</x:f>
        <x:v>已匹配，建议复核</x:v>
      </x:c>
      <x:c r="H686" s="26" t="str">
        <x:v>低</x:v>
      </x:c>
      <x:c r="I686" s="26" t="str">
        <x:v>ICN050</x:v>
      </x:c>
      <x:c r="J686" s="26" t="str">
        <x:v>纺织产业链/中游/纺纱织造、印染与面料制造</x:v>
      </x:c>
      <x:c r="K686" s="26" t="str">
        <x:v>整经工作为服装/纺织/皮革行业中不可或缺的一环，主要负责将纱线整理成适合后续织造工艺使用的卷装。这项工作对于确保产品质量、提高生产效率至关重要，是连接原料准备与成品制造的关键桥梁。通过精准的操作和严格的品质控制，整经工能…</x:v>
      </x:c>
      <x:c r="L686" s="26" t="str">
        <x:v>1. 负责操作整经机，将原丝按规定的长度、宽度和密度均匀地卷绕到筒子上，确保符合生产标准。 2. 对整经过程中出现的问题及时处理并记录，如断头、错位等异常情况，保证生产的连续性和稳定性。 3. 定期检查设备运行状态，进行…</x:v>
      </x:c>
    </x:row>
    <x:row r="687" ht="72" customHeight="1">
      <x:c r="A687" s="25" t="n">
        <x:v>11579</x:v>
      </x:c>
      <x:c r="B687" s="25" t="str">
        <x:v>IC-L3-836</x:v>
      </x:c>
      <x:c r="C687" s="25" t="str">
        <x:v>服装/纺织/皮革工艺师</x:v>
      </x:c>
      <x:c r="D687" s="25" t="str">
        <x:v>6-23-01-01</x:v>
      </x:c>
      <x:c r="E687" s="25" t="str">
        <x:v>铁路机车制修工</x:v>
      </x:c>
      <x:c r="F687" s="28" t="n">
        <x:f>COUNTIF('岗位-产业节点关系'!$C$4:$C$709,B687)</x:f>
        <x:v>1</x:v>
      </x:c>
      <x:c r="G687" s="26" t="str">
        <x:f>IF(F687=0,"未匹配（现有产业链范围未覆盖或证据不足）",IF(COUNTIFS('岗位-产业节点关系'!$C$4:$C$709,B687,'岗位-产业节点关系'!$M$4:$M$709,"低")&gt;0,"已匹配，建议复核","已匹配"))</x:f>
        <x:v>已匹配</x:v>
      </x:c>
      <x:c r="H687" s="26" t="str">
        <x:v>高</x:v>
      </x:c>
      <x:c r="I687" s="26" t="str">
        <x:v>ICN050</x:v>
      </x:c>
      <x:c r="J687" s="26" t="str">
        <x:v>纺织产业链/中游/纺纱织造、印染与面料制造</x:v>
      </x:c>
      <x:c r="K687" s="26" t="str">
        <x:v>服装/纺织/皮革工艺师是生产制造行业中不可或缺的专业人才，其主要负责设计与开发新产品、改进现有产品以及优化生产工艺流程。该职位不仅在提升产品质量和生产效率方面发挥着关键作用，而且在推动企业技术创新和市场竞争力方面也占据着…</x:v>
      </x:c>
      <x:c r="L687" s="26" t="str">
        <x:v>1. 负责新产品的研发工作，从概念设计到样品制作，直至最终投入量产，确保每个环节都达到预期标准。 2. 对现有产品进行持续改进，通过引入新材料、新技术来优化生产工艺，提高产品性能和生产效率。 3. 与设计团队密切沟通，了…</x:v>
      </x:c>
    </x:row>
    <x:row r="688" ht="72" customHeight="1">
      <x:c r="A688" s="25" t="n">
        <x:v>11580</x:v>
      </x:c>
      <x:c r="B688" s="25" t="str">
        <x:v>IC-L3-837</x:v>
      </x:c>
      <x:c r="C688" s="25" t="str">
        <x:v>服装/纺织/皮革跟单</x:v>
      </x:c>
      <x:c r="D688" s="25" t="str">
        <x:v>6-23-01-01</x:v>
      </x:c>
      <x:c r="E688" s="25" t="str">
        <x:v>铁路机车制修工</x:v>
      </x:c>
      <x:c r="F688" s="28" t="n">
        <x:f>COUNTIF('岗位-产业节点关系'!$C$4:$C$709,B688)</x:f>
        <x:v>1</x:v>
      </x:c>
      <x:c r="G688" s="26" t="str">
        <x:f>IF(F688=0,"未匹配（现有产业链范围未覆盖或证据不足）",IF(COUNTIFS('岗位-产业节点关系'!$C$4:$C$709,B688,'岗位-产业节点关系'!$M$4:$M$709,"低")&gt;0,"已匹配，建议复核","已匹配"))</x:f>
        <x:v>已匹配</x:v>
      </x:c>
      <x:c r="H688" s="26" t="str">
        <x:v>高</x:v>
      </x:c>
      <x:c r="I688" s="26" t="str">
        <x:v>ICN051</x:v>
      </x:c>
      <x:c r="J688" s="26" t="str">
        <x:v>纺织产业链/下游/服装家纺、品牌渠道与终端消费</x:v>
      </x:c>
      <x:c r="K688" s="26" t="str">
        <x:v>服装/纺织/皮革跟单是生产制造行业中不可或缺的角色，特别是在服装/纺织/皮革领域。此职位不仅负责确保从原材料采购到成品出货的整个流程顺畅进行，还承担着沟通客户与生产部门之间的桥梁作用，确保产品符合客户的需求和标准。通过高…</x:v>
      </x:c>
      <x:c r="L688" s="26" t="str">
        <x:v>1. 负责接收客户订单，与客户沟通确认订单细节，包括数量、颜色、规格等，确保订单信息准确无误。 2. 协调内部资源，包括材料采购、生产排程和质量控制，确保订单按计划顺利执行。 3. 定期跟进订单进度，及时向客户反馈生产情…</x:v>
      </x:c>
    </x:row>
    <x:row r="689" ht="72" customHeight="1">
      <x:c r="A689" s="25" t="n">
        <x:v>11581</x:v>
      </x:c>
      <x:c r="B689" s="25" t="str">
        <x:v>IC-L3-838</x:v>
      </x:c>
      <x:c r="C689" s="25" t="str">
        <x:v>服装/纺织设计</x:v>
      </x:c>
      <x:c r="D689" s="25" t="str">
        <x:v>6-23-01-01</x:v>
      </x:c>
      <x:c r="E689" s="25" t="str">
        <x:v>铁路机车制修工</x:v>
      </x:c>
      <x:c r="F689" s="28" t="n">
        <x:f>COUNTIF('岗位-产业节点关系'!$C$4:$C$709,B689)</x:f>
        <x:v>1</x:v>
      </x:c>
      <x:c r="G689" s="26" t="str">
        <x:f>IF(F689=0,"未匹配（现有产业链范围未覆盖或证据不足）",IF(COUNTIFS('岗位-产业节点关系'!$C$4:$C$709,B689,'岗位-产业节点关系'!$M$4:$M$709,"低")&gt;0,"已匹配，建议复核","已匹配"))</x:f>
        <x:v>已匹配</x:v>
      </x:c>
      <x:c r="H689" s="26" t="str">
        <x:v>高</x:v>
      </x:c>
      <x:c r="I689" s="26" t="str">
        <x:v>ICN051</x:v>
      </x:c>
      <x:c r="J689" s="26" t="str">
        <x:v>纺织产业链/下游/服装家纺、品牌渠道与终端消费</x:v>
      </x:c>
      <x:c r="K689" s="26" t="str">
        <x:v>服装/纺织设计师在生产制造行业中扮演着至关重要的角色，他们不仅是时尚趋势的引领者，也是产品创新与市场竞争力提升的关键力量。通过结合艺术美感与实用功能，设计师们能够创造出既符合市场需求又独具特色的产品，为企业树立良好的品牌…</x:v>
      </x:c>
      <x:c r="L689" s="26" t="str">
        <x:v>1. 负责研究并预测流行趋势，制定季度设计主题，确保公司产品始终处于行业前沿。 2. 根据品牌定位及市场需求，进行原创设计或改进现有款式，完成从草图绘制到样衣制作的全过程。 3. 与采购团队沟通面料选择事宜，评估材料成本…</x:v>
      </x:c>
    </x:row>
    <x:row r="690" ht="72" customHeight="1">
      <x:c r="A690" s="25" t="n">
        <x:v>11582</x:v>
      </x:c>
      <x:c r="B690" s="25" t="str">
        <x:v>IC-L3-839</x:v>
      </x:c>
      <x:c r="C690" s="25" t="str">
        <x:v>服装/纺织设计总监</x:v>
      </x:c>
      <x:c r="D690" s="25" t="str">
        <x:v>6-23-01-01</x:v>
      </x:c>
      <x:c r="E690" s="25" t="str">
        <x:v>铁路机车制修工</x:v>
      </x:c>
      <x:c r="F690" s="28" t="n">
        <x:f>COUNTIF('岗位-产业节点关系'!$C$4:$C$709,B690)</x:f>
        <x:v>1</x:v>
      </x:c>
      <x:c r="G690" s="26" t="str">
        <x:f>IF(F690=0,"未匹配（现有产业链范围未覆盖或证据不足）",IF(COUNTIFS('岗位-产业节点关系'!$C$4:$C$709,B690,'岗位-产业节点关系'!$M$4:$M$709,"低")&gt;0,"已匹配，建议复核","已匹配"))</x:f>
        <x:v>已匹配</x:v>
      </x:c>
      <x:c r="H690" s="26" t="str">
        <x:v>高</x:v>
      </x:c>
      <x:c r="I690" s="26" t="str">
        <x:v>ICN051</x:v>
      </x:c>
      <x:c r="J690" s="26" t="str">
        <x:v>纺织产业链/下游/服装家纺、品牌渠道与终端消费</x:v>
      </x:c>
      <x:c r="K690" s="26" t="str">
        <x:v>服装/纺织设计总监是生产制造行业中不可或缺的角色之一，尤其在服装/纺织领域中扮演着引领潮流、塑造品牌形象的关键角色。作为设计团队的灵魂人物，该职位不仅负责把握市场趋势，更需结合企业战略，确保产品设计既符合市场需求又体现品…</x:v>
      </x:c>
      <x:c r="L690" s="26" t="str">
        <x:v>1. 负责整体设计规划，制定年度设计计划并监督执行，确保设计作品符合市场需求及公司品牌定位。 2. 指导并参与新产品的研发工作，从材料选择、色彩搭配到款式设计等多方面进行把关，保证产品质量。 3. 定期组织设计评审会议，…</x:v>
      </x:c>
    </x:row>
    <x:row r="691" ht="72" customHeight="1">
      <x:c r="A691" s="25" t="n">
        <x:v>11583</x:v>
      </x:c>
      <x:c r="B691" s="25" t="str">
        <x:v>IC-L3-840</x:v>
      </x:c>
      <x:c r="C691" s="25" t="str">
        <x:v>服装纺织质检员</x:v>
      </x:c>
      <x:c r="D691" s="25" t="str">
        <x:v>6-23-01-01</x:v>
      </x:c>
      <x:c r="E691" s="25" t="str">
        <x:v>铁路机车制修工</x:v>
      </x:c>
      <x:c r="F691" s="28" t="n">
        <x:f>COUNTIF('岗位-产业节点关系'!$C$4:$C$709,B691)</x:f>
        <x:v>1</x:v>
      </x:c>
      <x:c r="G691" s="26" t="str">
        <x:f>IF(F691=0,"未匹配（现有产业链范围未覆盖或证据不足）",IF(COUNTIFS('岗位-产业节点关系'!$C$4:$C$709,B691,'岗位-产业节点关系'!$M$4:$M$709,"低")&gt;0,"已匹配，建议复核","已匹配"))</x:f>
        <x:v>已匹配</x:v>
      </x:c>
      <x:c r="H691" s="26" t="str">
        <x:v>高</x:v>
      </x:c>
      <x:c r="I691" s="26" t="str">
        <x:v>ICN050</x:v>
      </x:c>
      <x:c r="J691" s="26" t="str">
        <x:v>纺织产业链/中游/纺纱织造、印染与面料制造</x:v>
      </x:c>
      <x:c r="K691" s="26" t="str">
        <x:v>服装纺织质检员是生产制造行业中不可或缺的角色，尤其在服装/纺织/皮革领域中，他们负责确保产品质量符合标准，从而保障消费者满意度并维护公司声誉。作为质量控制的关键环节，质检员的主要任务是通过严格的检验流程来识别和解决产品中…</x:v>
      </x:c>
      <x:c r="L691" s="26" t="str">
        <x:v>1. 对进厂原材料及成品进行抽样检查，依据国家或企业标准判断其是否合格，确保所有进入生产线或交付给客户的商品都达到预定的质量要求。 2. 记录检验结果，编写详细的质检报告，对于发现的问题及时反馈给相关部门并提出改进建议，…</x:v>
      </x:c>
    </x:row>
    <x:row r="692" ht="72" customHeight="1">
      <x:c r="A692" s="25" t="n">
        <x:v>11584</x:v>
      </x:c>
      <x:c r="B692" s="25" t="str">
        <x:v>IC-L3-841</x:v>
      </x:c>
      <x:c r="C692" s="25" t="str">
        <x:v>服装领班</x:v>
      </x:c>
      <x:c r="D692" s="25" t="str">
        <x:v>6-23-01-01</x:v>
      </x:c>
      <x:c r="E692" s="25" t="str">
        <x:v>铁路机车制修工</x:v>
      </x:c>
      <x:c r="F692" s="28" t="n">
        <x:f>COUNTIF('岗位-产业节点关系'!$C$4:$C$709,B692)</x:f>
        <x:v>1</x:v>
      </x:c>
      <x:c r="G692" s="26" t="str">
        <x:f>IF(F692=0,"未匹配（现有产业链范围未覆盖或证据不足）",IF(COUNTIFS('岗位-产业节点关系'!$C$4:$C$709,B692,'岗位-产业节点关系'!$M$4:$M$709,"低")&gt;0,"已匹配，建议复核","已匹配"))</x:f>
        <x:v>已匹配</x:v>
      </x:c>
      <x:c r="H692" s="26" t="str">
        <x:v>中</x:v>
      </x:c>
      <x:c r="I692" s="26" t="str">
        <x:v>ICN051</x:v>
      </x:c>
      <x:c r="J692" s="26" t="str">
        <x:v>纺织产业链/下游/服装家纺、品牌渠道与终端消费</x:v>
      </x:c>
      <x:c r="K692" s="26" t="str">
        <x:v>服装领班是生产制造行业中服装/纺织/皮革领域不可或缺的角色之一，主要负责车间内生产线的日常管理和员工调度，确保生产流程顺畅，同时保证产品质量符合标准。作为连接管理层与一线工人的桥梁，服装领班不仅需要具备扎实的专业技能，还…</x:v>
      </x:c>
      <x:c r="L692" s="26" t="str">
        <x:v>1. 负责监督生产线上的工作流程，确保所有操作均按既定的标准执行，以保障产品品质达到客户要求。 2. 制定并实施生产计划，合理分配人力资源，确保按时完成订单任务，同时关注生产过程中的安全事项，预防事故的发生。 3. 定期…</x:v>
      </x:c>
    </x:row>
    <x:row r="693" ht="72" customHeight="1">
      <x:c r="A693" s="25" t="n">
        <x:v>11585</x:v>
      </x:c>
      <x:c r="B693" s="25" t="str">
        <x:v>IC-L3-842</x:v>
      </x:c>
      <x:c r="C693" s="25" t="str">
        <x:v>样衣工</x:v>
      </x:c>
      <x:c r="D693" s="25" t="str">
        <x:v>6-23-01-01</x:v>
      </x:c>
      <x:c r="E693" s="25" t="str">
        <x:v>铁路机车制修工</x:v>
      </x:c>
      <x:c r="F693" s="28" t="n">
        <x:f>COUNTIF('岗位-产业节点关系'!$C$4:$C$709,B693)</x:f>
        <x:v>0</x:v>
      </x:c>
      <x:c r="G693" s="26" t="str">
        <x:f>IF(F693=0,"未匹配（现有产业链范围未覆盖或证据不足）",IF(COUNTIFS('岗位-产业节点关系'!$C$4:$C$709,B693,'岗位-产业节点关系'!$M$4:$M$709,"低")&gt;0,"已匹配，建议复核","已匹配"))</x:f>
        <x:v>未匹配（现有产业链范围未覆盖或证据不足）</x:v>
      </x:c>
      <x:c r="H693" s="26" t="str">
        <x:v>-</x:v>
      </x:c>
      <x:c r="I693" s="26" t="str"/>
      <x:c r="J693" s="26" t="str"/>
      <x:c r="K693" s="26" t="str">
        <x:v>样衣工是服装/纺织/皮革行业中不可或缺的角色之一，负责将设计师的创意转化为实际样品，确保设计与生产之间的无缝对接。样衣工不仅需要具备高超的手工技艺，还应具有良好的审美观和创新能力，以满足市场对个性化和高品质产品的需求。 …</x:v>
      </x:c>
      <x:c r="L693" s="26" t="str">
        <x:v>1. 根据设计师提供的图纸或样版，精确测量并裁剪布料，保证样衣的尺寸和形状符合设计要求。 2. 运用手缝或机器缝纫等方法，细致地拼接各部分布料，注重线迹平整度和美观度，确保样衣的整体质量。 3. 协助设计师进行色彩搭配、…</x:v>
      </x:c>
    </x:row>
    <x:row r="694" ht="72" customHeight="1">
      <x:c r="A694" s="25" t="n">
        <x:v>11586</x:v>
      </x:c>
      <x:c r="B694" s="25" t="str">
        <x:v>IC-L3-843</x:v>
      </x:c>
      <x:c r="C694" s="25" t="str">
        <x:v>浆纱工</x:v>
      </x:c>
      <x:c r="D694" s="25" t="str">
        <x:v>6-23-01-01</x:v>
      </x:c>
      <x:c r="E694" s="25" t="str">
        <x:v>铁路机车制修工</x:v>
      </x:c>
      <x:c r="F694" s="28" t="n">
        <x:f>COUNTIF('岗位-产业节点关系'!$C$4:$C$709,B694)</x:f>
        <x:v>1</x:v>
      </x:c>
      <x:c r="G694" s="26" t="str">
        <x:f>IF(F694=0,"未匹配（现有产业链范围未覆盖或证据不足）",IF(COUNTIFS('岗位-产业节点关系'!$C$4:$C$709,B694,'岗位-产业节点关系'!$M$4:$M$709,"低")&gt;0,"已匹配，建议复核","已匹配"))</x:f>
        <x:v>已匹配，建议复核</x:v>
      </x:c>
      <x:c r="H694" s="26" t="str">
        <x:v>低</x:v>
      </x:c>
      <x:c r="I694" s="26" t="str">
        <x:v>ICN050</x:v>
      </x:c>
      <x:c r="J694" s="26" t="str">
        <x:v>纺织产业链/中游/纺纱织造、印染与面料制造</x:v>
      </x:c>
      <x:c r="K694" s="26" t="str">
        <x:v>浆纱工是服装/纺织/皮革行业中不可或缺的技术工人之一，在整个生产过程中扮演着关键角色。他们负责将原纱经过特殊处理后加工成符合织造要求的纱线，确保了后续工序的质量与效率。 该职位的核心目标是通过精准操作设备完成浆纱工艺流程…</x:v>
      </x:c>
      <x:c r="L694" s="26" t="str">
        <x:v>1. 负责日常浆纱机的操作与维护，保证设备正常运行并定期进行保养检查。 2. 根据生产计划准确调配浆料比例，确保浆液质量满足工艺标准。 3. 对完成浆纱处理后的纱线进行质量检验，记录相关数据并及时反馈异常情况。 4. 协…</x:v>
      </x:c>
    </x:row>
    <x:row r="695" ht="72" customHeight="1">
      <x:c r="A695" s="25" t="n">
        <x:v>11587</x:v>
      </x:c>
      <x:c r="B695" s="25" t="str">
        <x:v>IC-L3-844</x:v>
      </x:c>
      <x:c r="C695" s="25" t="str">
        <x:v>漂染工</x:v>
      </x:c>
      <x:c r="D695" s="25" t="str">
        <x:v>6-23-01-01</x:v>
      </x:c>
      <x:c r="E695" s="25" t="str">
        <x:v>铁路机车制修工</x:v>
      </x:c>
      <x:c r="F695" s="28" t="n">
        <x:f>COUNTIF('岗位-产业节点关系'!$C$4:$C$709,B695)</x:f>
        <x:v>0</x:v>
      </x:c>
      <x:c r="G695" s="26" t="str">
        <x:f>IF(F695=0,"未匹配（现有产业链范围未覆盖或证据不足）",IF(COUNTIFS('岗位-产业节点关系'!$C$4:$C$709,B695,'岗位-产业节点关系'!$M$4:$M$709,"低")&gt;0,"已匹配，建议复核","已匹配"))</x:f>
        <x:v>未匹配（现有产业链范围未覆盖或证据不足）</x:v>
      </x:c>
      <x:c r="H695" s="26" t="str">
        <x:v>-</x:v>
      </x:c>
      <x:c r="I695" s="26" t="str"/>
      <x:c r="J695" s="26" t="str"/>
      <x:c r="K695" s="26" t="str">
        <x:v>漂染工作为服装/纺织/皮革行业中不可或缺的一环，承担着将原材料转化为成品的关键步骤之一。通过对布料进行漂白与染色处理，确保产品达到设计要求的颜色标准，是实现企业产品质量和美观度的重要保障。漂染工不仅需要具备专业的操作技能…</x:v>
      </x:c>
      <x:c r="L695" s="26" t="str">
        <x:v>1. 负责布料的预处理、漂白及染色工作，确保符合客户订单要求的颜色标准。 2. 定期维护保养设备，确保机器正常运行，预防因设备故障导致的生产延误。 3. 记录每次生产的数据，分析异常情况，提出改进建议，持续优化生产工艺流…</x:v>
      </x:c>
    </x:row>
    <x:row r="696" ht="72" customHeight="1">
      <x:c r="A696" s="25" t="n">
        <x:v>11588</x:v>
      </x:c>
      <x:c r="B696" s="25" t="str">
        <x:v>IC-L3-845</x:v>
      </x:c>
      <x:c r="C696" s="25" t="str">
        <x:v>纸样师/车板工</x:v>
      </x:c>
      <x:c r="D696" s="25" t="str">
        <x:v>6-23-01-01</x:v>
      </x:c>
      <x:c r="E696" s="25" t="str">
        <x:v>铁路机车制修工</x:v>
      </x:c>
      <x:c r="F696" s="28" t="n">
        <x:f>COUNTIF('岗位-产业节点关系'!$C$4:$C$709,B696)</x:f>
        <x:v>1</x:v>
      </x:c>
      <x:c r="G696" s="26" t="str">
        <x:f>IF(F696=0,"未匹配（现有产业链范围未覆盖或证据不足）",IF(COUNTIFS('岗位-产业节点关系'!$C$4:$C$709,B696,'岗位-产业节点关系'!$M$4:$M$709,"低")&gt;0,"已匹配，建议复核","已匹配"))</x:f>
        <x:v>已匹配，建议复核</x:v>
      </x:c>
      <x:c r="H696" s="26" t="str">
        <x:v>低</x:v>
      </x:c>
      <x:c r="I696" s="26" t="str">
        <x:v>ICN050</x:v>
      </x:c>
      <x:c r="J696" s="26" t="str">
        <x:v>纺织产业链/中游/纺纱织造、印染与面料制造</x:v>
      </x:c>
      <x:c r="K696" s="26" t="str">
        <x:v>纸样师/车板工是服装/纺织/皮革行业中不可或缺的技术人才，负责将设计师的创意转化为实际可生产的样品，确保产品的质量和外观符合设计要求。作为连接设计与生产的桥梁，他们不仅需要具备高超的手工艺技巧，还应拥有良好的审美观和创新…</x:v>
      </x:c>
      <x:c r="L696" s="26" t="str">
        <x:v>1. 根据设计师提供的图纸或实物样品，准确制作出符合标准的纸样及首件样品，确保尺寸、版型等细节精准无误。 2. 对现有产品进行改良优化，提高生产工艺效率，降低生产成本，缩短生产周期。 3. 及时解决生产过程中出现的技术问…</x:v>
      </x:c>
    </x:row>
    <x:row r="697" ht="72" customHeight="1">
      <x:c r="A697" s="25" t="n">
        <x:v>11589</x:v>
      </x:c>
      <x:c r="B697" s="25" t="str">
        <x:v>IC-L3-846</x:v>
      </x:c>
      <x:c r="C697" s="25" t="str">
        <x:v>纺织工</x:v>
      </x:c>
      <x:c r="D697" s="25" t="str">
        <x:v>6-23-01-01</x:v>
      </x:c>
      <x:c r="E697" s="25" t="str">
        <x:v>铁路机车制修工</x:v>
      </x:c>
      <x:c r="F697" s="28" t="n">
        <x:f>COUNTIF('岗位-产业节点关系'!$C$4:$C$709,B697)</x:f>
        <x:v>2</x:v>
      </x:c>
      <x:c r="G697" s="26" t="str">
        <x:f>IF(F697=0,"未匹配（现有产业链范围未覆盖或证据不足）",IF(COUNTIFS('岗位-产业节点关系'!$C$4:$C$709,B697,'岗位-产业节点关系'!$M$4:$M$709,"低")&gt;0,"已匹配，建议复核","已匹配"))</x:f>
        <x:v>已匹配，建议复核</x:v>
      </x:c>
      <x:c r="H697" s="26" t="str">
        <x:v>中</x:v>
      </x:c>
      <x:c r="I697" s="26" t="str">
        <x:v>ICN050、ICN005</x:v>
      </x:c>
      <x:c r="J697" s="26" t="str">
        <x:v>纺织产业链/中游/纺纱织造、印染与面料制造；高端装备与智能制造产业链/中游/高端装备制造与激光加工</x:v>
      </x:c>
      <x:c r="K697" s="26" t="str">
        <x:v>纺织工作为生产制造行业中服装/纺织/皮革领域的重要组成部分，是确保产品质量与生产效率的关键环节。纺织工不仅负责操作和维护各类纺织机械，还承担着从原材料处理到成品制作的一系列工序，其专业技能直接影响产品的最终质量。 纺织工…</x:v>
      </x:c>
      <x:c r="L697" s="26" t="str">
        <x:v>1. 负责纺织机械设备的日常操作与维护保养，确保机器正常运行，满足生产需求。 2. 根据生产计划安排，按时按量完成纺织品的加工制作，确保产品品质达到客户要求。 3. 记录生产数据，分析生产过程中出现的问题，提出改进建议，…</x:v>
      </x:c>
    </x:row>
    <x:row r="698" ht="72" customHeight="1">
      <x:c r="A698" s="25" t="n">
        <x:v>11590</x:v>
      </x:c>
      <x:c r="B698" s="25" t="str">
        <x:v>IC-L3-847</x:v>
      </x:c>
      <x:c r="C698" s="25" t="str">
        <x:v>细纱工</x:v>
      </x:c>
      <x:c r="D698" s="25" t="str">
        <x:v>6-23-01-01</x:v>
      </x:c>
      <x:c r="E698" s="25" t="str">
        <x:v>铁路机车制修工</x:v>
      </x:c>
      <x:c r="F698" s="28" t="n">
        <x:f>COUNTIF('岗位-产业节点关系'!$C$4:$C$709,B698)</x:f>
        <x:v>2</x:v>
      </x:c>
      <x:c r="G698" s="26" t="str">
        <x:f>IF(F698=0,"未匹配（现有产业链范围未覆盖或证据不足）",IF(COUNTIFS('岗位-产业节点关系'!$C$4:$C$709,B698,'岗位-产业节点关系'!$M$4:$M$709,"低")&gt;0,"已匹配，建议复核","已匹配"))</x:f>
        <x:v>已匹配，建议复核</x:v>
      </x:c>
      <x:c r="H698" s="26" t="str">
        <x:v>低</x:v>
      </x:c>
      <x:c r="I698" s="26" t="str">
        <x:v>ICN050、ICN005</x:v>
      </x:c>
      <x:c r="J698" s="26" t="str">
        <x:v>纺织产业链/中游/纺纱织造、印染与面料制造；高端装备与智能制造产业链/中游/高端装备制造与激光加工</x:v>
      </x:c>
      <x:c r="K698" s="26" t="str">
        <x:v>细纱工是生产制造行业中服装/纺织/皮革领域不可或缺的一环，他们负责将原棉或其他纤维材料加工成细纱，确保后续织造工序的顺利进行。作为生产线上关键的技术岗位，细纱工对于提升产品质量、降低生产成本以及提高生产效率具有至关重要的…</x:v>
      </x:c>
      <x:c r="L698" s="26" t="str">
        <x:v>1. 负责细纱机的操作与日常保养，确保设备正常运行并按时完成生产任务。 2. 严格按照工艺要求和标准操作规程执行纺纱作业，保证所产细纱符合客户订单需求。 3. 定期检查原料质量，发现异常及时向上级汇报并采取相应措施。 4…</x:v>
      </x:c>
    </x:row>
    <x:row r="699" ht="72" customHeight="1">
      <x:c r="A699" s="25" t="n">
        <x:v>11591</x:v>
      </x:c>
      <x:c r="B699" s="25" t="str">
        <x:v>IC-L3-848</x:v>
      </x:c>
      <x:c r="C699" s="25" t="str">
        <x:v>缝纫工</x:v>
      </x:c>
      <x:c r="D699" s="25" t="str">
        <x:v>6-23-01-01</x:v>
      </x:c>
      <x:c r="E699" s="25" t="str">
        <x:v>铁路机车制修工</x:v>
      </x:c>
      <x:c r="F699" s="28" t="n">
        <x:f>COUNTIF('岗位-产业节点关系'!$C$4:$C$709,B699)</x:f>
        <x:v>1</x:v>
      </x:c>
      <x:c r="G699" s="26" t="str">
        <x:f>IF(F699=0,"未匹配（现有产业链范围未覆盖或证据不足）",IF(COUNTIFS('岗位-产业节点关系'!$C$4:$C$709,B699,'岗位-产业节点关系'!$M$4:$M$709,"低")&gt;0,"已匹配，建议复核","已匹配"))</x:f>
        <x:v>已匹配，建议复核</x:v>
      </x:c>
      <x:c r="H699" s="26" t="str">
        <x:v>低</x:v>
      </x:c>
      <x:c r="I699" s="26" t="str">
        <x:v>ICN050</x:v>
      </x:c>
      <x:c r="J699" s="26" t="str">
        <x:v>纺织产业链/中游/纺纱织造、印染与面料制造</x:v>
      </x:c>
      <x:c r="K699" s="26" t="str">
        <x:v>缝纫工作为服装/纺织/皮革行业中不可或缺的一环，负责将各种面料通过精湛的技艺加工成成品，确保产品符合设计要求与质量标准。缝纫工不仅是生产线上的核心力量，更是企业品质保证的关键所在，其技术能力直接影响到产品的美观度及耐用性…</x:v>
      </x:c>
      <x:c r="L699" s="26" t="str">
        <x:v>1. 根据设计图纸及生产计划，准确无误地进行裁剪、缝合等操作，确保每一件产品都符合既定的质量标准。 2. 在生产过程中严格执行安全生产规范，注意个人防护措施，维护工作环境整洁有序。 3. 积极配合团队完成各项生产指标，遇…</x:v>
      </x:c>
    </x:row>
    <x:row r="700" ht="72" customHeight="1">
      <x:c r="A700" s="25" t="n">
        <x:v>11592</x:v>
      </x:c>
      <x:c r="B700" s="25" t="str">
        <x:v>IC-L3-849</x:v>
      </x:c>
      <x:c r="C700" s="25" t="str">
        <x:v>裁剪工</x:v>
      </x:c>
      <x:c r="D700" s="25" t="str">
        <x:v>6-23-01-01</x:v>
      </x:c>
      <x:c r="E700" s="25" t="str">
        <x:v>铁路机车制修工</x:v>
      </x:c>
      <x:c r="F700" s="28" t="n">
        <x:f>COUNTIF('岗位-产业节点关系'!$C$4:$C$709,B700)</x:f>
        <x:v>1</x:v>
      </x:c>
      <x:c r="G700" s="26" t="str">
        <x:f>IF(F700=0,"未匹配（现有产业链范围未覆盖或证据不足）",IF(COUNTIFS('岗位-产业节点关系'!$C$4:$C$709,B700,'岗位-产业节点关系'!$M$4:$M$709,"低")&gt;0,"已匹配，建议复核","已匹配"))</x:f>
        <x:v>已匹配，建议复核</x:v>
      </x:c>
      <x:c r="H700" s="26" t="str">
        <x:v>低</x:v>
      </x:c>
      <x:c r="I700" s="26" t="str">
        <x:v>ICN050</x:v>
      </x:c>
      <x:c r="J700" s="26" t="str">
        <x:v>纺织产业链/中游/纺纱织造、印染与面料制造</x:v>
      </x:c>
      <x:c r="K700" s="26" t="str">
        <x:v>裁剪工作为服装/纺织/皮革行业中不可或缺的一环，是连接设计与成品生产的关键步骤。裁剪工通过对布料等原材料进行精准切割，确保每一件产品都能达到设计要求和质量标准，对于提升品牌形象及市场竞争力有着重要作用。他们不仅是设计师创…</x:v>
      </x:c>
      <x:c r="L700" s="26" t="str">
        <x:v>1. 根据设计图纸或样品要求，使用专业设备对各种面料进行精确裁剪，保证裁片尺寸、形状符合规定。 2. 优化裁剪方案，合理安排裁剪顺序，尽量减少物料损耗，提高材料利用率。 3. 定期维护保养裁剪工具及机器，确保其处于良好工…</x:v>
      </x:c>
    </x:row>
    <x:row r="701" ht="72" customHeight="1">
      <x:c r="A701" s="25" t="n">
        <x:v>11593</x:v>
      </x:c>
      <x:c r="B701" s="25" t="str">
        <x:v>IC-L3-850</x:v>
      </x:c>
      <x:c r="C701" s="25" t="str">
        <x:v>裁床</x:v>
      </x:c>
      <x:c r="D701" s="25" t="str">
        <x:v>6-23-01-01</x:v>
      </x:c>
      <x:c r="E701" s="25" t="str">
        <x:v>铁路机车制修工</x:v>
      </x:c>
      <x:c r="F701" s="28" t="n">
        <x:f>COUNTIF('岗位-产业节点关系'!$C$4:$C$709,B701)</x:f>
        <x:v>0</x:v>
      </x:c>
      <x:c r="G701" s="26" t="str">
        <x:f>IF(F701=0,"未匹配（现有产业链范围未覆盖或证据不足）",IF(COUNTIFS('岗位-产业节点关系'!$C$4:$C$709,B701,'岗位-产业节点关系'!$M$4:$M$709,"低")&gt;0,"已匹配，建议复核","已匹配"))</x:f>
        <x:v>未匹配（现有产业链范围未覆盖或证据不足）</x:v>
      </x:c>
      <x:c r="H701" s="26" t="str">
        <x:v>-</x:v>
      </x:c>
      <x:c r="I701" s="26" t="str"/>
      <x:c r="J701" s="26" t="str"/>
      <x:c r="K701" s="26" t="str">
        <x:v>裁床作为服装/纺织/皮革行业中不可或缺的一环，主要负责将布料或皮革等原材料按照设计图纸精确裁剪成所需形状与尺寸，是产品从设计概念向实物转变的关键步骤。通过精准的裁剪，不仅能够确保成品的质量，还能有效提高材料利用率，减少浪…</x:v>
      </x:c>
      <x:c r="L701" s="26" t="str">
        <x:v>1. 根据设计师提供的样版图及生产计划，使用专业设备（如自动裁床机）准确无误地完成裁剪任务，确保裁片规格符合要求。 2. 定期检查裁剪设备的运行状态，及时进行维护保养，预防故障发生，保障生产的连续性和效率。 3. 与采购…</x:v>
      </x:c>
    </x:row>
    <x:row r="702" ht="72" customHeight="1">
      <x:c r="A702" s="25" t="n">
        <x:v>11594</x:v>
      </x:c>
      <x:c r="B702" s="25" t="str">
        <x:v>IC-L3-851</x:v>
      </x:c>
      <x:c r="C702" s="25" t="str">
        <x:v>针织工</x:v>
      </x:c>
      <x:c r="D702" s="25" t="str">
        <x:v>6-23-01-01</x:v>
      </x:c>
      <x:c r="E702" s="25" t="str">
        <x:v>铁路机车制修工</x:v>
      </x:c>
      <x:c r="F702" s="28" t="n">
        <x:f>COUNTIF('岗位-产业节点关系'!$C$4:$C$709,B702)</x:f>
        <x:v>0</x:v>
      </x:c>
      <x:c r="G702" s="26" t="str">
        <x:f>IF(F702=0,"未匹配（现有产业链范围未覆盖或证据不足）",IF(COUNTIFS('岗位-产业节点关系'!$C$4:$C$709,B702,'岗位-产业节点关系'!$M$4:$M$709,"低")&gt;0,"已匹配，建议复核","已匹配"))</x:f>
        <x:v>未匹配（现有产业链范围未覆盖或证据不足）</x:v>
      </x:c>
      <x:c r="H702" s="26" t="str">
        <x:v>-</x:v>
      </x:c>
      <x:c r="I702" s="26" t="str"/>
      <x:c r="J702" s="26" t="str"/>
      <x:c r="K702" s="26" t="str">
        <x:v>针织工是生产制造行业中服装/纺织/皮革领域不可或缺的角色之一，他们负责操作和维护针织设备，确保生产的顺利进行，是连接设计与成品的重要桥梁。作为针织工，其核心目标在于高效准确地完成生产任务，同时保证产品质量符合标准，通过精…</x:v>
      </x:c>
      <x:c r="L702" s="26" t="str">
        <x:v>1. 负责日常的开机前检查，确保机器处于良好状态，预防故障发生，保障生产安全。 2. 根据生产计划及图纸要求，正确设置参数并操作针织机，按时按质完成生产任务。 3. 在生产过程中持续监控产品品质，发现异常及时调整或报告上…</x:v>
      </x:c>
    </x:row>
    <x:row r="703" ht="72" customHeight="1">
      <x:c r="A703" s="25" t="n">
        <x:v>11595</x:v>
      </x:c>
      <x:c r="B703" s="25" t="str">
        <x:v>IC-L3-852</x:v>
      </x:c>
      <x:c r="C703" s="25" t="str">
        <x:v>面料辅料开发</x:v>
      </x:c>
      <x:c r="D703" s="25" t="str">
        <x:v>6-23-01-01</x:v>
      </x:c>
      <x:c r="E703" s="25" t="str">
        <x:v>铁路机车制修工</x:v>
      </x:c>
      <x:c r="F703" s="28" t="n">
        <x:f>COUNTIF('岗位-产业节点关系'!$C$4:$C$709,B703)</x:f>
        <x:v>1</x:v>
      </x:c>
      <x:c r="G703" s="26" t="str">
        <x:f>IF(F703=0,"未匹配（现有产业链范围未覆盖或证据不足）",IF(COUNTIFS('岗位-产业节点关系'!$C$4:$C$709,B703,'岗位-产业节点关系'!$M$4:$M$709,"低")&gt;0,"已匹配，建议复核","已匹配"))</x:f>
        <x:v>已匹配</x:v>
      </x:c>
      <x:c r="H703" s="26" t="str">
        <x:v>中</x:v>
      </x:c>
      <x:c r="I703" s="26" t="str">
        <x:v>ICN050</x:v>
      </x:c>
      <x:c r="J703" s="26" t="str">
        <x:v>纺织产业链/中游/纺纱织造、印染与面料制造</x:v>
      </x:c>
      <x:c r="K703" s="26" t="str">
        <x:v>面料辅料开发是服装/纺织/皮革行业中至关重要的环节，负责新面料与辅料的研发，以满足市场需求并推动产品创新。作为连接设计、生产和市场的重要桥梁，该职位不仅需要具备扎实的专业知识，还需要敏锐的市场洞察力和创新能力。 该职位的…</x:v>
      </x:c>
      <x:c r="L703" s="26" t="str">
        <x:v>1. 负责收集国内外最新的面料辅料信息，分析流行趋势，提出创新性的研发方案，以适应市场变化。 2. 与设计团队合作，针对不同产品系列进行面料辅料的选择与搭配，确保设计方案的可行性与独特性。 3. 定期与供应商交流，评估其…</x:v>
      </x:c>
    </x:row>
    <x:row r="704" ht="72" customHeight="1">
      <x:c r="A704" s="25" t="n">
        <x:v>11596</x:v>
      </x:c>
      <x:c r="B704" s="25" t="str">
        <x:v>IC-L3-853</x:v>
      </x:c>
      <x:c r="C704" s="25" t="str">
        <x:v>面料辅料采购</x:v>
      </x:c>
      <x:c r="D704" s="25" t="str">
        <x:v>6-23-01-01</x:v>
      </x:c>
      <x:c r="E704" s="25" t="str">
        <x:v>铁路机车制修工</x:v>
      </x:c>
      <x:c r="F704" s="28" t="n">
        <x:f>COUNTIF('岗位-产业节点关系'!$C$4:$C$709,B704)</x:f>
        <x:v>1</x:v>
      </x:c>
      <x:c r="G704" s="26" t="str">
        <x:f>IF(F704=0,"未匹配（现有产业链范围未覆盖或证据不足）",IF(COUNTIFS('岗位-产业节点关系'!$C$4:$C$709,B704,'岗位-产业节点关系'!$M$4:$M$709,"低")&gt;0,"已匹配，建议复核","已匹配"))</x:f>
        <x:v>已匹配</x:v>
      </x:c>
      <x:c r="H704" s="26" t="str">
        <x:v>中</x:v>
      </x:c>
      <x:c r="I704" s="26" t="str">
        <x:v>ICN050</x:v>
      </x:c>
      <x:c r="J704" s="26" t="str">
        <x:v>纺织产业链/中游/纺纱织造、印染与面料制造</x:v>
      </x:c>
      <x:c r="K704" s="26" t="str">
        <x:v>面料辅料采购是服装/纺织/皮革行业中不可或缺的关键岗位之一，负责确保生产所需的各类原材料质量可靠、价格合理且供应稳定。作为连接供应商与制造商之间的桥梁，该职位对于维护公司良好声誉及促进业务增长至关重要。 本职位的主要目标…</x:v>
      </x:c>
      <x:c r="L704" s="26" t="str">
        <x:v>1. 根据生产计划，定期进行市场调研，寻找并评估潜在供应商，确保所采购的面料及辅料符合公司标准。 2. 与现有供应商保持良好沟通，协商价格、交货期等条款，确保按时按质完成采购任务。 3. 跟踪订单执行情况，监控库存水平，…</x:v>
      </x:c>
    </x:row>
    <x:row r="705" ht="72" customHeight="1">
      <x:c r="A705" s="25" t="n">
        <x:v>11597</x:v>
      </x:c>
      <x:c r="B705" s="25" t="str">
        <x:v>IC-L3-854</x:v>
      </x:c>
      <x:c r="C705" s="25" t="str">
        <x:v>CNC/数控操机</x:v>
      </x:c>
      <x:c r="D705" s="25" t="str">
        <x:v>6-31-01-01</x:v>
      </x:c>
      <x:c r="E705" s="25" t="str">
        <x:v>设备点检员</x:v>
      </x:c>
      <x:c r="F705" s="28" t="n">
        <x:f>COUNTIF('岗位-产业节点关系'!$C$4:$C$709,B705)</x:f>
        <x:v>1</x:v>
      </x:c>
      <x:c r="G705" s="26" t="str">
        <x:f>IF(F705=0,"未匹配（现有产业链范围未覆盖或证据不足）",IF(COUNTIFS('岗位-产业节点关系'!$C$4:$C$709,B705,'岗位-产业节点关系'!$M$4:$M$709,"低")&gt;0,"已匹配，建议复核","已匹配"))</x:f>
        <x:v>已匹配</x:v>
      </x:c>
      <x:c r="H705" s="26" t="str">
        <x:v>中</x:v>
      </x:c>
      <x:c r="I705" s="26" t="str">
        <x:v>ICN005</x:v>
      </x:c>
      <x:c r="J705" s="26" t="str">
        <x:v>高端装备与智能制造产业链/中游/高端装备制造与激光加工</x:v>
      </x:c>
      <x:c r="K705" s="26" t="str">
        <x:v>CNC/数控操机是生产制造行业中机械加工领域的重要角色，主要负责操作数控机床进行精密加工，确保产品质量符合标准。这一职位不仅需要具备扎实的专业技能，还需要有良好的责任心和细致的工作态度，以适应快速变化的生产需求和技术革新…</x:v>
      </x:c>
      <x:c r="L705" s="26" t="str">
        <x:v>1. 根据图纸要求设置并调整数控机床的各项参数，确保加工精度达到规定标准。 2. 对加工过程中出现的问题及时作出判断与处理，采取有效措施防止不良品产生。 3. 定期检查和维护所使用的机械设备，记录设备运行状态，预防故障发…</x:v>
      </x:c>
    </x:row>
    <x:row r="706" ht="72" customHeight="1">
      <x:c r="A706" s="25" t="n">
        <x:v>11598</x:v>
      </x:c>
      <x:c r="B706" s="25" t="str">
        <x:v>IC-L3-855</x:v>
      </x:c>
      <x:c r="C706" s="25" t="str">
        <x:v>氩弧焊工</x:v>
      </x:c>
      <x:c r="D706" s="25" t="str">
        <x:v>6-31-01-01</x:v>
      </x:c>
      <x:c r="E706" s="25" t="str">
        <x:v>设备点检员</x:v>
      </x:c>
      <x:c r="F706" s="28" t="n">
        <x:f>COUNTIF('岗位-产业节点关系'!$C$4:$C$709,B706)</x:f>
        <x:v>1</x:v>
      </x:c>
      <x:c r="G706" s="26" t="str">
        <x:f>IF(F706=0,"未匹配（现有产业链范围未覆盖或证据不足）",IF(COUNTIFS('岗位-产业节点关系'!$C$4:$C$709,B706,'岗位-产业节点关系'!$M$4:$M$709,"低")&gt;0,"已匹配，建议复核","已匹配"))</x:f>
        <x:v>已匹配，建议复核</x:v>
      </x:c>
      <x:c r="H706" s="26" t="str">
        <x:v>低</x:v>
      </x:c>
      <x:c r="I706" s="26" t="str">
        <x:v>ICN005</x:v>
      </x:c>
      <x:c r="J706" s="26" t="str">
        <x:v>高端装备与智能制造产业链/中游/高端装备制造与激光加工</x:v>
      </x:c>
      <x:c r="K706" s="26" t="str">
        <x:v>氩弧焊工是生产制造行业中不可或缺的技术人员，特别是在机械加工领域中扮演着关键角色。通过精确的焊接技术，确保产品的结构强度和耐用性，从而满足高质量标准的要求。氩弧焊工不仅需要具备扎实的专业技能，还应具有良好的安全意识和责任…</x:v>
      </x:c>
      <x:c r="L706" s="26" t="str">
        <x:v>1. 根据图纸要求及技术规范，准确无误地进行氩弧焊接作业，确保焊缝质量达到标准。 2. 对焊接设备进行日常维护保养，定期检查工具、耗材的状态，确保其处于良好状态。 3. 参与产品质量问题分析会议，提出改进建议，协助改善焊…</x:v>
      </x:c>
    </x:row>
    <x:row r="707" ht="72" customHeight="1">
      <x:c r="A707" s="25" t="n">
        <x:v>11599</x:v>
      </x:c>
      <x:c r="B707" s="25" t="str">
        <x:v>IC-L3-856</x:v>
      </x:c>
      <x:c r="C707" s="25" t="str">
        <x:v>焊工</x:v>
      </x:c>
      <x:c r="D707" s="25" t="str">
        <x:v>6-31-01-01</x:v>
      </x:c>
      <x:c r="E707" s="25" t="str">
        <x:v>设备点检员</x:v>
      </x:c>
      <x:c r="F707" s="28" t="n">
        <x:f>COUNTIF('岗位-产业节点关系'!$C$4:$C$709,B707)</x:f>
        <x:v>1</x:v>
      </x:c>
      <x:c r="G707" s="26" t="str">
        <x:f>IF(F707=0,"未匹配（现有产业链范围未覆盖或证据不足）",IF(COUNTIFS('岗位-产业节点关系'!$C$4:$C$709,B707,'岗位-产业节点关系'!$M$4:$M$709,"低")&gt;0,"已匹配，建议复核","已匹配"))</x:f>
        <x:v>已匹配，建议复核</x:v>
      </x:c>
      <x:c r="H707" s="26" t="str">
        <x:v>低</x:v>
      </x:c>
      <x:c r="I707" s="26" t="str">
        <x:v>ICN005</x:v>
      </x:c>
      <x:c r="J707" s="26" t="str">
        <x:v>高端装备与智能制造产业链/中游/高端装备制造与激光加工</x:v>
      </x:c>
      <x:c r="K707" s="26" t="str">
        <x:v>焊工作为生产制造行业中不可或缺的一环，特别是在机械加工领域，其技术对于确保产品质量和安全至关重要。焊工不仅负责将金属部件牢固地连接在一起，而且还需要具备识别不同材料特性的能力，以选择合适的焊接方法和技术，确保成品的耐久性…</x:v>
      </x:c>
      <x:c r="L707" s="26" t="str">
        <x:v>1. 根据生产计划和图纸要求，准确执行各种焊接作业，确保焊接质量和效率。 2. 对焊接设备进行日常维护保养，及时发现并上报设备故障，保障设备正常运转。 3. 严格遵守安全生产规范，采取有效措施预防焊接过程中的安全事故。 …</x:v>
      </x:c>
    </x:row>
    <x:row r="708" ht="72" customHeight="1">
      <x:c r="A708" s="25" t="n">
        <x:v>11600</x:v>
      </x:c>
      <x:c r="B708" s="25" t="str">
        <x:v>IC-L3-857</x:v>
      </x:c>
      <x:c r="C708" s="25" t="str">
        <x:v>车工</x:v>
      </x:c>
      <x:c r="D708" s="25" t="str">
        <x:v>2-02-07-11</x:v>
      </x:c>
      <x:c r="E708" s="25" t="str">
        <x:v>汽车工程技术人员</x:v>
      </x:c>
      <x:c r="F708" s="28" t="n">
        <x:f>COUNTIF('岗位-产业节点关系'!$C$4:$C$709,B708)</x:f>
        <x:v>1</x:v>
      </x:c>
      <x:c r="G708" s="26" t="str">
        <x:f>IF(F708=0,"未匹配（现有产业链范围未覆盖或证据不足）",IF(COUNTIFS('岗位-产业节点关系'!$C$4:$C$709,B708,'岗位-产业节点关系'!$M$4:$M$709,"低")&gt;0,"已匹配，建议复核","已匹配"))</x:f>
        <x:v>已匹配</x:v>
      </x:c>
      <x:c r="H708" s="26" t="str">
        <x:v>中</x:v>
      </x:c>
      <x:c r="I708" s="26" t="str">
        <x:v>ICN005</x:v>
      </x:c>
      <x:c r="J708" s="26" t="str">
        <x:v>高端装备与智能制造产业链/中游/高端装备制造与激光加工</x:v>
      </x:c>
      <x:c r="K708" s="26" t="str">
        <x:v>车工是生产制造行业中不可或缺的技术工种之一，尤其在机械加工领域扮演着核心角色。通过操作车床等设备进行零件的精确加工，确保产品符合设计要求和质量标准，是保障企业生产效率与产品质量的关键力量。 该职位的核心目标在于利用高精度…</x:v>
      </x:c>
      <x:c r="L708" s="26" t="str">
        <x:v>1. 根据产品图纸及工艺文件要求，熟练操作车床完成零件的车削、钻孔、攻丝等工作，确保加工精度满足标准。 2. 定期维护保养所使用的机床设备，检查刀具磨损情况并及时更换，保证生产过程的安全稳定运行。 3. 记录生产数据，填…</x:v>
      </x:c>
    </x:row>
    <x:row r="709" ht="72" customHeight="1">
      <x:c r="A709" s="25" t="n">
        <x:v>11601</x:v>
      </x:c>
      <x:c r="B709" s="25" t="str">
        <x:v>IC-L3-858</x:v>
      </x:c>
      <x:c r="C709" s="25" t="str">
        <x:v>钳工</x:v>
      </x:c>
      <x:c r="D709" s="25" t="str">
        <x:v>6-31-01-01</x:v>
      </x:c>
      <x:c r="E709" s="25" t="str">
        <x:v>设备点检员</x:v>
      </x:c>
      <x:c r="F709" s="28" t="n">
        <x:f>COUNTIF('岗位-产业节点关系'!$C$4:$C$709,B709)</x:f>
        <x:v>1</x:v>
      </x:c>
      <x:c r="G709" s="26" t="str">
        <x:f>IF(F709=0,"未匹配（现有产业链范围未覆盖或证据不足）",IF(COUNTIFS('岗位-产业节点关系'!$C$4:$C$709,B709,'岗位-产业节点关系'!$M$4:$M$709,"低")&gt;0,"已匹配，建议复核","已匹配"))</x:f>
        <x:v>已匹配</x:v>
      </x:c>
      <x:c r="H709" s="26" t="str">
        <x:v>中</x:v>
      </x:c>
      <x:c r="I709" s="26" t="str">
        <x:v>ICN005</x:v>
      </x:c>
      <x:c r="J709" s="26" t="str">
        <x:v>高端装备与智能制造产业链/中游/高端装备制造与激光加工</x:v>
      </x:c>
      <x:c r="K709" s="26" t="str">
        <x:v>钳工是生产制造行业中不可或缺的技术岗位之一，尤其在机械加工领域，其专业技能对于确保产品质量和生产效率至关重要。作为一线操作人员，钳工通过精确的零件加工和组装，不仅能够直接提升产品的性能，还能有效降低生产成本，增强企业在市…</x:v>
      </x:c>
      <x:c r="L709" s="26" t="str">
        <x:v>1. 负责按照图纸和技术要求进行金属材料的切割、钻孔、锉削等加工工作，确保尺寸精度和表面质量符合标准。 2. 完成零部件的装配调试任务，及时发现并处理装配过程中的问题，保证设备运行正常。 3. 对所使用的工具、量具进行日…</x:v>
      </x:c>
    </x:row>
    <x:row r="710" ht="72" customHeight="1">
      <x:c r="A710" s="25" t="n">
        <x:v>11602</x:v>
      </x:c>
      <x:c r="B710" s="25" t="str">
        <x:v>IC-L3-859</x:v>
      </x:c>
      <x:c r="C710" s="25" t="str">
        <x:v>钻工</x:v>
      </x:c>
      <x:c r="D710" s="25" t="str">
        <x:v>6-31-01-01</x:v>
      </x:c>
      <x:c r="E710" s="25" t="str">
        <x:v>设备点检员</x:v>
      </x:c>
      <x:c r="F710" s="28" t="n">
        <x:f>COUNTIF('岗位-产业节点关系'!$C$4:$C$709,B710)</x:f>
        <x:v>1</x:v>
      </x:c>
      <x:c r="G710" s="26" t="str">
        <x:f>IF(F710=0,"未匹配（现有产业链范围未覆盖或证据不足）",IF(COUNTIFS('岗位-产业节点关系'!$C$4:$C$709,B710,'岗位-产业节点关系'!$M$4:$M$709,"低")&gt;0,"已匹配，建议复核","已匹配"))</x:f>
        <x:v>已匹配</x:v>
      </x:c>
      <x:c r="H710" s="26" t="str">
        <x:v>中</x:v>
      </x:c>
      <x:c r="I710" s="26" t="str">
        <x:v>ICN005</x:v>
      </x:c>
      <x:c r="J710" s="26" t="str">
        <x:v>高端装备与智能制造产业链/中游/高端装备制造与激光加工</x:v>
      </x:c>
      <x:c r="K710" s="26" t="str">
        <x:v>钻工是生产制造行业中机械加工领域不可或缺的关键角色。在制造过程中，钻工负责使用各种钻床设备进行精密打孔作业，确保产品符合设计要求和技术标准，其工作质量直接影响到最终产品的性能和安全性。此外，钻工还需要具备一定的技术知识与…</x:v>
      </x:c>
      <x:c r="L710" s="26" t="str">
        <x:v>1. 根据图纸及工艺文件的要求，熟练操作钻床完成零件的钻孔、扩孔、锪孔等工作，确保尺寸准确无误。 2. 定期检查维护所使用的机械设备，及时发现并排除故障，保障生产安全平稳运行。 3. 记录生产过程中的各项数据，如加工时间…</x:v>
      </x:c>
    </x:row>
    <x:row r="711" ht="72" customHeight="1">
      <x:c r="A711" s="25" t="n">
        <x:v>11603</x:v>
      </x:c>
      <x:c r="B711" s="25" t="str">
        <x:v>IC-L3-860</x:v>
      </x:c>
      <x:c r="C711" s="25" t="str">
        <x:v>铣工</x:v>
      </x:c>
      <x:c r="D711" s="25" t="str">
        <x:v>6-31-01-01</x:v>
      </x:c>
      <x:c r="E711" s="25" t="str">
        <x:v>设备点检员</x:v>
      </x:c>
      <x:c r="F711" s="28" t="n">
        <x:f>COUNTIF('岗位-产业节点关系'!$C$4:$C$709,B711)</x:f>
        <x:v>1</x:v>
      </x:c>
      <x:c r="G711" s="26" t="str">
        <x:f>IF(F711=0,"未匹配（现有产业链范围未覆盖或证据不足）",IF(COUNTIFS('岗位-产业节点关系'!$C$4:$C$709,B711,'岗位-产业节点关系'!$M$4:$M$709,"低")&gt;0,"已匹配，建议复核","已匹配"))</x:f>
        <x:v>已匹配</x:v>
      </x:c>
      <x:c r="H711" s="26" t="str">
        <x:v>中</x:v>
      </x:c>
      <x:c r="I711" s="26" t="str">
        <x:v>ICN005</x:v>
      </x:c>
      <x:c r="J711" s="26" t="str">
        <x:v>高端装备与智能制造产业链/中游/高端装备制造与激光加工</x:v>
      </x:c>
      <x:c r="K711" s="26" t="str">
        <x:v>铣工是生产制造行业中不可或缺的专业技术人才，特别是在机械加工领域，他们通过精密操作各种铣床设备来实现产品的精确加工，确保产品质量与生产效率。该职位不仅要求具备扎实的理论基础，还需要丰富的实践经验，能够灵活应对生产过程中的…</x:v>
      </x:c>
      <x:c r="L711" s="26" t="str">
        <x:v>1. 根据生产计划安排，正确选择并安装相应的刀具、夹具，调整机床参数，进行高效稳定的铣削作业。 2. 严格按照图纸和技术规范要求，执行零件的精确定位、装夹、切削等工序，确保加工精度和表面质量符合标准。 3. 定期维护保养…</x:v>
      </x:c>
    </x:row>
    <x:row r="712" ht="72" customHeight="1">
      <x:c r="A712" s="25" t="n">
        <x:v>11604</x:v>
      </x:c>
      <x:c r="B712" s="25" t="str">
        <x:v>IC-L3-861</x:v>
      </x:c>
      <x:c r="C712" s="25" t="str">
        <x:v>化验员</x:v>
      </x:c>
      <x:c r="D712" s="25" t="str">
        <x:v>6-31-01-01</x:v>
      </x:c>
      <x:c r="E712" s="25" t="str">
        <x:v>设备点检员</x:v>
      </x:c>
      <x:c r="F712" s="28" t="n">
        <x:f>COUNTIF('岗位-产业节点关系'!$C$4:$C$709,B712)</x:f>
        <x:v>0</x:v>
      </x:c>
      <x:c r="G712" s="26" t="str">
        <x:f>IF(F712=0,"未匹配（现有产业链范围未覆盖或证据不足）",IF(COUNTIFS('岗位-产业节点关系'!$C$4:$C$709,B712,'岗位-产业节点关系'!$M$4:$M$709,"低")&gt;0,"已匹配，建议复核","已匹配"))</x:f>
        <x:v>未匹配（现有产业链范围未覆盖或证据不足）</x:v>
      </x:c>
      <x:c r="H712" s="26" t="str">
        <x:v>-</x:v>
      </x:c>
      <x:c r="I712" s="26" t="str"/>
      <x:c r="J712" s="26" t="str"/>
      <x:c r="K712" s="26" t="str">
        <x:v>化验员是生产制造行业中不可或缺的角色，负责确保产品的质量和安全性。他们通过精确的化学分析和物理测试，帮助公司遵守国家法规和行业标准，从而增强客户信任度和市场竞争力。作为生产流程中的关键环节，化验员的工作直接关系到最终产品…</x:v>
      </x:c>
      <x:c r="L712" s="26" t="str">
        <x:v>1. 负责原材料、半成品及成品的取样工作，确保样品代表性，为后续检验提供可靠依据。 2. 运用专业仪器设备进行样品的化学成分分析和物理性能测试，记录数据并出具准确无误的检测报告。 3. 对检测过程中出现的异常情况迅速作出…</x:v>
      </x:c>
    </x:row>
    <x:row r="713" ht="72" customHeight="1">
      <x:c r="A713" s="25" t="n">
        <x:v>11605</x:v>
      </x:c>
      <x:c r="B713" s="25" t="str">
        <x:v>IC-L3-862</x:v>
      </x:c>
      <x:c r="C713" s="25" t="str">
        <x:v>工厂经理/厂长</x:v>
      </x:c>
      <x:c r="D713" s="25" t="str">
        <x:v>6-31-01-01</x:v>
      </x:c>
      <x:c r="E713" s="25" t="str">
        <x:v>设备点检员</x:v>
      </x:c>
      <x:c r="F713" s="28" t="n">
        <x:f>COUNTIF('岗位-产业节点关系'!$C$4:$C$709,B713)</x:f>
        <x:v>0</x:v>
      </x:c>
      <x:c r="G713" s="26" t="str">
        <x:f>IF(F713=0,"未匹配（现有产业链范围未覆盖或证据不足）",IF(COUNTIFS('岗位-产业节点关系'!$C$4:$C$709,B713,'岗位-产业节点关系'!$M$4:$M$709,"低")&gt;0,"已匹配，建议复核","已匹配"))</x:f>
        <x:v>未匹配（现有产业链范围未覆盖或证据不足）</x:v>
      </x:c>
      <x:c r="H713" s="26" t="str">
        <x:v>-</x:v>
      </x:c>
      <x:c r="I713" s="26" t="str"/>
      <x:c r="J713" s="26" t="str"/>
      <x:c r="K713" s="26" t="str">
        <x:v>工厂经理/厂长是生产制造行业中至关重要的管理角色，负责监督和指导整个生产过程，确保产品质量与生产效率达到最高标准。作为工厂的领导核心，他们不仅需要具备深厚的行业知识，还需要拥有卓越的管理能力和决策力，以应对各种复杂的生产…</x:v>
      </x:c>
      <x:c r="L713" s="26" t="str">
        <x:v>1. 制定并实施生产计划，确保按时完成订单任务，同时维持高水平的产品质量和生产效率。 2. 监控生产成本，采取有效措施减少浪费，提高资源利用率，以实现成本控制目标。 3. 协调各部门之间的沟通与合作，解决生产过程中出现的…</x:v>
      </x:c>
    </x:row>
    <x:row r="714" ht="72" customHeight="1">
      <x:c r="A714" s="25" t="n">
        <x:v>11606</x:v>
      </x:c>
      <x:c r="B714" s="25" t="str">
        <x:v>IC-L3-863</x:v>
      </x:c>
      <x:c r="C714" s="25" t="str">
        <x:v>总工程师/副总工程师</x:v>
      </x:c>
      <x:c r="D714" s="25" t="str">
        <x:v>6-31-01-01</x:v>
      </x:c>
      <x:c r="E714" s="25" t="str">
        <x:v>设备点检员</x:v>
      </x:c>
      <x:c r="F714" s="28" t="n">
        <x:f>COUNTIF('岗位-产业节点关系'!$C$4:$C$709,B714)</x:f>
        <x:v>0</x:v>
      </x:c>
      <x:c r="G714" s="26" t="str">
        <x:f>IF(F714=0,"未匹配（现有产业链范围未覆盖或证据不足）",IF(COUNTIFS('岗位-产业节点关系'!$C$4:$C$709,B714,'岗位-产业节点关系'!$M$4:$M$709,"低")&gt;0,"已匹配，建议复核","已匹配"))</x:f>
        <x:v>未匹配（现有产业链范围未覆盖或证据不足）</x:v>
      </x:c>
      <x:c r="H714" s="26" t="str">
        <x:v>-</x:v>
      </x:c>
      <x:c r="I714" s="26" t="str"/>
      <x:c r="J714" s="26" t="str"/>
      <x:c r="K714" s="26" t="str">
        <x:v>总工程师/副总工程师是生产制造行业中至关重要的高级技术管理职位，主要负责企业技术战略的制定与实施，确保产品从设计到生产的全过程高效、高质量地进行。作为企业的技术领导者，总工程师/副总工程师不仅需要具备深厚的专业知识和技术…</x:v>
      </x:c>
      <x:c r="L714" s="26" t="str">
        <x:v>1. 负责公司技术发展战略的规划与执行，指导并监督各部门完成技术改进项目，确保技术方案符合行业标准及客户需求。 2. 组织开展新产品的开发工作，从概念设计到量产阶段全程参与，确保产品性能达到预期目标，同时控制成本，提高市…</x:v>
      </x:c>
    </x:row>
    <x:row r="715" ht="72" customHeight="1">
      <x:c r="A715" s="25" t="n">
        <x:v>11607</x:v>
      </x:c>
      <x:c r="B715" s="25" t="str">
        <x:v>IC-L3-864</x:v>
      </x:c>
      <x:c r="C715" s="25" t="str">
        <x:v>机械项目管理</x:v>
      </x:c>
      <x:c r="D715" s="25" t="str">
        <x:v>6-31-01-01</x:v>
      </x:c>
      <x:c r="E715" s="25" t="str">
        <x:v>设备点检员</x:v>
      </x:c>
      <x:c r="F715" s="28" t="n">
        <x:f>COUNTIF('岗位-产业节点关系'!$C$4:$C$709,B715)</x:f>
        <x:v>1</x:v>
      </x:c>
      <x:c r="G715" s="26" t="str">
        <x:f>IF(F715=0,"未匹配（现有产业链范围未覆盖或证据不足）",IF(COUNTIFS('岗位-产业节点关系'!$C$4:$C$709,B715,'岗位-产业节点关系'!$M$4:$M$709,"低")&gt;0,"已匹配，建议复核","已匹配"))</x:f>
        <x:v>已匹配</x:v>
      </x:c>
      <x:c r="H715" s="26" t="str">
        <x:v>中</x:v>
      </x:c>
      <x:c r="I715" s="26" t="str">
        <x:v>ICN005</x:v>
      </x:c>
      <x:c r="J715" s="26" t="str">
        <x:v>高端装备与智能制造产业链/中游/高端装备制造与激光加工</x:v>
      </x:c>
      <x:c r="K715" s="26" t="str">
        <x:v>机械项目管理在生产制造行业中扮演着至关重要的角色，它不仅确保了机械设备从设计到安装的顺利进行，还负责监控整个项目的进度与质量。作为连接技术部门与管理层之间的桥梁，机械项目经理对于提高生产效率、降低成本、保障产品质量等方面…</x:v>
      </x:c>
      <x:c r="L715" s="26" t="str">
        <x:v>1. 负责制定详细的项目实施计划，包括时间表、资源分配、成本预算等，确保项目各阶段目标的实现。 2. 协调内外部资源，监督项目执行过程中的各项活动，及时解决出现的问题，保证项目按计划推进。 3. 与客户保持良好沟通，准确…</x:v>
      </x:c>
    </x:row>
    <x:row r="716" ht="72" customHeight="1">
      <x:c r="A716" s="25" t="n">
        <x:v>11608</x:v>
      </x:c>
      <x:c r="B716" s="25" t="str">
        <x:v>IC-L3-865</x:v>
      </x:c>
      <x:c r="C716" s="25" t="str">
        <x:v>生产主管</x:v>
      </x:c>
      <x:c r="D716" s="25" t="str">
        <x:v>6-31-01-01</x:v>
      </x:c>
      <x:c r="E716" s="25" t="str">
        <x:v>设备点检员</x:v>
      </x:c>
      <x:c r="F716" s="28" t="n">
        <x:f>COUNTIF('岗位-产业节点关系'!$C$4:$C$709,B716)</x:f>
        <x:v>0</x:v>
      </x:c>
      <x:c r="G716" s="26" t="str">
        <x:f>IF(F716=0,"未匹配（现有产业链范围未覆盖或证据不足）",IF(COUNTIFS('岗位-产业节点关系'!$C$4:$C$709,B716,'岗位-产业节点关系'!$M$4:$M$709,"低")&gt;0,"已匹配，建议复核","已匹配"))</x:f>
        <x:v>未匹配（现有产业链范围未覆盖或证据不足）</x:v>
      </x:c>
      <x:c r="H716" s="26" t="str">
        <x:v>-</x:v>
      </x:c>
      <x:c r="I716" s="26" t="str"/>
      <x:c r="J716" s="26" t="str"/>
      <x:c r="K716" s="26" t="str">
        <x:v>生产主管是生产制造行业中至关重要的角色，负责确保生产线的高效运作与产品质量。作为连接管理层与操作层的关键桥梁，生产主管不仅需要具备卓越的技术知识，还需拥有出色的沟通协调能力，以确保生产流程顺畅无阻，满足公司内外部客户的需…</x:v>
      </x:c>
      <x:c r="L716" s="26" t="str">
        <x:v>1. 制定并实施生产计划，合理调配资源，确保生产任务按时按质完成。 2. 监控生产过程，及时发现并解决生产中出现的问题，减少浪费，提高生产效率。 3. 负责生产线员工的培训与考核，建立高效的团队，提升整体工作绩效。 4.…</x:v>
      </x:c>
    </x:row>
    <x:row r="717" ht="72" customHeight="1">
      <x:c r="A717" s="25" t="n">
        <x:v>11609</x:v>
      </x:c>
      <x:c r="B717" s="25" t="str">
        <x:v>IC-L3-866</x:v>
      </x:c>
      <x:c r="C717" s="25" t="str">
        <x:v>生产总监</x:v>
      </x:c>
      <x:c r="D717" s="25" t="str">
        <x:v>6-31-01-01</x:v>
      </x:c>
      <x:c r="E717" s="25" t="str">
        <x:v>设备点检员</x:v>
      </x:c>
      <x:c r="F717" s="28" t="n">
        <x:f>COUNTIF('岗位-产业节点关系'!$C$4:$C$709,B717)</x:f>
        <x:v>0</x:v>
      </x:c>
      <x:c r="G717" s="26" t="str">
        <x:f>IF(F717=0,"未匹配（现有产业链范围未覆盖或证据不足）",IF(COUNTIFS('岗位-产业节点关系'!$C$4:$C$709,B717,'岗位-产业节点关系'!$M$4:$M$709,"低")&gt;0,"已匹配，建议复核","已匹配"))</x:f>
        <x:v>未匹配（现有产业链范围未覆盖或证据不足）</x:v>
      </x:c>
      <x:c r="H717" s="26" t="str">
        <x:v>-</x:v>
      </x:c>
      <x:c r="I717" s="26" t="str"/>
      <x:c r="J717" s="26" t="str"/>
      <x:c r="K717" s="26" t="str">
        <x:v>生产总监是生产制造行业中至关重要的角色，负责确保生产流程的高效运行与质量控制。作为企业生产活动的领导者，生产总监不仅需要具备深厚的专业知识，还需拥有卓越的管理能力和战略眼光，以推动公司持续发展。 生产总监的核心目标在于优…</x:v>
      </x:c>
      <x:c r="L717" s="26" t="str">
        <x:v>1. 制定并实施生产策略，确保生产计划的顺利执行，达成公司设定的产量、质量和交期目标。 2. 监控生产过程，分析生产数据，及时发现并解决生产中出现的问题，确保生产流程顺畅高效。 3. 推动生产工艺和技术改造，引入先进的生…</x:v>
      </x:c>
    </x:row>
    <x:row r="718" ht="72" customHeight="1">
      <x:c r="A718" s="25" t="n">
        <x:v>11610</x:v>
      </x:c>
      <x:c r="B718" s="25" t="str">
        <x:v>IC-L3-867</x:v>
      </x:c>
      <x:c r="C718" s="25" t="str">
        <x:v>生产经理/车间主任</x:v>
      </x:c>
      <x:c r="D718" s="25" t="str">
        <x:v>2-02-06-03</x:v>
      </x:c>
      <x:c r="E718" s="25" t="str">
        <x:v>化工生产工程技术人员</x:v>
      </x:c>
      <x:c r="F718" s="28" t="n">
        <x:f>COUNTIF('岗位-产业节点关系'!$C$4:$C$709,B718)</x:f>
        <x:v>0</x:v>
      </x:c>
      <x:c r="G718" s="26" t="str">
        <x:f>IF(F718=0,"未匹配（现有产业链范围未覆盖或证据不足）",IF(COUNTIFS('岗位-产业节点关系'!$C$4:$C$709,B718,'岗位-产业节点关系'!$M$4:$M$709,"低")&gt;0,"已匹配，建议复核","已匹配"))</x:f>
        <x:v>未匹配（现有产业链范围未覆盖或证据不足）</x:v>
      </x:c>
      <x:c r="H718" s="26" t="str">
        <x:v>-</x:v>
      </x:c>
      <x:c r="I718" s="26" t="str"/>
      <x:c r="J718" s="26" t="str"/>
      <x:c r="K718" s="26" t="str">
        <x:v>生产经理/车间主任是生产制造行业中不可或缺的关键角色，负责监督和协调整个生产流程，确保产品从原材料到成品的高效转换。通过优化资源配置、提升生产效率及保证产品质量，该职位对于企业实现成本控制、提高市场竞争力具有重要影响。生…</x:v>
      </x:c>
      <x:c r="L718" s="26" t="str">
        <x:v>1. 制定并执行生产计划，合理安排生产任务，确保按时按质完成订单，满足客户需求。 2. 监控生产线运行状态，定期检查设备维护情况，预防和处理突发事件，保障生产安全。 3. 实施质量管理体系，严格把控各环节质量标准，减少不…</x:v>
      </x:c>
    </x:row>
    <x:row r="719" ht="72" customHeight="1">
      <x:c r="A719" s="25" t="n">
        <x:v>11611</x:v>
      </x:c>
      <x:c r="B719" s="25" t="str">
        <x:v>IC-L3-868</x:v>
      </x:c>
      <x:c r="C719" s="25" t="str">
        <x:v>生产计划/物料管理</x:v>
      </x:c>
      <x:c r="D719" s="25" t="str">
        <x:v>4-02-06-01</x:v>
      </x:c>
      <x:c r="E719" s="25" t="str">
        <x:v>仓储管理员</x:v>
      </x:c>
      <x:c r="F719" s="28" t="n">
        <x:f>COUNTIF('岗位-产业节点关系'!$C$4:$C$709,B719)</x:f>
        <x:v>0</x:v>
      </x:c>
      <x:c r="G719" s="26" t="str">
        <x:f>IF(F719=0,"未匹配（现有产业链范围未覆盖或证据不足）",IF(COUNTIFS('岗位-产业节点关系'!$C$4:$C$709,B719,'岗位-产业节点关系'!$M$4:$M$709,"低")&gt;0,"已匹配，建议复核","已匹配"))</x:f>
        <x:v>未匹配（现有产业链范围未覆盖或证据不足）</x:v>
      </x:c>
      <x:c r="H719" s="26" t="str">
        <x:v>-</x:v>
      </x:c>
      <x:c r="I719" s="26" t="str"/>
      <x:c r="J719" s="26" t="str"/>
      <x:c r="K719" s="26" t="str">
        <x:v>生产计划/物料管理是生产制造行业中至关重要的职能之一，它负责确保生产流程的顺畅与高效，通过精确的物料控制和计划安排，为公司的运营提供坚实的后盾。该职位不仅需要具备强大的数据分析能力，还需要有良好的沟通技巧，以协调各部门之…</x:v>
      </x:c>
      <x:c r="L719" s="26" t="str">
        <x:v>1. 负责制定并执行详细的生产计划，确保生产任务按时完成，同时优化资源配置，提高生产效率。 2. 管理库存水平，定期审查库存状态，预测物料需求，防止过度库存或缺货现象发生，保障生产线稳定运行。 3. 与采购部门密切配合，…</x:v>
      </x:c>
    </x:row>
    <x:row r="720" ht="72" customHeight="1">
      <x:c r="A720" s="25" t="n">
        <x:v>11612</x:v>
      </x:c>
      <x:c r="B720" s="25" t="str">
        <x:v>IC-L3-869</x:v>
      </x:c>
      <x:c r="C720" s="25" t="str">
        <x:v>生产跟单</x:v>
      </x:c>
      <x:c r="D720" s="25" t="str">
        <x:v>6-31-01-01</x:v>
      </x:c>
      <x:c r="E720" s="25" t="str">
        <x:v>设备点检员</x:v>
      </x:c>
      <x:c r="F720" s="28" t="n">
        <x:f>COUNTIF('岗位-产业节点关系'!$C$4:$C$709,B720)</x:f>
        <x:v>0</x:v>
      </x:c>
      <x:c r="G720" s="26" t="str">
        <x:f>IF(F720=0,"未匹配（现有产业链范围未覆盖或证据不足）",IF(COUNTIFS('岗位-产业节点关系'!$C$4:$C$709,B720,'岗位-产业节点关系'!$M$4:$M$709,"低")&gt;0,"已匹配，建议复核","已匹配"))</x:f>
        <x:v>未匹配（现有产业链范围未覆盖或证据不足）</x:v>
      </x:c>
      <x:c r="H720" s="26" t="str">
        <x:v>-</x:v>
      </x:c>
      <x:c r="I720" s="26" t="str"/>
      <x:c r="J720" s="26" t="str"/>
      <x:c r="K720" s="26" t="str">
        <x:v>生产跟单是生产制造行业中不可或缺的角色，主要负责协调从原材料采购到成品出货的整个生产流程。这一职位不仅确保了生产的顺利进行，还通过优化流程提高了效率和质量，从而为企业创造更大的价值。生产跟单员需要与采购、仓储、生产和销售…</x:v>
      </x:c>
      <x:c r="L720" s="26" t="str">
        <x:v>1. 跟踪并记录订单的执行情况，确保生产计划按时完成，满足客户需求。 2. 协调内部资源，解决生产过程中出现的问题，保证产品质量符合标准。 3. 定期与供应商沟通，评估其供货能力和交货时间，以确保原材料的及时供应。 4.…</x:v>
      </x:c>
    </x:row>
    <x:row r="721" ht="72" customHeight="1">
      <x:c r="A721" s="25" t="n">
        <x:v>11613</x:v>
      </x:c>
      <x:c r="B721" s="25" t="str">
        <x:v>IC-L3-870</x:v>
      </x:c>
      <x:c r="C721" s="25" t="str">
        <x:v>生产项目经理</x:v>
      </x:c>
      <x:c r="D721" s="25" t="str">
        <x:v>6-31-01-01</x:v>
      </x:c>
      <x:c r="E721" s="25" t="str">
        <x:v>设备点检员</x:v>
      </x:c>
      <x:c r="F721" s="28" t="n">
        <x:f>COUNTIF('岗位-产业节点关系'!$C$4:$C$709,B721)</x:f>
        <x:v>0</x:v>
      </x:c>
      <x:c r="G721" s="26" t="str">
        <x:f>IF(F721=0,"未匹配（现有产业链范围未覆盖或证据不足）",IF(COUNTIFS('岗位-产业节点关系'!$C$4:$C$709,B721,'岗位-产业节点关系'!$M$4:$M$709,"低")&gt;0,"已匹配，建议复核","已匹配"))</x:f>
        <x:v>未匹配（现有产业链范围未覆盖或证据不足）</x:v>
      </x:c>
      <x:c r="H721" s="26" t="str">
        <x:v>-</x:v>
      </x:c>
      <x:c r="I721" s="26" t="str"/>
      <x:c r="J721" s="26" t="str"/>
      <x:c r="K721" s="26" t="str">
        <x:v>生产项目经理是生产制造行业中不可或缺的角色，负责确保产品从设计到交付的整个过程顺利进行。作为连接公司管理层与一线操作人员的关键桥梁，他们不仅需要具备扎实的技术背景，还需拥有出色的项目管理和人际沟通能力。通过高效地协调资源…</x:v>
      </x:c>
      <x:c r="L721" s="26" t="str">
        <x:v>1. 负责制定详细的生产计划，包括时间表、成本预算以及资源配置，以确保项目按时按质完成。 2. 监控生产进度，定期向高层管理者报告项目状态，并针对潜在风险提出预防措施，保证项目顺利推进。 3. 与供应商建立良好的合作关系…</x:v>
      </x:c>
    </x:row>
    <x:row r="722" ht="72" customHeight="1">
      <x:c r="A722" s="25" t="n">
        <x:v>11614</x:v>
      </x:c>
      <x:c r="B722" s="25" t="str">
        <x:v>IC-L3-871</x:v>
      </x:c>
      <x:c r="C722" s="25" t="str">
        <x:v>生产领班/组长</x:v>
      </x:c>
      <x:c r="D722" s="25" t="str">
        <x:v>6-31-01-01</x:v>
      </x:c>
      <x:c r="E722" s="25" t="str">
        <x:v>设备点检员</x:v>
      </x:c>
      <x:c r="F722" s="28" t="n">
        <x:f>COUNTIF('岗位-产业节点关系'!$C$4:$C$709,B722)</x:f>
        <x:v>0</x:v>
      </x:c>
      <x:c r="G722" s="26" t="str">
        <x:f>IF(F722=0,"未匹配（现有产业链范围未覆盖或证据不足）",IF(COUNTIFS('岗位-产业节点关系'!$C$4:$C$709,B722,'岗位-产业节点关系'!$M$4:$M$709,"低")&gt;0,"已匹配，建议复核","已匹配"))</x:f>
        <x:v>未匹配（现有产业链范围未覆盖或证据不足）</x:v>
      </x:c>
      <x:c r="H722" s="26" t="str">
        <x:v>-</x:v>
      </x:c>
      <x:c r="I722" s="26" t="str"/>
      <x:c r="J722" s="26" t="str"/>
      <x:c r="K722" s="26" t="str">
        <x:v>生产领班/组长在生产制造行业中扮演着至关重要的角色，是连接管理层与操作层的关键桥梁。作为生产一线的直接管理者，他们负责确保生产线的高效运作，同时保证产品质量符合标准，对于维护企业的良好运营至关重要。通过优化生产流程、控制…</x:v>
      </x:c>
      <x:c r="L722" s="26" t="str">
        <x:v>1. 负责监督生产线上的日常活动，确保所有工作按计划执行，及时解决突发问题，保证生产任务按时完成。 2. 对班组成员进行技术指导和安全教育，制定培训计划，提高员工技能水平，建立高效的工作团队。 3. 定期检查设备运行状态…</x:v>
      </x:c>
    </x:row>
    <x:row r="723" ht="72" customHeight="1">
      <x:c r="A723" s="25" t="n">
        <x:v>11615</x:v>
      </x:c>
      <x:c r="B723" s="25" t="str">
        <x:v>IC-L3-872</x:v>
      </x:c>
      <x:c r="C723" s="25" t="str">
        <x:v>营运主管</x:v>
      </x:c>
      <x:c r="D723" s="25" t="str">
        <x:v>6-31-01-01</x:v>
      </x:c>
      <x:c r="E723" s="25" t="str">
        <x:v>设备点检员</x:v>
      </x:c>
      <x:c r="F723" s="28" t="n">
        <x:f>COUNTIF('岗位-产业节点关系'!$C$4:$C$709,B723)</x:f>
        <x:v>0</x:v>
      </x:c>
      <x:c r="G723" s="26" t="str">
        <x:f>IF(F723=0,"未匹配（现有产业链范围未覆盖或证据不足）",IF(COUNTIFS('岗位-产业节点关系'!$C$4:$C$709,B723,'岗位-产业节点关系'!$M$4:$M$709,"低")&gt;0,"已匹配，建议复核","已匹配"))</x:f>
        <x:v>未匹配（现有产业链范围未覆盖或证据不足）</x:v>
      </x:c>
      <x:c r="H723" s="26" t="str">
        <x:v>-</x:v>
      </x:c>
      <x:c r="I723" s="26" t="str"/>
      <x:c r="J723" s="26" t="str"/>
      <x:c r="K723" s="26" t="str">
        <x:v>营运主管是生产制造行业中不可或缺的关键角色，负责确保生产过程的高效运行与持续优化，对提升企业竞争力具有重要作用。通过制定并执行高效的生产计划，营运主管能够确保公司资源得到合理配置，减少浪费，提高生产效率，最终实现成本控制…</x:v>
      </x:c>
      <x:c r="L723" s="26" t="str">
        <x:v>1. 制定并实施年度生产计划，监控生产进度，确保按时完成订单交付，满足客户要求。 2. 优化生产流程，引入先进的管理理念和技术手段，降低生产成本，提高产品品质和生产效率。 3. 负责生产线人员的培训与考核，建立有效的激励…</x:v>
      </x:c>
    </x:row>
    <x:row r="724" ht="72" customHeight="1">
      <x:c r="A724" s="25" t="n">
        <x:v>11616</x:v>
      </x:c>
      <x:c r="B724" s="25" t="str">
        <x:v>IC-L3-873</x:v>
      </x:c>
      <x:c r="C724" s="25" t="str">
        <x:v>营运经理</x:v>
      </x:c>
      <x:c r="D724" s="25" t="str">
        <x:v>6-31-01-01</x:v>
      </x:c>
      <x:c r="E724" s="25" t="str">
        <x:v>设备点检员</x:v>
      </x:c>
      <x:c r="F724" s="28" t="n">
        <x:f>COUNTIF('岗位-产业节点关系'!$C$4:$C$709,B724)</x:f>
        <x:v>0</x:v>
      </x:c>
      <x:c r="G724" s="26" t="str">
        <x:f>IF(F724=0,"未匹配（现有产业链范围未覆盖或证据不足）",IF(COUNTIFS('岗位-产业节点关系'!$C$4:$C$709,B724,'岗位-产业节点关系'!$M$4:$M$709,"低")&gt;0,"已匹配，建议复核","已匹配"))</x:f>
        <x:v>未匹配（现有产业链范围未覆盖或证据不足）</x:v>
      </x:c>
      <x:c r="H724" s="26" t="str">
        <x:v>-</x:v>
      </x:c>
      <x:c r="I724" s="26" t="str"/>
      <x:c r="J724" s="26" t="str"/>
      <x:c r="K724" s="26" t="str">
        <x:v>营运经理是生产制造行业中至关重要的角色，负责确保生产流程的高效运作与持续优化。通过管理日常运营活动，他们不仅保障了生产线的顺畅运行，还促进了企业资源的有效利用，从而提高整体生产效率。作为连接高层管理者与一线员工之间的桥梁…</x:v>
      </x:c>
      <x:c r="L724" s="26" t="str">
        <x:v>1. 制定并执行生产计划，监督整个生产过程，确保按时按质完成订单任务，满足客户需求。 2. 分析生产数据，识别潜在问题点，提出改进建议以降低生产成本、缩短交货周期，增强企业的市场竞争力。 3. 协调各部门工作，建立高效的…</x:v>
      </x:c>
    </x:row>
    <x:row r="725" ht="72" customHeight="1">
      <x:c r="A725" s="25" t="n">
        <x:v>11617</x:v>
      </x:c>
      <x:c r="B725" s="25" t="str">
        <x:v>IC-L3-874</x:v>
      </x:c>
      <x:c r="C725" s="25" t="str">
        <x:v>设备主管</x:v>
      </x:c>
      <x:c r="D725" s="25" t="str">
        <x:v>6-31-01-01</x:v>
      </x:c>
      <x:c r="E725" s="25" t="str">
        <x:v>设备点检员</x:v>
      </x:c>
      <x:c r="F725" s="28" t="n">
        <x:f>COUNTIF('岗位-产业节点关系'!$C$4:$C$709,B725)</x:f>
        <x:v>0</x:v>
      </x:c>
      <x:c r="G725" s="26" t="str">
        <x:f>IF(F725=0,"未匹配（现有产业链范围未覆盖或证据不足）",IF(COUNTIFS('岗位-产业节点关系'!$C$4:$C$709,B725,'岗位-产业节点关系'!$M$4:$M$709,"低")&gt;0,"已匹配，建议复核","已匹配"))</x:f>
        <x:v>未匹配（现有产业链范围未覆盖或证据不足）</x:v>
      </x:c>
      <x:c r="H725" s="26" t="str">
        <x:v>-</x:v>
      </x:c>
      <x:c r="I725" s="26" t="str"/>
      <x:c r="J725" s="26" t="str"/>
      <x:c r="K725" s="26" t="str">
        <x:v>设备主管是生产制造行业中不可或缺的关键角色，负责确保生产设备的高效运行与维护，对于提升产品质量、降低生产成本及保证生产流程顺畅具有决定性作用。作为公司内部技术与管理相结合的重要岗位，设备主管通过制定并执行设备管理计划，优…</x:v>
      </x:c>
      <x:c r="L725" s="26" t="str">
        <x:v>1. 制定并实施设备维护保养计划，定期检查设备状态，预防故障发生，确保生产线正常运转。 2. 组织并领导设备维修团队，快速响应设备故障，分析问题根源，采取有效措施修复设备，缩短停机时间。 3. 与相关部门沟通协调，评估设…</x:v>
      </x:c>
    </x:row>
    <x:row r="726" ht="72" customHeight="1">
      <x:c r="A726" s="25" t="n">
        <x:v>11618</x:v>
      </x:c>
      <x:c r="B726" s="25" t="str">
        <x:v>IC-L3-875</x:v>
      </x:c>
      <x:c r="C726" s="25" t="str">
        <x:v>项目工程师</x:v>
      </x:c>
      <x:c r="D726" s="25" t="str">
        <x:v>2-02-30-04</x:v>
      </x:c>
      <x:c r="E726" s="25" t="str">
        <x:v>项目管理工程技术人员</x:v>
      </x:c>
      <x:c r="F726" s="28" t="n">
        <x:f>COUNTIF('岗位-产业节点关系'!$C$4:$C$709,B726)</x:f>
        <x:v>0</x:v>
      </x:c>
      <x:c r="G726" s="26" t="str">
        <x:f>IF(F726=0,"未匹配（现有产业链范围未覆盖或证据不足）",IF(COUNTIFS('岗位-产业节点关系'!$C$4:$C$709,B726,'岗位-产业节点关系'!$M$4:$M$709,"低")&gt;0,"已匹配，建议复核","已匹配"))</x:f>
        <x:v>未匹配（现有产业链范围未覆盖或证据不足）</x:v>
      </x:c>
      <x:c r="H726" s="26" t="str">
        <x:v>-</x:v>
      </x:c>
      <x:c r="I726" s="26" t="str"/>
      <x:c r="J726" s="26" t="str"/>
      <x:c r="K726" s="26" t="str">
        <x:v>项目工程师是生产制造行业中不可或缺的专业人才，负责确保项目的顺利实施与完成。作为连接技术与管理的关键角色，项目工程师不仅需要具备扎实的技术背景，还应拥有出色的组织协调能力，以应对复杂多变的生产环境和客户需求。 在公司内部…</x:v>
      </x:c>
      <x:c r="L726" s="26" t="str">
        <x:v>1. 负责制定详细的项目计划，包括时间表、预算和资源分配，确保项目按既定目标高效推进。 2. 监控项目执行过程中的关键指标，及时发现并解决可能出现的问题，保证项目质量符合客户要求。 3. 协调内外部资源，与供应商、合作伙…</x:v>
      </x:c>
    </x:row>
    <x:row r="727" ht="72" customHeight="1">
      <x:c r="A727" s="25" t="n">
        <x:v>11619</x:v>
      </x:c>
      <x:c r="B727" s="25" t="str">
        <x:v>IC-L3-876</x:v>
      </x:c>
      <x:c r="C727" s="25" t="str">
        <x:v>EHS安全工程师</x:v>
      </x:c>
      <x:c r="D727" s="25" t="str">
        <x:v>2-02-28-03</x:v>
      </x:c>
      <x:c r="E727" s="25" t="str">
        <x:v>安全生产管理工程技术人员</x:v>
      </x:c>
      <x:c r="F727" s="28" t="n">
        <x:f>COUNTIF('岗位-产业节点关系'!$C$4:$C$709,B727)</x:f>
        <x:v>1</x:v>
      </x:c>
      <x:c r="G727" s="26" t="str">
        <x:f>IF(F727=0,"未匹配（现有产业链范围未覆盖或证据不足）",IF(COUNTIFS('岗位-产业节点关系'!$C$4:$C$709,B727,'岗位-产业节点关系'!$M$4:$M$709,"低")&gt;0,"已匹配，建议复核","已匹配"))</x:f>
        <x:v>已匹配</x:v>
      </x:c>
      <x:c r="H727" s="26" t="str">
        <x:v>中</x:v>
      </x:c>
      <x:c r="I727" s="26" t="str">
        <x:v>ICN033</x:v>
      </x:c>
      <x:c r="J727" s="26" t="str">
        <x:v>绿色环保与资源循环产业链/下游/园区、市政与企业绿色运营</x:v>
      </x:c>
      <x:c r="K727" s="26" t="str">
        <x:v>EHS安全工程师是生产制造行业中不可或缺的专业角色，负责确保企业遵守所有相关的环境、健康与安全法规，同时维护员工的安全和健康。这一职位不仅能够帮助企业避免潜在的法律风险，还能通过预防事故的发生，提高工作效率，减少因工伤导…</x:v>
      </x:c>
      <x:c r="L727" s="26" t="str">
        <x:v>1. 负责制定和完善公司EHS管理体系，确保所有操作流程符合国家及地方的法律法规要求，以降低企业运营中的安全风险。 2. 定期组织现场安全检查，识别潜在的安全隐患，提出整改建议并跟踪落实情况，确保工作环境的安全性。 3.…</x:v>
      </x:c>
    </x:row>
    <x:row r="728" ht="72" customHeight="1">
      <x:c r="A728" s="25" t="n">
        <x:v>11620</x:v>
      </x:c>
      <x:c r="B728" s="25" t="str">
        <x:v>IC-L3-877</x:v>
      </x:c>
      <x:c r="C728" s="25" t="str">
        <x:v>EHS安全经理/主管</x:v>
      </x:c>
      <x:c r="D728" s="25" t="str">
        <x:v>2-02-28-03</x:v>
      </x:c>
      <x:c r="E728" s="25" t="str">
        <x:v>安全生产管理工程技术人员</x:v>
      </x:c>
      <x:c r="F728" s="28" t="n">
        <x:f>COUNTIF('岗位-产业节点关系'!$C$4:$C$709,B728)</x:f>
        <x:v>1</x:v>
      </x:c>
      <x:c r="G728" s="26" t="str">
        <x:f>IF(F728=0,"未匹配（现有产业链范围未覆盖或证据不足）",IF(COUNTIFS('岗位-产业节点关系'!$C$4:$C$709,B728,'岗位-产业节点关系'!$M$4:$M$709,"低")&gt;0,"已匹配，建议复核","已匹配"))</x:f>
        <x:v>已匹配</x:v>
      </x:c>
      <x:c r="H728" s="26" t="str">
        <x:v>中</x:v>
      </x:c>
      <x:c r="I728" s="26" t="str">
        <x:v>ICN033</x:v>
      </x:c>
      <x:c r="J728" s="26" t="str">
        <x:v>绿色环保与资源循环产业链/下游/园区、市政与企业绿色运营</x:v>
      </x:c>
      <x:c r="K728" s="26" t="str">
        <x:v>EHS安全经理/主管是生产制造行业中至关重要的角色，主要负责确保企业的环境、健康与安全（EHS）标准符合国家法规要求，维护员工健康及企业财产安全。通过实施有效的安全管理措施，预防工作场所事故的发生，降低生产过程中的风险，…</x:v>
      </x:c>
      <x:c r="L728" s="26" t="str">
        <x:v>EHS安全经理/主管的主要职责包括：制定并实施公司的EHS政策和程序，确保符合相关法律法规；定期组织安全培训和应急演练，提高员工的安全意识和应急处理能力；监督日常安全检查，及时发现并消除安全隐患；负责工伤事故的调查和处理…</x:v>
      </x:c>
    </x:row>
    <x:row r="729" ht="72" customHeight="1">
      <x:c r="A729" s="25" t="n">
        <x:v>11621</x:v>
      </x:c>
      <x:c r="B729" s="25" t="str">
        <x:v>IC-L3-878</x:v>
      </x:c>
      <x:c r="C729" s="25" t="str">
        <x:v>施工安全员</x:v>
      </x:c>
      <x:c r="D729" s="25" t="str">
        <x:v>2-02-28-03</x:v>
      </x:c>
      <x:c r="E729" s="25" t="str">
        <x:v>安全生产管理工程技术人员</x:v>
      </x:c>
      <x:c r="F729" s="28" t="n">
        <x:f>COUNTIF('岗位-产业节点关系'!$C$4:$C$709,B729)</x:f>
        <x:v>1</x:v>
      </x:c>
      <x:c r="G729" s="26" t="str">
        <x:f>IF(F729=0,"未匹配（现有产业链范围未覆盖或证据不足）",IF(COUNTIFS('岗位-产业节点关系'!$C$4:$C$709,B729,'岗位-产业节点关系'!$M$4:$M$709,"低")&gt;0,"已匹配，建议复核","已匹配"))</x:f>
        <x:v>已匹配</x:v>
      </x:c>
      <x:c r="H729" s="26" t="str">
        <x:v>中</x:v>
      </x:c>
      <x:c r="I729" s="26" t="str">
        <x:v>ICN008</x:v>
      </x:c>
      <x:c r="J729" s="26" t="str">
        <x:v>基础设施与城市建设产业链/中游/基础设施建设与房地产开发</x:v>
      </x:c>
      <x:c r="K729" s="26" t="str">
        <x:v>施工安全员是生产制造行业中不可或缺的角色，负责确保施工现场的安全，预防事故的发生，保障员工的生命安全和身体健康。通过严格执行安全生产法律法规和企业内部的安全管理制度，施工安全员在维护企业声誉、降低法律风险方面发挥着关键作…</x:v>
      </x:c>
      <x:c r="L729" s="26" t="str">
        <x:v>1. 负责制定并执行施工安全计划，定期检查施工现场的安全状况，及时发现并消除潜在的安全隐患，确保施工过程符合国家相关法规及公司安全标准。 2. 对所有现场工作人员进行安全教育与培训，提高其安全意识，确保每位员工都能正确使…</x:v>
      </x:c>
    </x:row>
    <x:row r="730" ht="72" customHeight="1">
      <x:c r="A730" s="25" t="n">
        <x:v>11622</x:v>
      </x:c>
      <x:c r="B730" s="25" t="str">
        <x:v>IC-L3-879</x:v>
      </x:c>
      <x:c r="C730" s="25" t="str">
        <x:v>消防安全</x:v>
      </x:c>
      <x:c r="D730" s="25" t="str">
        <x:v>2-02-28-03</x:v>
      </x:c>
      <x:c r="E730" s="25" t="str">
        <x:v>安全生产管理工程技术人员</x:v>
      </x:c>
      <x:c r="F730" s="28" t="n">
        <x:f>COUNTIF('岗位-产业节点关系'!$C$4:$C$709,B730)</x:f>
        <x:v>0</x:v>
      </x:c>
      <x:c r="G730" s="26" t="str">
        <x:f>IF(F730=0,"未匹配（现有产业链范围未覆盖或证据不足）",IF(COUNTIFS('岗位-产业节点关系'!$C$4:$C$709,B730,'岗位-产业节点关系'!$M$4:$M$709,"低")&gt;0,"已匹配，建议复核","已匹配"))</x:f>
        <x:v>未匹配（现有产业链范围未覆盖或证据不足）</x:v>
      </x:c>
      <x:c r="H730" s="26" t="str">
        <x:v>-</x:v>
      </x:c>
      <x:c r="I730" s="26" t="str"/>
      <x:c r="J730" s="26" t="str"/>
      <x:c r="K730" s="26" t="str">
        <x:v>消防安全专员在生产制造业中扮演着至关重要的角色，他们负责确保生产环境的安全，预防火灾事故的发生，保障员工的生命安全与企业财产不受损失。作为公司安全生产体系的重要组成部分，消防安全专员通过制定并执行消防安全管理制度、定期检…</x:v>
      </x:c>
      <x:c r="L730" s="26" t="str">
        <x:v>1. 制定和完善消防安全管理规章制度，确保所有操作符合国家法律法规及公司内部标准，降低火灾风险。 2. 定期进行消防设施的维护保养和检测工作，保证其处于良好状态，一旦发现故障能够及时修复或更换，确保紧急情况下可以正常运作…</x:v>
      </x:c>
    </x:row>
    <x:row r="731" ht="72" customHeight="1">
      <x:c r="A731" s="25" t="n">
        <x:v>11623</x:v>
      </x:c>
      <x:c r="B731" s="25" t="str">
        <x:v>IC-L3-880</x:v>
      </x:c>
      <x:c r="C731" s="25" t="str">
        <x:v>生产安全员</x:v>
      </x:c>
      <x:c r="D731" s="25" t="str">
        <x:v>2-02-28-03</x:v>
      </x:c>
      <x:c r="E731" s="25" t="str">
        <x:v>安全生产管理工程技术人员</x:v>
      </x:c>
      <x:c r="F731" s="28" t="n">
        <x:f>COUNTIF('岗位-产业节点关系'!$C$4:$C$709,B731)</x:f>
        <x:v>0</x:v>
      </x:c>
      <x:c r="G731" s="26" t="str">
        <x:f>IF(F731=0,"未匹配（现有产业链范围未覆盖或证据不足）",IF(COUNTIFS('岗位-产业节点关系'!$C$4:$C$709,B731,'岗位-产业节点关系'!$M$4:$M$709,"低")&gt;0,"已匹配，建议复核","已匹配"))</x:f>
        <x:v>未匹配（现有产业链范围未覆盖或证据不足）</x:v>
      </x:c>
      <x:c r="H731" s="26" t="str">
        <x:v>-</x:v>
      </x:c>
      <x:c r="I731" s="26" t="str"/>
      <x:c r="J731" s="26" t="str"/>
      <x:c r="K731" s="26" t="str">
        <x:v>生产安全员是生产制造行业中不可或缺的角色，他们负责确保生产过程中的安全操作，预防事故的发生，保障员工的生命安全与健康，同时保护企业的资产免受损失。通过制定并实施安全生产标准和程序，生产安全员不仅能够提高生产效率，减少因安…</x:v>
      </x:c>
      <x:c r="L731" s="26" t="str">
        <x:v>1. 定期检查生产设备及作业现场的安全状况，及时发现潜在风险点并采取有效措施予以消除，确保生产活动符合国家相关法律法规要求。 2. 组织开展员工安全教育培训，普及安全知识，提升全员安全意识，降低事故发生率。 3. 制定和…</x:v>
      </x:c>
    </x:row>
    <x:row r="732" ht="72" customHeight="1">
      <x:c r="A732" s="25" t="n">
        <x:v>11624</x:v>
      </x:c>
      <x:c r="B732" s="25" t="str">
        <x:v>IC-L3-881</x:v>
      </x:c>
      <x:c r="C732" s="25" t="str">
        <x:v>EHS安全工程师</x:v>
      </x:c>
      <x:c r="D732" s="25" t="str">
        <x:v>2-02-28-03</x:v>
      </x:c>
      <x:c r="E732" s="25" t="str">
        <x:v>安全生产管理工程技术人员</x:v>
      </x:c>
      <x:c r="F732" s="28" t="n">
        <x:f>COUNTIF('岗位-产业节点关系'!$C$4:$C$709,B732)</x:f>
        <x:v>1</x:v>
      </x:c>
      <x:c r="G732" s="26" t="str">
        <x:f>IF(F732=0,"未匹配（现有产业链范围未覆盖或证据不足）",IF(COUNTIFS('岗位-产业节点关系'!$C$4:$C$709,B732,'岗位-产业节点关系'!$M$4:$M$709,"低")&gt;0,"已匹配，建议复核","已匹配"))</x:f>
        <x:v>已匹配</x:v>
      </x:c>
      <x:c r="H732" s="26" t="str">
        <x:v>中</x:v>
      </x:c>
      <x:c r="I732" s="26" t="str">
        <x:v>ICN033</x:v>
      </x:c>
      <x:c r="J732" s="26" t="str">
        <x:v>绿色环保与资源循环产业链/下游/园区、市政与企业绿色运营</x:v>
      </x:c>
      <x:c r="K732" s="26" t="str">
        <x:v>EHS（环境、健康与安全）安全工程师是生产制造行业中不可或缺的角色，他们负责确保工作场所的安全与环保标准，预防事故和环境污染的发生，保障员工的健康。通过制定并实施有效的EHS管理体系，EHS安全工程师不仅能够帮助企业遵守…</x:v>
      </x:c>
      <x:c r="L732" s="26" t="str">
        <x:v>1. 负责制定和完善EHS相关的政策、程序和操作指南，确保所有活动符合国家及地方的法律法规要求。 2. 定期进行现场检查，识别潜在的安全隐患和环境风险，提出改进措施并监督执行，减少事故发生率。 3. 组织开展EHS培训项…</x:v>
      </x:c>
    </x:row>
    <x:row r="733" ht="72" customHeight="1">
      <x:c r="A733" s="25" t="n">
        <x:v>11625</x:v>
      </x:c>
      <x:c r="B733" s="25" t="str">
        <x:v>IC-L3-882</x:v>
      </x:c>
      <x:c r="C733" s="25" t="str">
        <x:v>EHS安全经理/主管</x:v>
      </x:c>
      <x:c r="D733" s="25" t="str">
        <x:v>2-02-28-03</x:v>
      </x:c>
      <x:c r="E733" s="25" t="str">
        <x:v>安全生产管理工程技术人员</x:v>
      </x:c>
      <x:c r="F733" s="28" t="n">
        <x:f>COUNTIF('岗位-产业节点关系'!$C$4:$C$709,B733)</x:f>
        <x:v>1</x:v>
      </x:c>
      <x:c r="G733" s="26" t="str">
        <x:f>IF(F733=0,"未匹配（现有产业链范围未覆盖或证据不足）",IF(COUNTIFS('岗位-产业节点关系'!$C$4:$C$709,B733,'岗位-产业节点关系'!$M$4:$M$709,"低")&gt;0,"已匹配，建议复核","已匹配"))</x:f>
        <x:v>已匹配</x:v>
      </x:c>
      <x:c r="H733" s="26" t="str">
        <x:v>中</x:v>
      </x:c>
      <x:c r="I733" s="26" t="str">
        <x:v>ICN033</x:v>
      </x:c>
      <x:c r="J733" s="26" t="str">
        <x:v>绿色环保与资源循环产业链/下游/园区、市政与企业绿色运营</x:v>
      </x:c>
      <x:c r="K733" s="26" t="str">
        <x:v>EHS安全经理/主管是生产制造行业中不可或缺的角色，负责确保企业运营符合环境、健康与安全（EHS）法规要求。此职位不仅对员工的安全负有重大责任，而且对企业形象和社会责任有着深远影响，是连接公司管理层与一线操作人员的重要桥…</x:v>
      </x:c>
      <x:c r="L733" s="26" t="str">
        <x:v>EHS安全经理/主管的主要职责包括：制定并实施公司的EHS政策和程序，确保符合相关法律法规；定期组织安全培训和应急演练，提高员工的安全意识和应急处理能力；监督日常安全检查，及时发现并消除安全隐患；负责工伤事故的调查和处理…</x:v>
      </x:c>
    </x:row>
    <x:row r="734" ht="72" customHeight="1">
      <x:c r="A734" s="25" t="n">
        <x:v>11626</x:v>
      </x:c>
      <x:c r="B734" s="25" t="str">
        <x:v>IC-L3-883</x:v>
      </x:c>
      <x:c r="C734" s="25" t="str">
        <x:v>体系工程师</x:v>
      </x:c>
      <x:c r="D734" s="25" t="str">
        <x:v>2-02-29-03</x:v>
      </x:c>
      <x:c r="E734" s="25" t="str">
        <x:v>质量管理工程技术人员</x:v>
      </x:c>
      <x:c r="F734" s="28" t="n">
        <x:f>COUNTIF('岗位-产业节点关系'!$C$4:$C$709,B734)</x:f>
        <x:v>0</x:v>
      </x:c>
      <x:c r="G734" s="26" t="str">
        <x:f>IF(F734=0,"未匹配（现有产业链范围未覆盖或证据不足）",IF(COUNTIFS('岗位-产业节点关系'!$C$4:$C$709,B734,'岗位-产业节点关系'!$M$4:$M$709,"低")&gt;0,"已匹配，建议复核","已匹配"))</x:f>
        <x:v>未匹配（现有产业链范围未覆盖或证据不足）</x:v>
      </x:c>
      <x:c r="H734" s="26" t="str">
        <x:v>-</x:v>
      </x:c>
      <x:c r="I734" s="26" t="str"/>
      <x:c r="J734" s="26" t="str"/>
      <x:c r="K734" s="26" t="str">
        <x:v>体系工程师在生产制造行业中扮演着至关重要的角色，负责确保企业内部质量管理体系的有效运行，是连接公司管理层与操作层之间的桥梁。通过建立和完善质量管理体系，体系工程师能够帮助企业实现从原料采购到产品交付全过程的质量控制，不仅…</x:v>
      </x:c>
      <x:c r="L734" s="26" t="str">
        <x:v>1. 负责ISO9001等国际质量管理体系标准的实施与维护，确保公司各项业务流程符合相关法规要求。 2. 定期组织内审和管理评审活动，检查并评估现有质量管理体系的有效性，针对发现的问题提出改进建议并跟踪整改进度。 3. …</x:v>
      </x:c>
    </x:row>
    <x:row r="735" ht="72" customHeight="1">
      <x:c r="A735" s="25" t="n">
        <x:v>11627</x:v>
      </x:c>
      <x:c r="B735" s="25" t="str">
        <x:v>IC-L3-884</x:v>
      </x:c>
      <x:c r="C735" s="25" t="str">
        <x:v>体系认证审核员</x:v>
      </x:c>
      <x:c r="D735" s="25" t="str">
        <x:v>2-02-29-04</x:v>
      </x:c>
      <x:c r="E735" s="25" t="str">
        <x:v>质量认证认可工程技术人员</x:v>
      </x:c>
      <x:c r="F735" s="28" t="n">
        <x:f>COUNTIF('岗位-产业节点关系'!$C$4:$C$709,B735)</x:f>
        <x:v>0</x:v>
      </x:c>
      <x:c r="G735" s="26" t="str">
        <x:f>IF(F735=0,"未匹配（现有产业链范围未覆盖或证据不足）",IF(COUNTIFS('岗位-产业节点关系'!$C$4:$C$709,B735,'岗位-产业节点关系'!$M$4:$M$709,"低")&gt;0,"已匹配，建议复核","已匹配"))</x:f>
        <x:v>未匹配（现有产业链范围未覆盖或证据不足）</x:v>
      </x:c>
      <x:c r="H735" s="26" t="str">
        <x:v>-</x:v>
      </x:c>
      <x:c r="I735" s="26" t="str"/>
      <x:c r="J735" s="26" t="str"/>
      <x:c r="K735" s="26" t="str">
        <x:v>体系认证审核员是生产制造行业中不可或缺的专业人才，其在确保企业产品质量和管理体系合规性方面扮演着关键角色。通过对企业内部质量管理体系进行系统性的评估与改进，审核员不仅能够帮助企业提升产品和服务的质量，还能促进企业获得国际…</x:v>
      </x:c>
      <x:c r="L735" s="26" t="str">
        <x:v>1. 负责制定和执行年度内审计划，确保所有生产环节符合ISO9001等国际质量管理体系的要求。 2. 对供应商进行评估与审核，确保其提供的原材料或服务满足公司的质量标准。 3. 定期组织员工培训，提高全员的质量意识和操作…</x:v>
      </x:c>
    </x:row>
    <x:row r="736" ht="72" customHeight="1">
      <x:c r="A736" s="25" t="n">
        <x:v>11628</x:v>
      </x:c>
      <x:c r="B736" s="25" t="str">
        <x:v>IC-L3-885</x:v>
      </x:c>
      <x:c r="C736" s="25" t="str">
        <x:v>供应商质量工程师</x:v>
      </x:c>
      <x:c r="D736" s="25" t="str">
        <x:v>2-02-29-03</x:v>
      </x:c>
      <x:c r="E736" s="25" t="str">
        <x:v>质量管理工程技术人员</x:v>
      </x:c>
      <x:c r="F736" s="28" t="n">
        <x:f>COUNTIF('岗位-产业节点关系'!$C$4:$C$709,B736)</x:f>
        <x:v>0</x:v>
      </x:c>
      <x:c r="G736" s="26" t="str">
        <x:f>IF(F736=0,"未匹配（现有产业链范围未覆盖或证据不足）",IF(COUNTIFS('岗位-产业节点关系'!$C$4:$C$709,B736,'岗位-产业节点关系'!$M$4:$M$709,"低")&gt;0,"已匹配，建议复核","已匹配"))</x:f>
        <x:v>未匹配（现有产业链范围未覆盖或证据不足）</x:v>
      </x:c>
      <x:c r="H736" s="26" t="str">
        <x:v>-</x:v>
      </x:c>
      <x:c r="I736" s="26" t="str"/>
      <x:c r="J736" s="26" t="str"/>
      <x:c r="K736" s="26" t="str">
        <x:v>供应商质量工程师是生产制造行业中不可或缺的专业人才，主要负责确保公司采购的原材料及零部件符合既定的质量标准，从源头上把控产品质量，降低生产成本，提高客户满意度。该职位通过与供应商建立良好的合作关系，推动供应商持续改进，从…</x:v>
      </x:c>
      <x:c r="L736" s="26" t="str">
        <x:v>1. 定期对供应商进行现场审核，评估其质量管理体系的有效性，确保供应商提供的物料满足公司的技术规范和法律法规要求。 2. 与供应商沟通质量标准和期望，协助其识别并解决存在的问题，制定预防措施，减少不合格品率，保证生产流程…</x:v>
      </x:c>
    </x:row>
    <x:row r="737" ht="72" customHeight="1">
      <x:c r="A737" s="25" t="n">
        <x:v>11629</x:v>
      </x:c>
      <x:c r="B737" s="25" t="str">
        <x:v>IC-L3-886</x:v>
      </x:c>
      <x:c r="C737" s="25" t="str">
        <x:v>前期质量工程师</x:v>
      </x:c>
      <x:c r="D737" s="25" t="str">
        <x:v>2-02-29-03</x:v>
      </x:c>
      <x:c r="E737" s="25" t="str">
        <x:v>质量管理工程技术人员</x:v>
      </x:c>
      <x:c r="F737" s="28" t="n">
        <x:f>COUNTIF('岗位-产业节点关系'!$C$4:$C$709,B737)</x:f>
        <x:v>0</x:v>
      </x:c>
      <x:c r="G737" s="26" t="str">
        <x:f>IF(F737=0,"未匹配（现有产业链范围未覆盖或证据不足）",IF(COUNTIFS('岗位-产业节点关系'!$C$4:$C$709,B737,'岗位-产业节点关系'!$M$4:$M$709,"低")&gt;0,"已匹配，建议复核","已匹配"))</x:f>
        <x:v>未匹配（现有产业链范围未覆盖或证据不足）</x:v>
      </x:c>
      <x:c r="H737" s="26" t="str">
        <x:v>-</x:v>
      </x:c>
      <x:c r="I737" s="26" t="str"/>
      <x:c r="J737" s="26" t="str"/>
      <x:c r="K737" s="26" t="str">
        <x:v>前期质量工程师是生产制造行业中不可或缺的角色，主要负责从产品设计到生产的早期阶段的质量控制工作。通过确保每个环节都符合高标准的质量要求，该职位对于提升整体产品质量、降低后期返工成本以及增强客户满意度具有重要意义。 在公司…</x:v>
      </x:c>
      <x:c r="L737" s="26" t="str">
        <x:v>1. 参与新产品开发过程中的质量策划，制定详细的检验标准和测试计划，确保设计满足质量要求。 2. 对生产过程中的关键工序进行监控，及时发现并纠正可能影响产品质量的问题，保障生产顺利进行。 3. 与供应商建立良好的沟通机制…</x:v>
      </x:c>
    </x:row>
    <x:row r="738" ht="72" customHeight="1">
      <x:c r="A738" s="25" t="n">
        <x:v>11630</x:v>
      </x:c>
      <x:c r="B738" s="25" t="str">
        <x:v>IC-L3-887</x:v>
      </x:c>
      <x:c r="C738" s="25" t="str">
        <x:v>化学分析测试员</x:v>
      </x:c>
      <x:c r="D738" s="25" t="str">
        <x:v>2-02-29-03</x:v>
      </x:c>
      <x:c r="E738" s="25" t="str">
        <x:v>质量管理工程技术人员</x:v>
      </x:c>
      <x:c r="F738" s="28" t="n">
        <x:f>COUNTIF('岗位-产业节点关系'!$C$4:$C$709,B738)</x:f>
        <x:v>0</x:v>
      </x:c>
      <x:c r="G738" s="26" t="str">
        <x:f>IF(F738=0,"未匹配（现有产业链范围未覆盖或证据不足）",IF(COUNTIFS('岗位-产业节点关系'!$C$4:$C$709,B738,'岗位-产业节点关系'!$M$4:$M$709,"低")&gt;0,"已匹配，建议复核","已匹配"))</x:f>
        <x:v>未匹配（现有产业链范围未覆盖或证据不足）</x:v>
      </x:c>
      <x:c r="H738" s="26" t="str">
        <x:v>-</x:v>
      </x:c>
      <x:c r="I738" s="26" t="str"/>
      <x:c r="J738" s="26" t="str"/>
      <x:c r="K738" s="26" t="str">
        <x:v>化学分析测试员是生产制造行业中不可或缺的专业技术人才，其主要负责产品的化学成分分析与质量检测，确保产品质量符合国家及企业标准，是保障公司产品竞争力的关键环节。该职位的核心目标在于通过精准的化学分析手段，识别并解决生产过程…</x:v>
      </x:c>
      <x:c r="L738" s="26" t="str">
        <x:v>1. 运用专业的化学分析仪器和方法，对原材料、半成品及成品进行准确的成分分析，确保数据真实可靠，为生产过程提供科学依据。 2. 定期参与实验室设备的校准与维护工作，保证实验设备的正常运行，降低因设备故障导致的检测误差。 …</x:v>
      </x:c>
    </x:row>
    <x:row r="739" ht="72" customHeight="1">
      <x:c r="A739" s="25" t="n">
        <x:v>11631</x:v>
      </x:c>
      <x:c r="B739" s="25" t="str">
        <x:v>IC-L3-888</x:v>
      </x:c>
      <x:c r="C739" s="25" t="str">
        <x:v>医疗器械生产/质量管理</x:v>
      </x:c>
      <x:c r="D739" s="25" t="str">
        <x:v>2-02-29-03</x:v>
      </x:c>
      <x:c r="E739" s="25" t="str">
        <x:v>质量管理工程技术人员</x:v>
      </x:c>
      <x:c r="F739" s="28" t="n">
        <x:f>COUNTIF('岗位-产业节点关系'!$C$4:$C$709,B739)</x:f>
        <x:v>1</x:v>
      </x:c>
      <x:c r="G739" s="26" t="str">
        <x:f>IF(F739=0,"未匹配（现有产业链范围未覆盖或证据不足）",IF(COUNTIFS('岗位-产业节点关系'!$C$4:$C$709,B739,'岗位-产业节点关系'!$M$4:$M$709,"低")&gt;0,"已匹配，建议复核","已匹配"))</x:f>
        <x:v>已匹配</x:v>
      </x:c>
      <x:c r="H739" s="26" t="str">
        <x:v>高</x:v>
      </x:c>
      <x:c r="I739" s="26" t="str">
        <x:v>ICN011</x:v>
      </x:c>
      <x:c r="J739" s="26" t="str">
        <x:v>医药生物与医疗健康产业链/中游/药械生产、医疗装备与数字平台</x:v>
      </x:c>
      <x:c r="K739" s="26" t="str">
        <x:v>在生产制造行业中，医疗器械生产/质量管理人员扮演着至关重要的角色。他们负责确保产品符合国家及国际标准，从原材料采购到成品出厂的每一个环节都需经过严格的监控与检测，以保障患者安全和治疗效果。此职位不仅是公司内部品质控制的关…</x:v>
      </x:c>
      <x:c r="L739" s="26" t="str">
        <x:v>1. 负责制定和完善医疗器械生产过程中的质量控制标准和流程，确保所有操作符合GMP（良好生产规范）要求。 2. 对生产线进行定期巡检，监督关键工序的质量状况，及时发现并解决潜在问题，防止不合格品流入下一道工序或最终用户手…</x:v>
      </x:c>
    </x:row>
    <x:row r="740" ht="72" customHeight="1">
      <x:c r="A740" s="25" t="n">
        <x:v>11632</x:v>
      </x:c>
      <x:c r="B740" s="25" t="str">
        <x:v>IC-L3-889</x:v>
      </x:c>
      <x:c r="C740" s="25" t="str">
        <x:v>可靠度工程师</x:v>
      </x:c>
      <x:c r="D740" s="25" t="str">
        <x:v>2-02-29-03</x:v>
      </x:c>
      <x:c r="E740" s="25" t="str">
        <x:v>质量管理工程技术人员</x:v>
      </x:c>
      <x:c r="F740" s="28" t="n">
        <x:f>COUNTIF('岗位-产业节点关系'!$C$4:$C$709,B740)</x:f>
        <x:v>0</x:v>
      </x:c>
      <x:c r="G740" s="26" t="str">
        <x:f>IF(F740=0,"未匹配（现有产业链范围未覆盖或证据不足）",IF(COUNTIFS('岗位-产业节点关系'!$C$4:$C$709,B740,'岗位-产业节点关系'!$M$4:$M$709,"低")&gt;0,"已匹配，建议复核","已匹配"))</x:f>
        <x:v>未匹配（现有产业链范围未覆盖或证据不足）</x:v>
      </x:c>
      <x:c r="H740" s="26" t="str">
        <x:v>-</x:v>
      </x:c>
      <x:c r="I740" s="26" t="str"/>
      <x:c r="J740" s="26" t="str"/>
      <x:c r="K740" s="26" t="str">
        <x:v>可靠度工程师是生产制造行业中不可或缺的角色，他们负责确保产品从设计到生产的整个过程中都能达到最高的质量标准。这一职位不仅需要具备深厚的技术背景，还需要拥有良好的沟通能力和解决问题的能力，以应对复杂多变的质量管理挑战。 作…</x:v>
      </x:c>
      <x:c r="L740" s="26" t="str">
        <x:v>可靠度工程师的主要职责包括：负责产品可靠度设计、分析与评估，制定并实施可靠度测试计划；进行失效模式与影响分析（FMEA），识别潜在风险并提出改进措施；参与产品设计评审，确保设计符合可靠度要求；分析产品可靠性数据，优化产品…</x:v>
      </x:c>
    </x:row>
    <x:row r="741" ht="72" customHeight="1">
      <x:c r="A741" s="25" t="n">
        <x:v>11633</x:v>
      </x:c>
      <x:c r="B741" s="25" t="str">
        <x:v>IC-L3-890</x:v>
      </x:c>
      <x:c r="C741" s="25" t="str">
        <x:v>客户质量工程师</x:v>
      </x:c>
      <x:c r="D741" s="25" t="str">
        <x:v>2-02-29-03</x:v>
      </x:c>
      <x:c r="E741" s="25" t="str">
        <x:v>质量管理工程技术人员</x:v>
      </x:c>
      <x:c r="F741" s="28" t="n">
        <x:f>COUNTIF('岗位-产业节点关系'!$C$4:$C$709,B741)</x:f>
        <x:v>0</x:v>
      </x:c>
      <x:c r="G741" s="26" t="str">
        <x:f>IF(F741=0,"未匹配（现有产业链范围未覆盖或证据不足）",IF(COUNTIFS('岗位-产业节点关系'!$C$4:$C$709,B741,'岗位-产业节点关系'!$M$4:$M$709,"低")&gt;0,"已匹配，建议复核","已匹配"))</x:f>
        <x:v>未匹配（现有产业链范围未覆盖或证据不足）</x:v>
      </x:c>
      <x:c r="H741" s="26" t="str">
        <x:v>-</x:v>
      </x:c>
      <x:c r="I741" s="26" t="str"/>
      <x:c r="J741" s="26" t="str"/>
      <x:c r="K741" s="26" t="str">
        <x:v>客户质量工程师是生产制造行业中不可或缺的角色，负责确保产品从设计到交付整个过程中的质量符合客户的要求。此职位不仅在维护公司声誉方面发挥着关键作用，而且对于建立长期稳定的客户关系至关重要。 客户质量工程师的核心目标是通过实…</x:v>
      </x:c>
      <x:c r="L741" s="26" t="str">
        <x:v>客户质量工程师的主要职责包括：负责客户产品质量问题的分析与解决，制定并实施质量改进措施；与客户保持良好沟通，收集并反馈客户质量需求和意见；参与产品设计评审，确保设计符合质量标准；制定和执行质量检验计划，确保产品质量符合要…</x:v>
      </x:c>
    </x:row>
    <x:row r="742" ht="72" customHeight="1">
      <x:c r="A742" s="25" t="n">
        <x:v>11634</x:v>
      </x:c>
      <x:c r="B742" s="25" t="str">
        <x:v>IC-L3-891</x:v>
      </x:c>
      <x:c r="C742" s="25" t="str">
        <x:v>故障分析工程师</x:v>
      </x:c>
      <x:c r="D742" s="25" t="str">
        <x:v>2-02-29-03</x:v>
      </x:c>
      <x:c r="E742" s="25" t="str">
        <x:v>质量管理工程技术人员</x:v>
      </x:c>
      <x:c r="F742" s="28" t="n">
        <x:f>COUNTIF('岗位-产业节点关系'!$C$4:$C$709,B742)</x:f>
        <x:v>0</x:v>
      </x:c>
      <x:c r="G742" s="26" t="str">
        <x:f>IF(F742=0,"未匹配（现有产业链范围未覆盖或证据不足）",IF(COUNTIFS('岗位-产业节点关系'!$C$4:$C$709,B742,'岗位-产业节点关系'!$M$4:$M$709,"低")&gt;0,"已匹配，建议复核","已匹配"))</x:f>
        <x:v>未匹配（现有产业链范围未覆盖或证据不足）</x:v>
      </x:c>
      <x:c r="H742" s="26" t="str">
        <x:v>-</x:v>
      </x:c>
      <x:c r="I742" s="26" t="str"/>
      <x:c r="J742" s="26" t="str"/>
      <x:c r="K742" s="26" t="str">
        <x:v>故障分析工程师是生产制造行业中不可或缺的专业人才，他们通过深入研究和分析产品或生产过程中出现的问题，确保产品质量符合高标准要求。作为质量管理体系的关键组成部分，故障分析工程师不仅能够迅速识别问题的根本原因，还能够提出有效…</x:v>
      </x:c>
      <x:c r="L742" s="26" t="str">
        <x:v>1. 对生产线上的不合格品进行详细的故障分析，确定其产生原因，制定预防措施以降低不良率。 2. 跟踪并记录所有故障案例，建立数据库，定期总结分析，为优化生产工艺提供数据支持。 3. 与相关部门密切沟通，协助解决现场遇到的…</x:v>
      </x:c>
    </x:row>
    <x:row r="743" ht="72" customHeight="1">
      <x:c r="A743" s="25" t="n">
        <x:v>11635</x:v>
      </x:c>
      <x:c r="B743" s="25" t="str">
        <x:v>IC-L3-892</x:v>
      </x:c>
      <x:c r="C743" s="25" t="str">
        <x:v>服装纺织质检员</x:v>
      </x:c>
      <x:c r="D743" s="25" t="str">
        <x:v>2-02-29-03</x:v>
      </x:c>
      <x:c r="E743" s="25" t="str">
        <x:v>质量管理工程技术人员</x:v>
      </x:c>
      <x:c r="F743" s="28" t="n">
        <x:f>COUNTIF('岗位-产业节点关系'!$C$4:$C$709,B743)</x:f>
        <x:v>1</x:v>
      </x:c>
      <x:c r="G743" s="26" t="str">
        <x:f>IF(F743=0,"未匹配（现有产业链范围未覆盖或证据不足）",IF(COUNTIFS('岗位-产业节点关系'!$C$4:$C$709,B743,'岗位-产业节点关系'!$M$4:$M$709,"低")&gt;0,"已匹配，建议复核","已匹配"))</x:f>
        <x:v>已匹配</x:v>
      </x:c>
      <x:c r="H743" s="26" t="str">
        <x:v>高</x:v>
      </x:c>
      <x:c r="I743" s="26" t="str">
        <x:v>ICN050</x:v>
      </x:c>
      <x:c r="J743" s="26" t="str">
        <x:v>纺织产业链/中游/纺纱织造、印染与面料制造</x:v>
      </x:c>
      <x:c r="K743" s="26" t="str">
        <x:v>服装纺织质检员是生产制造行业中不可或缺的专业人才，在确保产品质量和符合客户标准方面发挥着关键作用。作为连接生产与销售的重要环节，质检员不仅需要具备扎实的纺织品专业知识，还需拥有敏锐的质量意识，能够准确识别并解决产品潜在的…</x:v>
      </x:c>
      <x:c r="L743" s="26" t="str">
        <x:v>1. 对生产线上及入库前的服装纺织品进行抽样检查，确保产品符合国家相关法律法规以及企业内部质量标准。 2. 记录检验过程中发现的问题，及时向生产部门反馈，协助制定整改措施以减少不合格品率。 3. 参与新产品的质量评估工作…</x:v>
      </x:c>
    </x:row>
    <x:row r="744" ht="72" customHeight="1">
      <x:c r="A744" s="25" t="n">
        <x:v>11636</x:v>
      </x:c>
      <x:c r="B744" s="25" t="str">
        <x:v>IC-L3-893</x:v>
      </x:c>
      <x:c r="C744" s="25" t="str">
        <x:v>汽车质量工程师</x:v>
      </x:c>
      <x:c r="D744" s="25" t="str">
        <x:v>2-02-07-11</x:v>
      </x:c>
      <x:c r="E744" s="25" t="str">
        <x:v>汽车工程技术人员</x:v>
      </x:c>
      <x:c r="F744" s="28" t="n">
        <x:f>COUNTIF('岗位-产业节点关系'!$C$4:$C$709,B744)</x:f>
        <x:v>1</x:v>
      </x:c>
      <x:c r="G744" s="26" t="str">
        <x:f>IF(F744=0,"未匹配（现有产业链范围未覆盖或证据不足）",IF(COUNTIFS('岗位-产业节点关系'!$C$4:$C$709,B744,'岗位-产业节点关系'!$M$4:$M$709,"低")&gt;0,"已匹配，建议复核","已匹配"))</x:f>
        <x:v>已匹配</x:v>
      </x:c>
      <x:c r="H744" s="26" t="str">
        <x:v>中</x:v>
      </x:c>
      <x:c r="I744" s="26" t="str">
        <x:v>ICN023</x:v>
      </x:c>
      <x:c r="J744" s="26" t="str">
        <x:v>汽车与智能网联汽车产业链/中游/整车制造与智能网联系统集成</x:v>
      </x:c>
      <x:c r="K744" s="26" t="str">
        <x:v>汽车质量工程师是生产制造行业中不可或缺的专业人才，负责确保汽车产品的质量和可靠性，其工作直接关系到消费者的安全与满意度。通过制定和实施严格的质量控制标准，汽车质量工程师能够帮助企业减少缺陷率，提高生产效率，增强市场竞争力…</x:v>
      </x:c>
      <x:c r="L744" s="26" t="str">
        <x:v>1. 负责制定并执行全面的质量管理体系，确保所有生产环节符合国家及国际相关法规要求。 2. 定期进行产品质量检测，分析潜在风险点，提出预防措施，持续优化生产工艺流程，降低不良品率。 3. 协调供应商管理，评估其提供的原材…</x:v>
      </x:c>
    </x:row>
    <x:row r="745" ht="72" customHeight="1">
      <x:c r="A745" s="25" t="n">
        <x:v>11637</x:v>
      </x:c>
      <x:c r="B745" s="25" t="str">
        <x:v>IC-L3-894</x:v>
      </x:c>
      <x:c r="C745" s="25" t="str">
        <x:v>生产安全员</x:v>
      </x:c>
      <x:c r="D745" s="25" t="str">
        <x:v>2-02-29-03</x:v>
      </x:c>
      <x:c r="E745" s="25" t="str">
        <x:v>质量管理工程技术人员</x:v>
      </x:c>
      <x:c r="F745" s="28" t="n">
        <x:f>COUNTIF('岗位-产业节点关系'!$C$4:$C$709,B745)</x:f>
        <x:v>0</x:v>
      </x:c>
      <x:c r="G745" s="26" t="str">
        <x:f>IF(F745=0,"未匹配（现有产业链范围未覆盖或证据不足）",IF(COUNTIFS('岗位-产业节点关系'!$C$4:$C$709,B745,'岗位-产业节点关系'!$M$4:$M$709,"低")&gt;0,"已匹配，建议复核","已匹配"))</x:f>
        <x:v>未匹配（现有产业链范围未覆盖或证据不足）</x:v>
      </x:c>
      <x:c r="H745" s="26" t="str">
        <x:v>-</x:v>
      </x:c>
      <x:c r="I745" s="26" t="str"/>
      <x:c r="J745" s="26" t="str"/>
      <x:c r="K745" s="26" t="str">
        <x:v>生产安全员是生产制造行业中不可或缺的角色，负责确保生产过程的安全与质量控制。在生产线上，他们是预防事故的第一道防线，通过实施严格的安全标准和操作程序，保障员工的人身安全和生产设备的正常运行。此外，生产安全员还承担着提高生…</x:v>
      </x:c>
      <x:c r="L745" s="26" t="str">
        <x:v>1. 定期巡视生产现场，检查设备设施是否符合安全生产标准，及时发现并排除潜在的安全隐患。 2. 制定和完善安全生产管理制度及操作规程，确保所有生产活动均在安全可控的范围内进行。 3. 组织开展安全生产教育培训，提高全体员…</x:v>
      </x:c>
    </x:row>
    <x:row r="746" ht="72" customHeight="1">
      <x:c r="A746" s="25" t="n">
        <x:v>11638</x:v>
      </x:c>
      <x:c r="B746" s="25" t="str">
        <x:v>IC-L3-895</x:v>
      </x:c>
      <x:c r="C746" s="25" t="str">
        <x:v>药品生产/质量管理</x:v>
      </x:c>
      <x:c r="D746" s="25" t="str">
        <x:v>2-02-29-03</x:v>
      </x:c>
      <x:c r="E746" s="25" t="str">
        <x:v>质量管理工程技术人员</x:v>
      </x:c>
      <x:c r="F746" s="28" t="n">
        <x:f>COUNTIF('岗位-产业节点关系'!$C$4:$C$709,B746)</x:f>
        <x:v>1</x:v>
      </x:c>
      <x:c r="G746" s="26" t="str">
        <x:f>IF(F746=0,"未匹配（现有产业链范围未覆盖或证据不足）",IF(COUNTIFS('岗位-产业节点关系'!$C$4:$C$709,B746,'岗位-产业节点关系'!$M$4:$M$709,"低")&gt;0,"已匹配，建议复核","已匹配"))</x:f>
        <x:v>已匹配</x:v>
      </x:c>
      <x:c r="H746" s="26" t="str">
        <x:v>中</x:v>
      </x:c>
      <x:c r="I746" s="26" t="str">
        <x:v>ICN011</x:v>
      </x:c>
      <x:c r="J746" s="26" t="str">
        <x:v>医药生物与医疗健康产业链/中游/药械生产、医疗装备与数字平台</x:v>
      </x:c>
      <x:c r="K746" s="26" t="str">
        <x:v>**岗位简介** 药品生产/质量管理是生产制造行业中不可或缺的重要环节，负责确保药品从原料到成品的每一个步骤都符合国家和国际的质量标准。该职位不仅直接关系到药品的安全性和有效性，还对公司声誉及市场竞争力产生深远影响。 该…</x:v>
      </x:c>
      <x:c r="L746" s="26" t="str">
        <x:v>药品生产/质量管理岗位职责： 1. 负责药品生产过程的质量监控，确保生产符合GMP标准； 2. 审核生产记录，确保数据准确无误； 3. 参与质量管理体系的建立与维护，确保体系有效运行； 4. 负责生产过程中的质量异常处理…</x:v>
      </x:c>
    </x:row>
    <x:row r="747" ht="72" customHeight="1">
      <x:c r="A747" s="25" t="n">
        <x:v>11639</x:v>
      </x:c>
      <x:c r="B747" s="25" t="str">
        <x:v>IC-L3-896</x:v>
      </x:c>
      <x:c r="C747" s="25" t="str">
        <x:v>认证工程师</x:v>
      </x:c>
      <x:c r="D747" s="25" t="str">
        <x:v>2-02-29-04</x:v>
      </x:c>
      <x:c r="E747" s="25" t="str">
        <x:v>质量认证认可工程技术人员</x:v>
      </x:c>
      <x:c r="F747" s="28" t="n">
        <x:f>COUNTIF('岗位-产业节点关系'!$C$4:$C$709,B747)</x:f>
        <x:v>0</x:v>
      </x:c>
      <x:c r="G747" s="26" t="str">
        <x:f>IF(F747=0,"未匹配（现有产业链范围未覆盖或证据不足）",IF(COUNTIFS('岗位-产业节点关系'!$C$4:$C$709,B747,'岗位-产业节点关系'!$M$4:$M$709,"低")&gt;0,"已匹配，建议复核","已匹配"))</x:f>
        <x:v>未匹配（现有产业链范围未覆盖或证据不足）</x:v>
      </x:c>
      <x:c r="H747" s="26" t="str">
        <x:v>-</x:v>
      </x:c>
      <x:c r="I747" s="26" t="str"/>
      <x:c r="J747" s="26" t="str"/>
      <x:c r="K747" s="26" t="str">
        <x:v>认证工程师是生产制造行业中不可或缺的专业人才，负责确保公司产品符合国家及国际标准要求。通过严谨的质量管理体系审核与产品测试，他们帮助企业在激烈的市场竞争中树立良好的品牌形象和信誉度，同时降低潜在的风险成本。此外，认证工程…</x:v>
      </x:c>
      <x:c r="L747" s="26" t="str">
        <x:v>1. 负责制定并实施企业内部质量控制体系，确保所有产品和服务达到或超过相关法律法规及客户要求的标准。 2. 对新产品进行系统化的认证流程规划，包括但不限于CE、UL、FCC等国内外认证，确保按时完成认证工作并获得相应的证…</x:v>
      </x:c>
    </x:row>
    <x:row r="748" ht="72" customHeight="1">
      <x:c r="A748" s="25" t="n">
        <x:v>11640</x:v>
      </x:c>
      <x:c r="B748" s="25" t="str">
        <x:v>IC-L3-897</x:v>
      </x:c>
      <x:c r="C748" s="25" t="str">
        <x:v>质检员QC</x:v>
      </x:c>
      <x:c r="D748" s="25" t="str">
        <x:v>2-02-29-03</x:v>
      </x:c>
      <x:c r="E748" s="25" t="str">
        <x:v>质量管理工程技术人员</x:v>
      </x:c>
      <x:c r="F748" s="28" t="n">
        <x:f>COUNTIF('岗位-产业节点关系'!$C$4:$C$709,B748)</x:f>
        <x:v>0</x:v>
      </x:c>
      <x:c r="G748" s="26" t="str">
        <x:f>IF(F748=0,"未匹配（现有产业链范围未覆盖或证据不足）",IF(COUNTIFS('岗位-产业节点关系'!$C$4:$C$709,B748,'岗位-产业节点关系'!$M$4:$M$709,"低")&gt;0,"已匹配，建议复核","已匹配"))</x:f>
        <x:v>未匹配（现有产业链范围未覆盖或证据不足）</x:v>
      </x:c>
      <x:c r="H748" s="26" t="str">
        <x:v>-</x:v>
      </x:c>
      <x:c r="I748" s="26" t="str"/>
      <x:c r="J748" s="26" t="str"/>
      <x:c r="K748" s="26" t="str">
        <x:v>质检员QC是生产制造行业中不可或缺的重要角色，负责确保产品的质量符合既定标准，从而维护公司声誉并满足客户需求。通过严格执行质量控制流程，质检员不仅能够及时发现和解决生产过程中的质量问题，还能提供改进建议，帮助优化生产流程…</x:v>
      </x:c>
      <x:c r="L748" s="26" t="str">
        <x:v>1. 按照公司制定的质量标准和检验规程，对原材料、半成品及成品进行抽样检查，确保所有出库产品均达到规定质量要求。 2. 记录并分析检验结果，对不合格项目进行跟踪处理，直至问题得到彻底解决，同时定期汇总质量数据，为管理层决…</x:v>
      </x:c>
    </x:row>
    <x:row r="749" ht="72" customHeight="1">
      <x:c r="A749" s="25" t="n">
        <x:v>11641</x:v>
      </x:c>
      <x:c r="B749" s="25" t="str">
        <x:v>IC-L3-898</x:v>
      </x:c>
      <x:c r="C749" s="25" t="str">
        <x:v>质量/品质主管</x:v>
      </x:c>
      <x:c r="D749" s="25" t="str">
        <x:v>2-02-29-03</x:v>
      </x:c>
      <x:c r="E749" s="25" t="str">
        <x:v>质量管理工程技术人员</x:v>
      </x:c>
      <x:c r="F749" s="28" t="n">
        <x:f>COUNTIF('岗位-产业节点关系'!$C$4:$C$709,B749)</x:f>
        <x:v>0</x:v>
      </x:c>
      <x:c r="G749" s="26" t="str">
        <x:f>IF(F749=0,"未匹配（现有产业链范围未覆盖或证据不足）",IF(COUNTIFS('岗位-产业节点关系'!$C$4:$C$709,B749,'岗位-产业节点关系'!$M$4:$M$709,"低")&gt;0,"已匹配，建议复核","已匹配"))</x:f>
        <x:v>未匹配（现有产业链范围未覆盖或证据不足）</x:v>
      </x:c>
      <x:c r="H749" s="26" t="str">
        <x:v>-</x:v>
      </x:c>
      <x:c r="I749" s="26" t="str"/>
      <x:c r="J749" s="26" t="str"/>
      <x:c r="K749" s="26" t="str">
        <x:v>质量/品质主管是生产制造行业中不可或缺的关键角色，负责确保公司产品的质量符合标准，从而维护企业声誉并提升客户满意度。通过实施严格的质量控制流程，该职位能够有效预防质量问题的发生，减少成本浪费，提高生产效率，为公司的可持续…</x:v>
      </x:c>
      <x:c r="L749" s="26" t="str">
        <x:v>1. 制定并执行全面的质量保证计划，确保所有生产过程及最终产品均符合既定的质量标准。 2. 监督日常的质量检测工作，定期分析质量数据，识别潜在问题点，并提出改进建议。 3. 组织内部培训，提高员工对质量意识的理解与实践能…</x:v>
      </x:c>
    </x:row>
    <x:row r="750" ht="72" customHeight="1">
      <x:c r="A750" s="25" t="n">
        <x:v>11642</x:v>
      </x:c>
      <x:c r="B750" s="25" t="str">
        <x:v>IC-L3-899</x:v>
      </x:c>
      <x:c r="C750" s="25" t="str">
        <x:v>质量/品质经理</x:v>
      </x:c>
      <x:c r="D750" s="25" t="str">
        <x:v>2-02-29-03</x:v>
      </x:c>
      <x:c r="E750" s="25" t="str">
        <x:v>质量管理工程技术人员</x:v>
      </x:c>
      <x:c r="F750" s="28" t="n">
        <x:f>COUNTIF('岗位-产业节点关系'!$C$4:$C$709,B750)</x:f>
        <x:v>0</x:v>
      </x:c>
      <x:c r="G750" s="26" t="str">
        <x:f>IF(F750=0,"未匹配（现有产业链范围未覆盖或证据不足）",IF(COUNTIFS('岗位-产业节点关系'!$C$4:$C$709,B750,'岗位-产业节点关系'!$M$4:$M$709,"低")&gt;0,"已匹配，建议复核","已匹配"))</x:f>
        <x:v>未匹配（现有产业链范围未覆盖或证据不足）</x:v>
      </x:c>
      <x:c r="H750" s="26" t="str">
        <x:v>-</x:v>
      </x:c>
      <x:c r="I750" s="26" t="str"/>
      <x:c r="J750" s="26" t="str"/>
      <x:c r="K750" s="26" t="str">
        <x:v>质量/品质经理在生产制造行业中扮演着至关重要的角色，他们负责确保公司生产的产品符合既定的质量标准，从而维护品牌声誉并促进客户满意度。作为连接生产与市场的关键桥梁，该职位不仅监督产品质量控制过程，还参与产品设计及工艺改进，…</x:v>
      </x:c>
      <x:c r="L750" s="26" t="str">
        <x:v>1. 制定并实施全面的质量管理体系，覆盖从原材料进厂检验到成品出库的全过程，确保所有环节均达到国家法规要求及企业内部标准。 2. 定期组织内部审核和外部认证，评估现有流程的有效性，识别潜在风险点，及时提出改进建议并跟踪落…</x:v>
      </x:c>
    </x:row>
    <x:row r="751" ht="72" customHeight="1">
      <x:c r="A751" s="25" t="n">
        <x:v>11643</x:v>
      </x:c>
      <x:c r="B751" s="25" t="str">
        <x:v>IC-L3-900</x:v>
      </x:c>
      <x:c r="C751" s="25" t="str">
        <x:v>质量工程师</x:v>
      </x:c>
      <x:c r="D751" s="25" t="str">
        <x:v>2-02-29-03</x:v>
      </x:c>
      <x:c r="E751" s="25" t="str">
        <x:v>质量管理工程技术人员</x:v>
      </x:c>
      <x:c r="F751" s="28" t="n">
        <x:f>COUNTIF('岗位-产业节点关系'!$C$4:$C$709,B751)</x:f>
        <x:v>0</x:v>
      </x:c>
      <x:c r="G751" s="26" t="str">
        <x:f>IF(F751=0,"未匹配（现有产业链范围未覆盖或证据不足）",IF(COUNTIFS('岗位-产业节点关系'!$C$4:$C$709,B751,'岗位-产业节点关系'!$M$4:$M$709,"低")&gt;0,"已匹配，建议复核","已匹配"))</x:f>
        <x:v>未匹配（现有产业链范围未覆盖或证据不足）</x:v>
      </x:c>
      <x:c r="H751" s="26" t="str">
        <x:v>-</x:v>
      </x:c>
      <x:c r="I751" s="26" t="str"/>
      <x:c r="J751" s="26" t="str"/>
      <x:c r="K751" s="26" t="str">
        <x:v>质量工程师是生产制造行业中不可或缺的角色，负责确保产品从设计到生产的每一个环节都符合既定的质量标准。这一职位不仅直接关系到产品的最终品质，也是公司品牌信誉的重要保障。通过实施有效的质量控制措施，质量工程师能够帮助公司减少…</x:v>
      </x:c>
      <x:c r="L751" s="26" t="str">
        <x:v>1. 制定并执行全面的质量保证计划，以确保所有生产过程和最终产品均达到或超过客户和法规要求。 2. 定期审查生产流程，识别潜在的质量问题，提出预防措施，减少不良品的产生。 3. 与供应商合作，建立供应商质量管理体系，确保…</x:v>
      </x:c>
    </x:row>
    <x:row r="752" ht="72" customHeight="1">
      <x:c r="A752" s="25" t="n">
        <x:v>11644</x:v>
      </x:c>
      <x:c r="B752" s="25" t="str">
        <x:v>IC-L3-901</x:v>
      </x:c>
      <x:c r="C752" s="25" t="str">
        <x:v>过程质量工程师</x:v>
      </x:c>
      <x:c r="D752" s="25" t="str">
        <x:v>2-02-29-03</x:v>
      </x:c>
      <x:c r="E752" s="25" t="str">
        <x:v>质量管理工程技术人员</x:v>
      </x:c>
      <x:c r="F752" s="28" t="n">
        <x:f>COUNTIF('岗位-产业节点关系'!$C$4:$C$709,B752)</x:f>
        <x:v>0</x:v>
      </x:c>
      <x:c r="G752" s="26" t="str">
        <x:f>IF(F752=0,"未匹配（现有产业链范围未覆盖或证据不足）",IF(COUNTIFS('岗位-产业节点关系'!$C$4:$C$709,B752,'岗位-产业节点关系'!$M$4:$M$709,"低")&gt;0,"已匹配，建议复核","已匹配"))</x:f>
        <x:v>未匹配（现有产业链范围未覆盖或证据不足）</x:v>
      </x:c>
      <x:c r="H752" s="26" t="str">
        <x:v>-</x:v>
      </x:c>
      <x:c r="I752" s="26" t="str"/>
      <x:c r="J752" s="26" t="str"/>
      <x:c r="K752" s="26" t="str">
        <x:v>过程质量工程师在生产制造行业中扮演着至关重要的角色，他们负责确保产品在整个生产流程中的质量符合既定标准，通过持续的质量监控与改进措施来预防潜在的质量问题，从而保证最终产品的品质稳定可靠。作为公司质量管理体系的关键组成部分…</x:v>
      </x:c>
      <x:c r="L752" s="26" t="str">
        <x:v>1. 制定并实施过程质量控制计划，定期进行现场巡检，确保生产过程符合ISO9001等国际质量管理体系要求。 2. 分析生产线上的不合格品数据，识别根本原因，提出有效的纠正预防措施，以降低不良率。 3. 与相关部门合作，参…</x:v>
      </x:c>
    </x:row>
    <x:row r="753" ht="72" customHeight="1">
      <x:c r="A753" s="25" t="n">
        <x:v>11645</x:v>
      </x:c>
      <x:c r="B753" s="25" t="str">
        <x:v>IC-L3-902</x:v>
      </x:c>
      <x:c r="C753" s="25" t="str">
        <x:v>采购材料、设备质量管理</x:v>
      </x:c>
      <x:c r="D753" s="25" t="str">
        <x:v>2-02-29-03</x:v>
      </x:c>
      <x:c r="E753" s="25" t="str">
        <x:v>质量管理工程技术人员</x:v>
      </x:c>
      <x:c r="F753" s="28" t="n">
        <x:f>COUNTIF('岗位-产业节点关系'!$C$4:$C$709,B753)</x:f>
        <x:v>0</x:v>
      </x:c>
      <x:c r="G753" s="26" t="str">
        <x:f>IF(F753=0,"未匹配（现有产业链范围未覆盖或证据不足）",IF(COUNTIFS('岗位-产业节点关系'!$C$4:$C$709,B753,'岗位-产业节点关系'!$M$4:$M$709,"低")&gt;0,"已匹配，建议复核","已匹配"))</x:f>
        <x:v>未匹配（现有产业链范围未覆盖或证据不足）</x:v>
      </x:c>
      <x:c r="H753" s="26" t="str">
        <x:v>-</x:v>
      </x:c>
      <x:c r="I753" s="26" t="str"/>
      <x:c r="J753" s="26" t="str"/>
      <x:c r="K753" s="26" t="str">
        <x:v>在生产制造行业中，采购材料与设备的质量管理是确保产品最终质量的关键环节之一。该职位不仅承担着对原材料和生产设备进行严格的质量控制的责任，还直接关系到企业的成本控制、生产效率及品牌形象。作为连接供应商与制造商之间的桥梁，质…</x:v>
      </x:c>
      <x:c r="L753" s="26" t="str">
        <x:v>1. 负责制定和完善采购材料及设备的质量检验标准和流程，确保所有入库物资符合公司及行业标准。 2. 对供应商提供的样品进行初步检测，评估其是否满足质量要求，并出具详细的检测报告。 3. 定期组织现场审核，监督供应商生产过…</x:v>
      </x:c>
    </x:row>
    <x:row r="754" ht="72" customHeight="1">
      <x:c r="A754" s="25" t="n">
        <x:v>11646</x:v>
      </x:c>
      <x:c r="B754" s="25" t="str">
        <x:v>IC-L3-903</x:v>
      </x:c>
      <x:c r="C754" s="25" t="str">
        <x:v>仓库管理员</x:v>
      </x:c>
      <x:c r="D754" s="25" t="str">
        <x:v>4-02-06-01</x:v>
      </x:c>
      <x:c r="E754" s="25" t="str">
        <x:v>仓储管理员</x:v>
      </x:c>
      <x:c r="F754" s="28" t="n">
        <x:f>COUNTIF('岗位-产业节点关系'!$C$4:$C$709,B754)</x:f>
        <x:v>0</x:v>
      </x:c>
      <x:c r="G754" s="26" t="str">
        <x:f>IF(F754=0,"未匹配（现有产业链范围未覆盖或证据不足）",IF(COUNTIFS('岗位-产业节点关系'!$C$4:$C$709,B754,'岗位-产业节点关系'!$M$4:$M$709,"低")&gt;0,"已匹配，建议复核","已匹配"))</x:f>
        <x:v>未匹配（现有产业链范围未覆盖或证据不足）</x:v>
      </x:c>
      <x:c r="H754" s="26" t="str">
        <x:v>-</x:v>
      </x:c>
      <x:c r="I754" s="26" t="str"/>
      <x:c r="J754" s="26" t="str"/>
      <x:c r="K754" s="26" t="str">
        <x:v>仓库管理员是物流与供应链管理中不可或缺的角色，负责确保货物的安全存储与高效流动，对于提升整体运营效率和服务质量至关重要。作为连接采购、生产及销售等环节的关键节点，仓库管理员通过精确的库存管理和优化的空间利用，不仅能够减少…</x:v>
      </x:c>
      <x:c r="L754" s="26" t="str">
        <x:v>1. 负责日常入库验收工作，核对货物数量与质量，确保账实相符，准确无误地完成入库手续。 2. 定期进行库存盘点，及时发现并解决库存差异问题，保持库存数据的准确性，为管理层决策提供可靠依据。 3. 根据订单需求，高效准确地…</x:v>
      </x:c>
    </x:row>
    <x:row r="755" ht="72" customHeight="1">
      <x:c r="A755" s="25" t="n">
        <x:v>11647</x:v>
      </x:c>
      <x:c r="B755" s="25" t="str">
        <x:v>IC-L3-904</x:v>
      </x:c>
      <x:c r="C755" s="25" t="str">
        <x:v>仓库经理/主管</x:v>
      </x:c>
      <x:c r="D755" s="25" t="str">
        <x:v>4-02-06-01</x:v>
      </x:c>
      <x:c r="E755" s="25" t="str">
        <x:v>仓储管理员</x:v>
      </x:c>
      <x:c r="F755" s="28" t="n">
        <x:f>COUNTIF('岗位-产业节点关系'!$C$4:$C$709,B755)</x:f>
        <x:v>0</x:v>
      </x:c>
      <x:c r="G755" s="26" t="str">
        <x:f>IF(F755=0,"未匹配（现有产业链范围未覆盖或证据不足）",IF(COUNTIFS('岗位-产业节点关系'!$C$4:$C$709,B755,'岗位-产业节点关系'!$M$4:$M$709,"低")&gt;0,"已匹配，建议复核","已匹配"))</x:f>
        <x:v>未匹配（现有产业链范围未覆盖或证据不足）</x:v>
      </x:c>
      <x:c r="H755" s="26" t="str">
        <x:v>-</x:v>
      </x:c>
      <x:c r="I755" s="26" t="str"/>
      <x:c r="J755" s="26" t="str"/>
      <x:c r="K755" s="26" t="str">
        <x:v>仓库经理/主管是物流与供应链管理中不可或缺的角色，主要负责确保货物从入库到出库整个过程的高效运作。作为仓储环节的关键人物，他们不仅需要具备出色的组织协调能力，还应拥有良好的问题解决技巧，以应对日常工作中可能出现的各种挑战…</x:v>
      </x:c>
      <x:c r="L755" s="26" t="str">
        <x:v>1. 负责制定并执行仓库管理制度，确保各项流程标准化、规范化，提高工作效率。 2. 监督日常仓储操作，包括但不限于收货、分拣、打包、发货等工作，确保准确无误地完成任务。 3. 组织开展定期盘点工作，及时调整库存水平，防止…</x:v>
      </x:c>
    </x:row>
    <x:row r="756" ht="72" customHeight="1">
      <x:c r="A756" s="25" t="n">
        <x:v>11648</x:v>
      </x:c>
      <x:c r="B756" s="25" t="str">
        <x:v>IC-L3-905</x:v>
      </x:c>
      <x:c r="C756" s="25" t="str">
        <x:v>货运代理</x:v>
      </x:c>
      <x:c r="D756" s="25" t="str">
        <x:v>4-02-06-01</x:v>
      </x:c>
      <x:c r="E756" s="25" t="str">
        <x:v>仓储管理员</x:v>
      </x:c>
      <x:c r="F756" s="28" t="n">
        <x:f>COUNTIF('岗位-产业节点关系'!$C$4:$C$709,B756)</x:f>
        <x:v>0</x:v>
      </x:c>
      <x:c r="G756" s="26" t="str">
        <x:f>IF(F756=0,"未匹配（现有产业链范围未覆盖或证据不足）",IF(COUNTIFS('岗位-产业节点关系'!$C$4:$C$709,B756,'岗位-产业节点关系'!$M$4:$M$709,"低")&gt;0,"已匹配，建议复核","已匹配"))</x:f>
        <x:v>未匹配（现有产业链范围未覆盖或证据不足）</x:v>
      </x:c>
      <x:c r="H756" s="26" t="str">
        <x:v>-</x:v>
      </x:c>
      <x:c r="I756" s="26" t="str"/>
      <x:c r="J756" s="26" t="str"/>
      <x:c r="K756" s="26" t="str">
        <x:v>货运代理是专门从事仓储物流运输协调的专业人员。该职位的核心目标是通过优化货运流程，确保仓储货物高效、安全地运输交付。在日常工作中，需要进行运输方案制定、承运商协调、运输跟踪及异常处理等工作。</x:v>
      </x:c>
      <x:c r="L756" s="26" t="str">
        <x:v>1. 安排货物运输计划 2. 协调仓储出入库流程 3. 跟踪货运物流进度 4. 处理报关清关手续 5. 管理运输费用结算 6. 维护客户运输需求</x:v>
      </x:c>
    </x:row>
    <x:row r="757" ht="72" customHeight="1">
      <x:c r="A757" s="25" t="n">
        <x:v>11649</x:v>
      </x:c>
      <x:c r="B757" s="25" t="str">
        <x:v>IC-L3-906</x:v>
      </x:c>
      <x:c r="C757" s="25" t="str">
        <x:v>物流总监</x:v>
      </x:c>
      <x:c r="D757" s="25" t="str">
        <x:v>4-02-06-01</x:v>
      </x:c>
      <x:c r="E757" s="25" t="str">
        <x:v>仓储管理员</x:v>
      </x:c>
      <x:c r="F757" s="28" t="n">
        <x:f>COUNTIF('岗位-产业节点关系'!$C$4:$C$709,B757)</x:f>
        <x:v>0</x:v>
      </x:c>
      <x:c r="G757" s="26" t="str">
        <x:f>IF(F757=0,"未匹配（现有产业链范围未覆盖或证据不足）",IF(COUNTIFS('岗位-产业节点关系'!$C$4:$C$709,B757,'岗位-产业节点关系'!$M$4:$M$709,"低")&gt;0,"已匹配，建议复核","已匹配"))</x:f>
        <x:v>未匹配（现有产业链范围未覆盖或证据不足）</x:v>
      </x:c>
      <x:c r="H757" s="26" t="str">
        <x:v>-</x:v>
      </x:c>
      <x:c r="I757" s="26" t="str"/>
      <x:c r="J757" s="26" t="str"/>
      <x:c r="K757" s="26" t="str">
        <x:v>物流总监是专门从事仓储物流体系规划与管理的专业人员。该职位的核心目标是通过优化供应链网络和仓储运营效率，实现降本增效和客户满意度提升。在日常工作中，需要进行仓储布局设计、运输管理、库存控制、团队建设及成本分析等工作。</x:v>
      </x:c>
      <x:c r="L757" s="26" t="str">
        <x:v>1. 制定物流战略规划 2. 优化仓储运营流程 3. 管理运输配送体系 4. 控制物流成本预算 5. 提升库存周转效率 6. 确保供应链安全合规</x:v>
      </x:c>
    </x:row>
    <x:row r="758" ht="72" customHeight="1">
      <x:c r="A758" s="25" t="n">
        <x:v>11650</x:v>
      </x:c>
      <x:c r="B758" s="25" t="str">
        <x:v>IC-L3-907</x:v>
      </x:c>
      <x:c r="C758" s="25" t="str">
        <x:v>供应链专员</x:v>
      </x:c>
      <x:c r="D758" s="25" t="str">
        <x:v>4-02-06-05</x:v>
      </x:c>
      <x:c r="E758" s="25" t="str">
        <x:v>供应链管理师</x:v>
      </x:c>
      <x:c r="F758" s="28" t="n">
        <x:f>COUNTIF('岗位-产业节点关系'!$C$4:$C$709,B758)</x:f>
        <x:v>0</x:v>
      </x:c>
      <x:c r="G758" s="26" t="str">
        <x:f>IF(F758=0,"未匹配（现有产业链范围未覆盖或证据不足）",IF(COUNTIFS('岗位-产业节点关系'!$C$4:$C$709,B758,'岗位-产业节点关系'!$M$4:$M$709,"低")&gt;0,"已匹配，建议复核","已匹配"))</x:f>
        <x:v>未匹配（现有产业链范围未覆盖或证据不足）</x:v>
      </x:c>
      <x:c r="H758" s="26" t="str">
        <x:v>-</x:v>
      </x:c>
      <x:c r="I758" s="26" t="str"/>
      <x:c r="J758" s="26" t="str"/>
      <x:c r="K758" s="26" t="str">
        <x:v>供应链专员是物流与供应链行业中不可或缺的专业人才，他们通过优化从采购到交付的整个流程，确保产品或服务能够高效、准确地到达最终用户手中。这一职位不仅在保障企业运营顺畅方面扮演着关键角色，同时也是企业实现成本控制、提高客户满…</x:v>
      </x:c>
      <x:c r="L758" s="26" t="str">
        <x:v>1. 负责供应商评估与选择，建立稳定的供应链合作关系，确保原材料供应的质量和稳定性。 2. 制定详细的采购计划，根据市场需求预测合理安排订单量，避免过度或不足采购现象发生。 3. 协调内部各部门及外部合作伙伴之间的沟通，…</x:v>
      </x:c>
    </x:row>
    <x:row r="759" ht="72" customHeight="1">
      <x:c r="A759" s="25" t="n">
        <x:v>11651</x:v>
      </x:c>
      <x:c r="B759" s="25" t="str">
        <x:v>IC-L3-908</x:v>
      </x:c>
      <x:c r="C759" s="25" t="str">
        <x:v>供应链主管</x:v>
      </x:c>
      <x:c r="D759" s="25" t="str">
        <x:v>4-02-06-05</x:v>
      </x:c>
      <x:c r="E759" s="25" t="str">
        <x:v>供应链管理师</x:v>
      </x:c>
      <x:c r="F759" s="28" t="n">
        <x:f>COUNTIF('岗位-产业节点关系'!$C$4:$C$709,B759)</x:f>
        <x:v>0</x:v>
      </x:c>
      <x:c r="G759" s="26" t="str">
        <x:f>IF(F759=0,"未匹配（现有产业链范围未覆盖或证据不足）",IF(COUNTIFS('岗位-产业节点关系'!$C$4:$C$709,B759,'岗位-产业节点关系'!$M$4:$M$709,"低")&gt;0,"已匹配，建议复核","已匹配"))</x:f>
        <x:v>未匹配（现有产业链范围未覆盖或证据不足）</x:v>
      </x:c>
      <x:c r="H759" s="26" t="str">
        <x:v>-</x:v>
      </x:c>
      <x:c r="I759" s="26" t="str"/>
      <x:c r="J759" s="26" t="str"/>
      <x:c r="K759" s="26" t="str">
        <x:v>供应链主管是物流与供应链行业中不可或缺的关键角色，负责确保从供应商到最终客户的整个供应链流程顺畅高效。这一职位不仅要求具备卓越的组织协调能力，还需要拥有深厚的行业知识和敏锐的市场洞察力，以应对不断变化的市场需求。 供应链…</x:v>
      </x:c>
      <x:c r="L759" s="26" t="str">
        <x:v>1. 制定并执行供应链战略，包括但不限于供应商选择、库存控制及物流配送等环节，以实现成本最小化和客户满意度最大化。 2. 监控供应链绩效指标（如订单周期时间、库存周转率等），定期分析数据报告，识别潜在问题并提出改进建议。…</x:v>
      </x:c>
    </x:row>
    <x:row r="760" ht="72" customHeight="1">
      <x:c r="A760" s="25" t="n">
        <x:v>11652</x:v>
      </x:c>
      <x:c r="B760" s="25" t="str">
        <x:v>IC-L3-909</x:v>
      </x:c>
      <x:c r="C760" s="25" t="str">
        <x:v>供应链总监</x:v>
      </x:c>
      <x:c r="D760" s="25" t="str">
        <x:v>4-02-06-05</x:v>
      </x:c>
      <x:c r="E760" s="25" t="str">
        <x:v>供应链管理师</x:v>
      </x:c>
      <x:c r="F760" s="28" t="n">
        <x:f>COUNTIF('岗位-产业节点关系'!$C$4:$C$709,B760)</x:f>
        <x:v>0</x:v>
      </x:c>
      <x:c r="G760" s="26" t="str">
        <x:f>IF(F760=0,"未匹配（现有产业链范围未覆盖或证据不足）",IF(COUNTIFS('岗位-产业节点关系'!$C$4:$C$709,B760,'岗位-产业节点关系'!$M$4:$M$709,"低")&gt;0,"已匹配，建议复核","已匹配"))</x:f>
        <x:v>未匹配（现有产业链范围未覆盖或证据不足）</x:v>
      </x:c>
      <x:c r="H760" s="26" t="str">
        <x:v>-</x:v>
      </x:c>
      <x:c r="I760" s="26" t="str"/>
      <x:c r="J760" s="26" t="str"/>
      <x:c r="K760" s="26" t="str">
        <x:v>供应链总监是物流与供应链管理领域中至关重要的高级管理职位，负责确保从采购到交付整个流程的高效运作，对于提升企业竞争力、降低成本及提高客户满意度等方面发挥着不可替代的作用。该职位不仅需要具备卓越的战略规划能力，还需拥有丰富…</x:v>
      </x:c>
      <x:c r="L760" s="26" t="str">
        <x:v>1. 负责构建和完善供应链管理体系，包括但不限于供应商选择与评估、库存管理、物流配送等环节，以实现成本最小化和服务水平最优化。 2. 制定并执行年度供应链战略计划，定期分析供应链绩效指标，及时调整策略以应对市场变化，确保…</x:v>
      </x:c>
    </x:row>
    <x:row r="761" ht="72" customHeight="1">
      <x:c r="A761" s="25" t="n">
        <x:v>11653</x:v>
      </x:c>
      <x:c r="B761" s="25" t="str">
        <x:v>IC-L3-910</x:v>
      </x:c>
      <x:c r="C761" s="25" t="str">
        <x:v>供应链经理</x:v>
      </x:c>
      <x:c r="D761" s="25" t="str">
        <x:v>4-02-06-05</x:v>
      </x:c>
      <x:c r="E761" s="25" t="str">
        <x:v>供应链管理师</x:v>
      </x:c>
      <x:c r="F761" s="28" t="n">
        <x:f>COUNTIF('岗位-产业节点关系'!$C$4:$C$709,B761)</x:f>
        <x:v>0</x:v>
      </x:c>
      <x:c r="G761" s="26" t="str">
        <x:f>IF(F761=0,"未匹配（现有产业链范围未覆盖或证据不足）",IF(COUNTIFS('岗位-产业节点关系'!$C$4:$C$709,B761,'岗位-产业节点关系'!$M$4:$M$709,"低")&gt;0,"已匹配，建议复核","已匹配"))</x:f>
        <x:v>未匹配（现有产业链范围未覆盖或证据不足）</x:v>
      </x:c>
      <x:c r="H761" s="26" t="str">
        <x:v>-</x:v>
      </x:c>
      <x:c r="I761" s="26" t="str"/>
      <x:c r="J761" s="26" t="str"/>
      <x:c r="K761" s="26" t="str">
        <x:v>供应链经理是物流与供应链行业中不可或缺的角色，负责确保从原材料采购到产品交付的整个流程顺畅高效。作为连接供应商、制造商和客户的桥梁，供应链经理不仅需要具备卓越的协调能力和战略思维，还需能够迅速适应市场变化，以实现资源优化…</x:v>
      </x:c>
      <x:c r="L761" s="26" t="str">
        <x:v>1. 负责制定和实施全面的供应链战略，确保供应链运作符合公司的长期发展目标。 2. 监控供应链各环节的绩效指标，定期分析报告，及时调整策略以应对潜在风险。 3. 与供应商建立稳定的合作关系，通过谈判争取更有利的采购条件，…</x:v>
      </x:c>
    </x:row>
    <x:row r="762" ht="72" customHeight="1">
      <x:c r="A762" s="25" t="n">
        <x:v>11654</x:v>
      </x:c>
      <x:c r="B762" s="25" t="str">
        <x:v>IC-L3-911</x:v>
      </x:c>
      <x:c r="C762" s="25" t="str">
        <x:v>物料专员</x:v>
      </x:c>
      <x:c r="D762" s="25" t="str">
        <x:v>4-02-06-01</x:v>
      </x:c>
      <x:c r="E762" s="25" t="str">
        <x:v>仓储管理员</x:v>
      </x:c>
      <x:c r="F762" s="28" t="n">
        <x:f>COUNTIF('岗位-产业节点关系'!$C$4:$C$709,B762)</x:f>
        <x:v>0</x:v>
      </x:c>
      <x:c r="G762" s="26" t="str">
        <x:f>IF(F762=0,"未匹配（现有产业链范围未覆盖或证据不足）",IF(COUNTIFS('岗位-产业节点关系'!$C$4:$C$709,B762,'岗位-产业节点关系'!$M$4:$M$709,"低")&gt;0,"已匹配，建议复核","已匹配"))</x:f>
        <x:v>未匹配（现有产业链范围未覆盖或证据不足）</x:v>
      </x:c>
      <x:c r="H762" s="26" t="str">
        <x:v>-</x:v>
      </x:c>
      <x:c r="I762" s="26" t="str"/>
      <x:c r="J762" s="26" t="str"/>
      <x:c r="K762" s="26" t="str">
        <x:v>物料专员是物流与供应链管理中不可或缺的角色，负责确保生产过程中的原材料和成品能够高效、准确地流转。通过优化物料的采购、存储和配送流程，物料专员对于提升整个供应链的运作效率和降低成本起着关键作用。 该职位的核心目标在于建立…</x:v>
      </x:c>
      <x:c r="L762" s="26" t="str">
        <x:v>1. 负责日常物料的接收、检验、入库及出库操作，保证所有物资记录准确无误。 2. 定期盘点库存，分析库存数据，提出合理的库存调整建议，以维持最佳库存水平。 3. 与采购部门协同工作，及时更新物料需求预测，协助制定采购计划…</x:v>
      </x:c>
    </x:row>
    <x:row r="763" ht="72" customHeight="1">
      <x:c r="A763" s="25" t="n">
        <x:v>11655</x:v>
      </x:c>
      <x:c r="B763" s="25" t="str">
        <x:v>IC-L3-912</x:v>
      </x:c>
      <x:c r="C763" s="25" t="str">
        <x:v>物料主管</x:v>
      </x:c>
      <x:c r="D763" s="25" t="str">
        <x:v>4-02-06-01</x:v>
      </x:c>
      <x:c r="E763" s="25" t="str">
        <x:v>仓储管理员</x:v>
      </x:c>
      <x:c r="F763" s="28" t="n">
        <x:f>COUNTIF('岗位-产业节点关系'!$C$4:$C$709,B763)</x:f>
        <x:v>0</x:v>
      </x:c>
      <x:c r="G763" s="26" t="str">
        <x:f>IF(F763=0,"未匹配（现有产业链范围未覆盖或证据不足）",IF(COUNTIFS('岗位-产业节点关系'!$C$4:$C$709,B763,'岗位-产业节点关系'!$M$4:$M$709,"低")&gt;0,"已匹配，建议复核","已匹配"))</x:f>
        <x:v>未匹配（现有产业链范围未覆盖或证据不足）</x:v>
      </x:c>
      <x:c r="H763" s="26" t="str">
        <x:v>-</x:v>
      </x:c>
      <x:c r="I763" s="26" t="str"/>
      <x:c r="J763" s="26" t="str"/>
      <x:c r="K763" s="26" t="str">
        <x:v>物料主管是物流与供应链行业中至关重要的角色，负责确保生产流程中所需材料的及时供应与合理管理，以支持企业的高效运作。作为连接采购、生产及销售的关键桥梁，物料主管不仅需要具备敏锐的市场洞察力和良好的沟通协调能力，还需掌握先进…</x:v>
      </x:c>
      <x:c r="L763" s="26" t="str">
        <x:v>1. 制定并实施物料需求计划，确保原材料、半成品及成品的充足供应，满足生产和市场需求。 2. 监控库存动态，运用先进先出原则合理安排货物进出库，降低呆滞品比例，提升仓库空间利用率。 3. 与供应商建立稳定的合作关系，定期…</x:v>
      </x:c>
    </x:row>
    <x:row r="764" ht="72" customHeight="1">
      <x:c r="A764" s="25" t="n">
        <x:v>11656</x:v>
      </x:c>
      <x:c r="B764" s="25" t="str">
        <x:v>IC-L3-913</x:v>
      </x:c>
      <x:c r="C764" s="25" t="str">
        <x:v>物料经理</x:v>
      </x:c>
      <x:c r="D764" s="25" t="str">
        <x:v>4-02-06-05</x:v>
      </x:c>
      <x:c r="E764" s="25" t="str">
        <x:v>供应链管理师</x:v>
      </x:c>
      <x:c r="F764" s="28" t="n">
        <x:f>COUNTIF('岗位-产业节点关系'!$C$4:$C$709,B764)</x:f>
        <x:v>0</x:v>
      </x:c>
      <x:c r="G764" s="26" t="str">
        <x:f>IF(F764=0,"未匹配（现有产业链范围未覆盖或证据不足）",IF(COUNTIFS('岗位-产业节点关系'!$C$4:$C$709,B764,'岗位-产业节点关系'!$M$4:$M$709,"低")&gt;0,"已匹配，建议复核","已匹配"))</x:f>
        <x:v>未匹配（现有产业链范围未覆盖或证据不足）</x:v>
      </x:c>
      <x:c r="H764" s="26" t="str">
        <x:v>-</x:v>
      </x:c>
      <x:c r="I764" s="26" t="str"/>
      <x:c r="J764" s="26" t="str"/>
      <x:c r="K764" s="26" t="str">
        <x:v>物料经理是物流与供应链管理中不可或缺的关键角色，负责确保企业生产过程中的物资供应稳定高效。通过精准预测需求、优化库存水平以及协调供应商关系，物料经理不仅保障了生产的连续性，还有效降低了运营成本，提升了企业的市场竞争力。 …</x:v>
      </x:c>
      <x:c r="L764" s="26" t="str">
        <x:v>1. 制定并执行物料管理计划，确保所有材料按时按质到达，满足生产需求。 2. 与供应商建立并维持良好的合作关系，通过谈判获取更优惠的价格和条件，降低采购成本。 3. 监控库存水平，实施库存控制策略，避免过度库存或缺货现象…</x:v>
      </x:c>
    </x:row>
    <x:row r="765" ht="72" customHeight="1">
      <x:c r="A765" s="25" t="n">
        <x:v>11657</x:v>
      </x:c>
      <x:c r="B765" s="25" t="str">
        <x:v>IC-L3-914</x:v>
      </x:c>
      <x:c r="C765" s="25" t="str">
        <x:v>报关与报检</x:v>
      </x:c>
      <x:c r="D765" s="25" t="str">
        <x:v>2-06-07-12</x:v>
      </x:c>
      <x:c r="E765" s="25" t="str">
        <x:v>报关人员</x:v>
      </x:c>
      <x:c r="F765" s="28" t="n">
        <x:f>COUNTIF('岗位-产业节点关系'!$C$4:$C$709,B765)</x:f>
        <x:v>0</x:v>
      </x:c>
      <x:c r="G765" s="26" t="str">
        <x:f>IF(F765=0,"未匹配（现有产业链范围未覆盖或证据不足）",IF(COUNTIFS('岗位-产业节点关系'!$C$4:$C$709,B765,'岗位-产业节点关系'!$M$4:$M$709,"低")&gt;0,"已匹配，建议复核","已匹配"))</x:f>
        <x:v>未匹配（现有产业链范围未覆盖或证据不足）</x:v>
      </x:c>
      <x:c r="H765" s="26" t="str">
        <x:v>-</x:v>
      </x:c>
      <x:c r="I765" s="26" t="str"/>
      <x:c r="J765" s="26" t="str"/>
      <x:c r="K765" s="26" t="str">
        <x:v>报关与报检是物流/供应链行业中不可或缺的关键环节，它确保了货物能够顺利合法地跨越国境，对于促进国际贸易和提升企业竞争力具有重要意义。该职位不仅需要熟悉国际和国内的相关法律法规，还需具备高度的责任心和严谨的工作态度。 该职…</x:v>
      </x:c>
      <x:c r="L765" s="26" t="str">
        <x:v>1. 负责审核并准备进出口货物所需的各类单证资料，确保其真实完整，符合相关法规要求。 2. 与客户沟通确认商品信息，及时准确地向海关提交电子或纸质形式的报关单据，跟踪处理进度直至放行。 3. 遇到异常情况时，迅速与相关部…</x:v>
      </x:c>
    </x:row>
    <x:row r="766" ht="72" customHeight="1">
      <x:c r="A766" s="25" t="n">
        <x:v>11658</x:v>
      </x:c>
      <x:c r="B766" s="25" t="str">
        <x:v>IC-L3-915</x:v>
      </x:c>
      <x:c r="C766" s="25" t="str">
        <x:v>海关事务管理</x:v>
      </x:c>
      <x:c r="D766" s="25" t="str">
        <x:v>2-06-07-12</x:v>
      </x:c>
      <x:c r="E766" s="25" t="str">
        <x:v>报关人员</x:v>
      </x:c>
      <x:c r="F766" s="28" t="n">
        <x:f>COUNTIF('岗位-产业节点关系'!$C$4:$C$709,B766)</x:f>
        <x:v>0</x:v>
      </x:c>
      <x:c r="G766" s="26" t="str">
        <x:f>IF(F766=0,"未匹配（现有产业链范围未覆盖或证据不足）",IF(COUNTIFS('岗位-产业节点关系'!$C$4:$C$709,B766,'岗位-产业节点关系'!$M$4:$M$709,"低")&gt;0,"已匹配，建议复核","已匹配"))</x:f>
        <x:v>未匹配（现有产业链范围未覆盖或证据不足）</x:v>
      </x:c>
      <x:c r="H766" s="26" t="str">
        <x:v>-</x:v>
      </x:c>
      <x:c r="I766" s="26" t="str"/>
      <x:c r="J766" s="26" t="str"/>
      <x:c r="K766" s="26" t="str">
        <x:v>海关事务管理是物流与供应链行业中不可或缺的一环，主要负责确保进出口货物的合规性，以及优化清关流程以提高物流效率。该职位通过专业的知识和技能，在国际物流链中扮演着桥梁的角色，连接着生产者与消费者，对于维护企业信誉和促进国际…</x:v>
      </x:c>
      <x:c r="L766" s="26" t="str">
        <x:v>1. 负责了解并解读国内外相关法律法规及政策变化，为公司提供及时准确的法律咨询和服务，确保所有进出口活动符合规定要求。 2. 组织实施进出口货物的报关工作，协调处理异常情况，保证货物按时顺利通关，减少不必要的等待时间和费…</x:v>
      </x:c>
    </x:row>
    <x:row r="767" ht="72" customHeight="1">
      <x:c r="A767" s="25" t="n">
        <x:v>11659</x:v>
      </x:c>
      <x:c r="B767" s="25" t="str">
        <x:v>IC-L3-916</x:v>
      </x:c>
      <x:c r="C767" s="25" t="str">
        <x:v>物流专员/助理</x:v>
      </x:c>
      <x:c r="D767" s="25" t="str">
        <x:v>2-02-30-02</x:v>
      </x:c>
      <x:c r="E767" s="25" t="str">
        <x:v>物流工程技术人员</x:v>
      </x:c>
      <x:c r="F767" s="28" t="n">
        <x:f>COUNTIF('岗位-产业节点关系'!$C$4:$C$709,B767)</x:f>
        <x:v>0</x:v>
      </x:c>
      <x:c r="G767" s="26" t="str">
        <x:f>IF(F767=0,"未匹配（现有产业链范围未覆盖或证据不足）",IF(COUNTIFS('岗位-产业节点关系'!$C$4:$C$709,B767,'岗位-产业节点关系'!$M$4:$M$709,"低")&gt;0,"已匹配，建议复核","已匹配"))</x:f>
        <x:v>未匹配（现有产业链范围未覆盖或证据不足）</x:v>
      </x:c>
      <x:c r="H767" s="26" t="str">
        <x:v>-</x:v>
      </x:c>
      <x:c r="I767" s="26" t="str"/>
      <x:c r="J767" s="26" t="str"/>
      <x:c r="K767" s="26" t="str">
        <x:v>物流专员/助理是物流与供应链行业中不可或缺的角色，负责确保货物从供应商到客户的高效流动。这一职位不仅需要处理日常的物流操作，如货物跟踪、库存管理和运输安排，还需与其他部门紧密合作，以优化整个供应链流程。通过精确的数据分析…</x:v>
      </x:c>
      <x:c r="L767" s="26" t="str">
        <x:v>1. 负责制定并执行详细的物流计划，包括货物的接收、储存、分拣、打包和发送等各个环节，确保所有流程符合公司标准和客户要求。 2. 定期监控库存水平，及时补充短缺商品，避免因缺货而影响销售或客户满意度；同时，合理控制库存成…</x:v>
      </x:c>
    </x:row>
    <x:row r="768" ht="72" customHeight="1">
      <x:c r="A768" s="25" t="n">
        <x:v>11660</x:v>
      </x:c>
      <x:c r="B768" s="25" t="str">
        <x:v>IC-L3-917</x:v>
      </x:c>
      <x:c r="C768" s="25" t="str">
        <x:v>物流主管</x:v>
      </x:c>
      <x:c r="D768" s="25" t="str">
        <x:v>4-02-06-03</x:v>
      </x:c>
      <x:c r="E768" s="25" t="str">
        <x:v>物流服务师</x:v>
      </x:c>
      <x:c r="F768" s="28" t="n">
        <x:f>COUNTIF('岗位-产业节点关系'!$C$4:$C$709,B768)</x:f>
        <x:v>0</x:v>
      </x:c>
      <x:c r="G768" s="26" t="str">
        <x:f>IF(F768=0,"未匹配（现有产业链范围未覆盖或证据不足）",IF(COUNTIFS('岗位-产业节点关系'!$C$4:$C$709,B768,'岗位-产业节点关系'!$M$4:$M$709,"低")&gt;0,"已匹配，建议复核","已匹配"))</x:f>
        <x:v>未匹配（现有产业链范围未覆盖或证据不足）</x:v>
      </x:c>
      <x:c r="H768" s="26" t="str">
        <x:v>-</x:v>
      </x:c>
      <x:c r="I768" s="26" t="str"/>
      <x:c r="J768" s="26" t="str"/>
      <x:c r="K768" s="26" t="str">
        <x:v>物流主管是物流/供应链行业中不可或缺的角色，负责确保货物从生产地到消费者手中的高效流动。作为连接供应商与客户的桥梁，物流主管不仅需要具备出色的组织协调能力，还应掌握先进的物流管理理念和技术，以适应快速变化的市场环境。 该…</x:v>
      </x:c>
      <x:c r="L768" s="26" t="str">
        <x:v>1. 负责制定和完善物流管理制度及操作流程，确保各项业务活动有序开展。 2. 组织并监督货物的接收、存储、分拣、打包及出库等工作，确保按时准确完成任务。 3. 分析物流成本构成，提出改进措施，持续降低运营成本。 4. 与…</x:v>
      </x:c>
    </x:row>
    <x:row r="769" ht="72" customHeight="1">
      <x:c r="A769" s="25" t="n">
        <x:v>11661</x:v>
      </x:c>
      <x:c r="B769" s="25" t="str">
        <x:v>IC-L3-918</x:v>
      </x:c>
      <x:c r="C769" s="25" t="str">
        <x:v>物流总监</x:v>
      </x:c>
      <x:c r="D769" s="25" t="str">
        <x:v>4-02-06-03</x:v>
      </x:c>
      <x:c r="E769" s="25" t="str">
        <x:v>物流服务师</x:v>
      </x:c>
      <x:c r="F769" s="28" t="n">
        <x:f>COUNTIF('岗位-产业节点关系'!$C$4:$C$709,B769)</x:f>
        <x:v>0</x:v>
      </x:c>
      <x:c r="G769" s="26" t="str">
        <x:f>IF(F769=0,"未匹配（现有产业链范围未覆盖或证据不足）",IF(COUNTIFS('岗位-产业节点关系'!$C$4:$C$709,B769,'岗位-产业节点关系'!$M$4:$M$709,"低")&gt;0,"已匹配，建议复核","已匹配"))</x:f>
        <x:v>未匹配（现有产业链范围未覆盖或证据不足）</x:v>
      </x:c>
      <x:c r="H769" s="26" t="str">
        <x:v>-</x:v>
      </x:c>
      <x:c r="I769" s="26" t="str"/>
      <x:c r="J769" s="26" t="str"/>
      <x:c r="K769" s="26" t="str">
        <x:v>物流总监是物流与供应链行业中不可或缺的关键角色，负责整个物流系统的战略规划与实施，确保物流活动高效、顺畅地运行，从而支持企业的整体业务发展。作为公司物流体系的核心领导者，物流总监的核心目标在于优化物流流程，降低运营成本，…</x:v>
      </x:c>
      <x:c r="L769" s="26" t="str">
        <x:v>1. 制定并执行全面的物流策略，涵盖仓储、运输、配送等各个环节，以确保供应链的稳定性和灵活性，满足市场需求变化。 2. 分析物流数据，识别潜在问题与改进机会，持续优化物流网络布局及操作流程，减少浪费，提高效率。 3. 管…</x:v>
      </x:c>
    </x:row>
    <x:row r="770" ht="72" customHeight="1">
      <x:c r="A770" s="25" t="n">
        <x:v>11662</x:v>
      </x:c>
      <x:c r="B770" s="25" t="str">
        <x:v>IC-L3-919</x:v>
      </x:c>
      <x:c r="C770" s="25" t="str">
        <x:v>物流经理</x:v>
      </x:c>
      <x:c r="D770" s="25" t="str">
        <x:v>4-02-06-03</x:v>
      </x:c>
      <x:c r="E770" s="25" t="str">
        <x:v>物流服务师</x:v>
      </x:c>
      <x:c r="F770" s="28" t="n">
        <x:f>COUNTIF('岗位-产业节点关系'!$C$4:$C$709,B770)</x:f>
        <x:v>0</x:v>
      </x:c>
      <x:c r="G770" s="26" t="str">
        <x:f>IF(F770=0,"未匹配（现有产业链范围未覆盖或证据不足）",IF(COUNTIFS('岗位-产业节点关系'!$C$4:$C$709,B770,'岗位-产业节点关系'!$M$4:$M$709,"低")&gt;0,"已匹配，建议复核","已匹配"))</x:f>
        <x:v>未匹配（现有产业链范围未覆盖或证据不足）</x:v>
      </x:c>
      <x:c r="H770" s="26" t="str">
        <x:v>-</x:v>
      </x:c>
      <x:c r="I770" s="26" t="str"/>
      <x:c r="J770" s="26" t="str"/>
      <x:c r="K770" s="26" t="str">
        <x:v>物流经理是物流/供应链行业中至关重要的角色，他们负责确保货物从生产地到目的地的高效、安全运输，对优化物流成本、提升客户满意度起着决定性作用。作为公司物流运作的核心，物流经理的核心目标在于建立并维护高效的物流系统，通过优化…</x:v>
      </x:c>
      <x:c r="L770" s="26" t="str">
        <x:v>1. 制定并实施全面的物流策略，以满足业务需求，提高物流效率和服务水平，确保公司产品按时、准确地交付给客户。 2. 监控整个供应链过程，识别潜在风险并采取预防措施，减少运输延误和损失，同时确保遵守所有相关法律法规及标准。…</x:v>
      </x:c>
    </x:row>
    <x:row r="771" ht="72" customHeight="1">
      <x:c r="A771" s="25" t="n">
        <x:v>11663</x:v>
      </x:c>
      <x:c r="B771" s="25" t="str">
        <x:v>IC-L3-920</x:v>
      </x:c>
      <x:c r="C771" s="25" t="str">
        <x:v>物流销售</x:v>
      </x:c>
      <x:c r="D771" s="25" t="str">
        <x:v>4-01-02-01</x:v>
      </x:c>
      <x:c r="E771" s="25" t="str">
        <x:v>营销员</x:v>
      </x:c>
      <x:c r="F771" s="28" t="n">
        <x:f>COUNTIF('岗位-产业节点关系'!$C$4:$C$709,B771)</x:f>
        <x:v>0</x:v>
      </x:c>
      <x:c r="G771" s="26" t="str">
        <x:f>IF(F771=0,"未匹配（现有产业链范围未覆盖或证据不足）",IF(COUNTIFS('岗位-产业节点关系'!$C$4:$C$709,B771,'岗位-产业节点关系'!$M$4:$M$709,"低")&gt;0,"已匹配，建议复核","已匹配"))</x:f>
        <x:v>未匹配（现有产业链范围未覆盖或证据不足）</x:v>
      </x:c>
      <x:c r="H771" s="26" t="str">
        <x:v>-</x:v>
      </x:c>
      <x:c r="I771" s="26" t="str"/>
      <x:c r="J771" s="26" t="str"/>
      <x:c r="K771" s="26" t="str">
        <x:v>物流销售作为物流/供应链行业中不可或缺的一部分，主要负责开拓市场，维护客户关系，确保公司业务持续增长。通过精准的市场分析和有效的沟通策略，该职位能够帮助公司快速响应市场需求变化，提升品牌知名度与市场份额。 该职位的核心目…</x:v>
      </x:c>
      <x:c r="L771" s="26" t="str">
        <x:v>1. 积极寻找潜在客户，通过电话、邮件或面对面拜访等方式进行初步接触，了解其物流需求并推广公司产品和服务。 2. 与客户建立良好的合作关系，定期跟进项目进展，及时解决客户遇到的问题，确保客户满意。 3. 制定并实施个人销…</x:v>
      </x:c>
    </x:row>
    <x:row r="772" ht="72" customHeight="1">
      <x:c r="A772" s="25" t="n">
        <x:v>11664</x:v>
      </x:c>
      <x:c r="B772" s="25" t="str">
        <x:v>IC-L3-921</x:v>
      </x:c>
      <x:c r="C772" s="25" t="str">
        <x:v>货运司机</x:v>
      </x:c>
      <x:c r="D772" s="25" t="str">
        <x:v>4-02-02-02</x:v>
      </x:c>
      <x:c r="E772" s="25" t="str">
        <x:v>道路货运汽车驾驶员</x:v>
      </x:c>
      <x:c r="F772" s="28" t="n">
        <x:f>COUNTIF('岗位-产业节点关系'!$C$4:$C$709,B772)</x:f>
        <x:v>0</x:v>
      </x:c>
      <x:c r="G772" s="26" t="str">
        <x:f>IF(F772=0,"未匹配（现有产业链范围未覆盖或证据不足）",IF(COUNTIFS('岗位-产业节点关系'!$C$4:$C$709,B772,'岗位-产业节点关系'!$M$4:$M$709,"低")&gt;0,"已匹配，建议复核","已匹配"))</x:f>
        <x:v>未匹配（现有产业链范围未覆盖或证据不足）</x:v>
      </x:c>
      <x:c r="H772" s="26" t="str">
        <x:v>-</x:v>
      </x:c>
      <x:c r="I772" s="26" t="str"/>
      <x:c r="J772" s="26" t="str"/>
      <x:c r="K772" s="26" t="str">
        <x:v>货运司机是物流与供应链行业中不可或缺的角色，他们负责将货物从一个地点安全、准时地运送到另一个地点，确保了商品流通的顺畅进行，是连接生产者与消费者之间的桥梁。作为公司的重要资产，货运司机不仅需要具备良好的驾驶技能，还需熟悉…</x:v>
      </x:c>
      <x:c r="L772" s="26" t="str">
        <x:v>1. 负责驾驶车辆，根据既定路线和时间表，准确无误地将货物送达指定目的地。 2. 在装货前检查货物的状态，确保货物数量正确、包装完好，并在卸货时再次确认。 3. 保持与调度中心的沟通，及时反馈途中遇到的问题，并提出解决方…</x:v>
      </x:c>
    </x:row>
    <x:row r="773" ht="72" customHeight="1">
      <x:c r="A773" s="25" t="n">
        <x:v>11665</x:v>
      </x:c>
      <x:c r="B773" s="25" t="str">
        <x:v>IC-L3-922</x:v>
      </x:c>
      <x:c r="C773" s="25" t="str">
        <x:v>运输经理/主管</x:v>
      </x:c>
      <x:c r="D773" s="25" t="str">
        <x:v>4-02-06-03</x:v>
      </x:c>
      <x:c r="E773" s="25" t="str">
        <x:v>物流服务师</x:v>
      </x:c>
      <x:c r="F773" s="28" t="n">
        <x:f>COUNTIF('岗位-产业节点关系'!$C$4:$C$709,B773)</x:f>
        <x:v>0</x:v>
      </x:c>
      <x:c r="G773" s="26" t="str">
        <x:f>IF(F773=0,"未匹配（现有产业链范围未覆盖或证据不足）",IF(COUNTIFS('岗位-产业节点关系'!$C$4:$C$709,B773,'岗位-产业节点关系'!$M$4:$M$709,"低")&gt;0,"已匹配，建议复核","已匹配"))</x:f>
        <x:v>未匹配（现有产业链范围未覆盖或证据不足）</x:v>
      </x:c>
      <x:c r="H773" s="26" t="str">
        <x:v>-</x:v>
      </x:c>
      <x:c r="I773" s="26" t="str"/>
      <x:c r="J773" s="26" t="str"/>
      <x:c r="K773" s="26" t="str">
        <x:v>运输经理/主管是物流与供应链管理领域中至关重要的角色之一，主要负责确保货物从生产地到目的地的安全、高效运输。该职位不仅需要具备强大的组织协调能力，还需熟悉国内外相关法律法规，以保证业务操作合法合规。作为公司内部的重要组成…</x:v>
      </x:c>
      <x:c r="L773" s="26" t="str">
        <x:v>1. 制定并实施全面的运输策略，涵盖陆运、海运及空运等多种模式，旨在提高运输效率，减少成本开支，确保准时交货率超过98%。 2. 监督日常运输活动，包括但不限于路线规划、车辆调度、装载卸载等工作，确保所有操作符合安全标准…</x:v>
      </x:c>
    </x:row>
    <x:row r="774" ht="72" customHeight="1">
      <x:c r="A774" s="25" t="n">
        <x:v>11666</x:v>
      </x:c>
      <x:c r="B774" s="25" t="str">
        <x:v>IC-L3-923</x:v>
      </x:c>
      <x:c r="C774" s="25" t="str">
        <x:v>船员</x:v>
      </x:c>
      <x:c r="D774" s="25" t="str">
        <x:v>4-02-06-03</x:v>
      </x:c>
      <x:c r="E774" s="25" t="str">
        <x:v>物流服务师</x:v>
      </x:c>
      <x:c r="F774" s="28" t="n">
        <x:f>COUNTIF('岗位-产业节点关系'!$C$4:$C$709,B774)</x:f>
        <x:v>0</x:v>
      </x:c>
      <x:c r="G774" s="26" t="str">
        <x:f>IF(F774=0,"未匹配（现有产业链范围未覆盖或证据不足）",IF(COUNTIFS('岗位-产业节点关系'!$C$4:$C$709,B774,'岗位-产业节点关系'!$M$4:$M$709,"低")&gt;0,"已匹配，建议复核","已匹配"))</x:f>
        <x:v>未匹配（现有产业链范围未覆盖或证据不足）</x:v>
      </x:c>
      <x:c r="H774" s="26" t="str">
        <x:v>-</x:v>
      </x:c>
      <x:c r="I774" s="26" t="str"/>
      <x:c r="J774" s="26" t="str"/>
      <x:c r="K774" s="26" t="str">
        <x:v>船员是专门从事船舶运营与维护的专业人员。该职位的核心目标是通过安全高效地执行航行任务，保障货物运输的及时性与可靠性。在日常工作中，需要进行船舶操作、设备维护、航行值班、货物装卸监督及应急情况处理等工作。</x:v>
      </x:c>
      <x:c r="L774" s="26" t="str">
        <x:v>1. 执行船舶日常操作 2. 维护船上设备安全 3. 遵守航行规章制度 4. 协助货物装卸作业 5. 参与应急情况处置 6. 保持船舱清洁卫生</x:v>
      </x:c>
    </x:row>
    <x:row r="775" ht="72" customHeight="1">
      <x:c r="A775" s="25" t="n">
        <x:v>11667</x:v>
      </x:c>
      <x:c r="B775" s="25" t="str">
        <x:v>IC-L3-924</x:v>
      </x:c>
      <x:c r="C775" s="25" t="str">
        <x:v>安检员</x:v>
      </x:c>
      <x:c r="D775" s="25" t="str">
        <x:v>4-02-06-03</x:v>
      </x:c>
      <x:c r="E775" s="25" t="str">
        <x:v>物流服务师</x:v>
      </x:c>
      <x:c r="F775" s="28" t="n">
        <x:f>COUNTIF('岗位-产业节点关系'!$C$4:$C$709,B775)</x:f>
        <x:v>0</x:v>
      </x:c>
      <x:c r="G775" s="26" t="str">
        <x:f>IF(F775=0,"未匹配（现有产业链范围未覆盖或证据不足）",IF(COUNTIFS('岗位-产业节点关系'!$C$4:$C$709,B775,'岗位-产业节点关系'!$M$4:$M$709,"低")&gt;0,"已匹配，建议复核","已匹配"))</x:f>
        <x:v>未匹配（现有产业链范围未覆盖或证据不足）</x:v>
      </x:c>
      <x:c r="H775" s="26" t="str">
        <x:v>-</x:v>
      </x:c>
      <x:c r="I775" s="26" t="str"/>
      <x:c r="J775" s="26" t="str"/>
      <x:c r="K775" s="26" t="str">
        <x:v>在物流与供应链行业中，安检员是确保货物安全运输和配送过程中的关键角色。他们不仅负责检查所有进出仓库或车辆的货物，以防止违禁品或危险物品进入流通环节，还承担着维护企业声誉和社会责任的重要使命。 安检员的核心目标是通过高效准…</x:v>
      </x:c>
      <x:c r="L775" s="26" t="str">
        <x:v>1. 对所有进入或离开仓库的货物进行细致的安全检查，确保无违禁品或危险物品混入，以维护作业环境的安全。 2. 使用X光机、金属探测器等专业设备执行日常检测任务，准确记录并报告异常情况，确保流程规范、操作合规。 3. 定期…</x:v>
      </x:c>
    </x:row>
    <x:row r="776" ht="72" customHeight="1">
      <x:c r="A776" s="25" t="n">
        <x:v>11668</x:v>
      </x:c>
      <x:c r="B776" s="25" t="str">
        <x:v>IC-L3-925</x:v>
      </x:c>
      <x:c r="C776" s="25" t="str">
        <x:v>快递员</x:v>
      </x:c>
      <x:c r="D776" s="25" t="str">
        <x:v>4-02-06-03</x:v>
      </x:c>
      <x:c r="E776" s="25" t="str">
        <x:v>物流服务师</x:v>
      </x:c>
      <x:c r="F776" s="28" t="n">
        <x:f>COUNTIF('岗位-产业节点关系'!$C$4:$C$709,B776)</x:f>
        <x:v>0</x:v>
      </x:c>
      <x:c r="G776" s="26" t="str">
        <x:f>IF(F776=0,"未匹配（现有产业链范围未覆盖或证据不足）",IF(COUNTIFS('岗位-产业节点关系'!$C$4:$C$709,B776,'岗位-产业节点关系'!$M$4:$M$709,"低")&gt;0,"已匹配，建议复核","已匹配"))</x:f>
        <x:v>未匹配（现有产业链范围未覆盖或证据不足）</x:v>
      </x:c>
      <x:c r="H776" s="26" t="str">
        <x:v>-</x:v>
      </x:c>
      <x:c r="I776" s="26" t="str"/>
      <x:c r="J776" s="26" t="str"/>
      <x:c r="K776" s="26" t="str">
        <x:v>快递员是物流与供应链行业中不可或缺的一环，负责将商品安全、准时地从发货点送到收货人手中。他们不仅是公司服务链上的最后一公里，更是直接面对客户的重要窗口，对于维护品牌形象和服务质量起着至关重要的作用。 作为配送管理方向的一…</x:v>
      </x:c>
      <x:c r="L776" s="26" t="str">
        <x:v>1. 负责按照规定路线及时准确地完成包裹派送任务，确保客户满意度。 2. 在取件时检查货物状态，确认无误后进行打包并记录相关信息，防止丢失或损坏。 3. 与客户沟通交流，收集反馈意见，协助处理投诉事宜，提升服务质量。 4…</x:v>
      </x:c>
    </x:row>
    <x:row r="777" ht="72" customHeight="1">
      <x:c r="A777" s="25" t="n">
        <x:v>11669</x:v>
      </x:c>
      <x:c r="B777" s="25" t="str">
        <x:v>IC-L3-926</x:v>
      </x:c>
      <x:c r="C777" s="25" t="str">
        <x:v>船务/空运陆运操作</x:v>
      </x:c>
      <x:c r="D777" s="25" t="str">
        <x:v>2-06-07-12</x:v>
      </x:c>
      <x:c r="E777" s="25" t="str">
        <x:v>报关人员</x:v>
      </x:c>
      <x:c r="F777" s="28" t="n">
        <x:f>COUNTIF('岗位-产业节点关系'!$C$4:$C$709,B777)</x:f>
        <x:v>0</x:v>
      </x:c>
      <x:c r="G777" s="26" t="str">
        <x:f>IF(F777=0,"未匹配（现有产业链范围未覆盖或证据不足）",IF(COUNTIFS('岗位-产业节点关系'!$C$4:$C$709,B777,'岗位-产业节点关系'!$M$4:$M$709,"低")&gt;0,"已匹配，建议复核","已匹配"))</x:f>
        <x:v>未匹配（现有产业链范围未覆盖或证据不足）</x:v>
      </x:c>
      <x:c r="H777" s="26" t="str">
        <x:v>-</x:v>
      </x:c>
      <x:c r="I777" s="26" t="str"/>
      <x:c r="J777" s="26" t="str"/>
      <x:c r="K777" s="26" t="str">
        <x:v>**岗位简介** 船务/空运陆运操作是物流与供应链管理中不可或缺的一环，主要负责确保货物从发货地到收货地的顺利运输。这一角色不仅需要具备丰富的物流知识，还要求有良好的协调能力和解决问题的能力，以应对运输过程中可能出现的各…</x:v>
      </x:c>
      <x:c r="L777" s="26" t="str">
        <x:v>船务/空运陆运操作岗位的主要职责包括：负责国际国内货物的运输安排，包括订舱、报关、报检、运输跟踪等；处理货物运输过程中的异常情况，确保货物安全、准时到达；与客户、船公司、货代等保持良好沟通，及时反馈物流信息；维护和管理物…</x:v>
      </x:c>
    </x:row>
    <x:row r="778" ht="72" customHeight="1">
      <x:c r="A778" s="25" t="n">
        <x:v>11670</x:v>
      </x:c>
      <x:c r="B778" s="25" t="str">
        <x:v>IC-L3-927</x:v>
      </x:c>
      <x:c r="C778" s="25" t="str">
        <x:v>货运代理</x:v>
      </x:c>
      <x:c r="D778" s="25" t="str">
        <x:v>4-02-06-03</x:v>
      </x:c>
      <x:c r="E778" s="25" t="str">
        <x:v>物流服务师</x:v>
      </x:c>
      <x:c r="F778" s="28" t="n">
        <x:f>COUNTIF('岗位-产业节点关系'!$C$4:$C$709,B778)</x:f>
        <x:v>0</x:v>
      </x:c>
      <x:c r="G778" s="26" t="str">
        <x:f>IF(F778=0,"未匹配（现有产业链范围未覆盖或证据不足）",IF(COUNTIFS('岗位-产业节点关系'!$C$4:$C$709,B778,'岗位-产业节点关系'!$M$4:$M$709,"低")&gt;0,"已匹配，建议复核","已匹配"))</x:f>
        <x:v>未匹配（现有产业链范围未覆盖或证据不足）</x:v>
      </x:c>
      <x:c r="H778" s="26" t="str">
        <x:v>-</x:v>
      </x:c>
      <x:c r="I778" s="26" t="str"/>
      <x:c r="J778" s="26" t="str"/>
      <x:c r="K778" s="26" t="str">
        <x:v>货运代理是物流与供应链行业中不可或缺的角色，负责确保货物从发货地到目的地的顺利运输。这一职位不仅要求具备出色的沟通协调能力，还需要深入了解国际及国内运输法规，以及能够高效处理突发状况，以保障客户利益不受损害。作为公司与外…</x:v>
      </x:c>
      <x:c r="L778" s="26" t="str">
        <x:v>1. 负责与国内外客户沟通，了解其运输需求，提供专业建议并设计合适的运输解决方案。 2. 与供应商、承运商建立良好合作关系，谈判最佳运输条件，包括价格、时效和服务标准等。 3. 监控整个运输过程，及时跟踪货物状态，处理突…</x:v>
      </x:c>
    </x:row>
    <x:row r="779" ht="72" customHeight="1">
      <x:c r="A779" s="25" t="n">
        <x:v>11671</x:v>
      </x:c>
      <x:c r="B779" s="25" t="str">
        <x:v>IC-L3-928</x:v>
      </x:c>
      <x:c r="C779" s="25" t="str">
        <x:v>物流总监</x:v>
      </x:c>
      <x:c r="D779" s="25" t="str">
        <x:v>4-02-06-03</x:v>
      </x:c>
      <x:c r="E779" s="25" t="str">
        <x:v>物流服务师</x:v>
      </x:c>
      <x:c r="F779" s="28" t="n">
        <x:f>COUNTIF('岗位-产业节点关系'!$C$4:$C$709,B779)</x:f>
        <x:v>0</x:v>
      </x:c>
      <x:c r="G779" s="26" t="str">
        <x:f>IF(F779=0,"未匹配（现有产业链范围未覆盖或证据不足）",IF(COUNTIFS('岗位-产业节点关系'!$C$4:$C$709,B779,'岗位-产业节点关系'!$M$4:$M$709,"低")&gt;0,"已匹配，建议复核","已匹配"))</x:f>
        <x:v>未匹配（现有产业链范围未覆盖或证据不足）</x:v>
      </x:c>
      <x:c r="H779" s="26" t="str">
        <x:v>-</x:v>
      </x:c>
      <x:c r="I779" s="26" t="str"/>
      <x:c r="J779" s="26" t="str"/>
      <x:c r="K779" s="26" t="str">
        <x:v>物流总监是专门从事配送体系规划与管理的战略型专业人员。该职位的核心目标是通过优化供应链网络和资源配置，提升企业物流运营效率与成本效益。在日常工作中，需要进行物流战略制定、配送流程优化、运输成本控制以及团队管理等工作。</x:v>
      </x:c>
      <x:c r="L779" s="26" t="str">
        <x:v>1. 制定物流战略规划 2. 优化配送网络布局 3. 管理运输成本预算 4. 监督配送服务质量 5. 协调跨部门协作 6. 提升运营效率指标</x:v>
      </x:c>
    </x:row>
    <x:row r="780" ht="72" customHeight="1">
      <x:c r="A780" s="25" t="n">
        <x:v>11672</x:v>
      </x:c>
      <x:c r="B780" s="25" t="str">
        <x:v>IC-L3-929</x:v>
      </x:c>
      <x:c r="C780" s="25" t="str">
        <x:v>物流专员/助理</x:v>
      </x:c>
      <x:c r="D780" s="25" t="str">
        <x:v>2-02-30-02</x:v>
      </x:c>
      <x:c r="E780" s="25" t="str">
        <x:v>物流工程技术人员</x:v>
      </x:c>
      <x:c r="F780" s="28" t="n">
        <x:f>COUNTIF('岗位-产业节点关系'!$C$4:$C$709,B780)</x:f>
        <x:v>0</x:v>
      </x:c>
      <x:c r="G780" s="26" t="str">
        <x:f>IF(F780=0,"未匹配（现有产业链范围未覆盖或证据不足）",IF(COUNTIFS('岗位-产业节点关系'!$C$4:$C$709,B780,'岗位-产业节点关系'!$M$4:$M$709,"低")&gt;0,"已匹配，建议复核","已匹配"))</x:f>
        <x:v>未匹配（现有产业链范围未覆盖或证据不足）</x:v>
      </x:c>
      <x:c r="H780" s="26" t="str">
        <x:v>-</x:v>
      </x:c>
      <x:c r="I780" s="26" t="str"/>
      <x:c r="J780" s="26" t="str"/>
      <x:c r="K780" s="26" t="str">
        <x:v>物流专员/助理是专门从事装卸搬运行业物流运作支持的专业人员。该职位的核心目标是通过高效协调物流流程，确保货物准时安全运输。在日常工作中，需要进行运输调度跟踪、装卸作业协调、物流单据处理以及异常情况处理等工作。</x:v>
      </x:c>
      <x:c r="L780" s="26" t="str">
        <x:v>1. 安排装卸搬运计划 2. 协调运输车辆调度 3. 跟踪货物运输状态 4. 核对出入库单据 5. 处理物流异常情况 6. 维护客户合作关系</x:v>
      </x:c>
    </x:row>
    <x:row r="781" ht="72" customHeight="1">
      <x:c r="A781" s="25" t="n">
        <x:v>11673</x:v>
      </x:c>
      <x:c r="B781" s="25" t="str">
        <x:v>IC-L3-930</x:v>
      </x:c>
      <x:c r="C781" s="25" t="str">
        <x:v>乘务员</x:v>
      </x:c>
      <x:c r="D781" s="25" t="str">
        <x:v>4-02-04-01</x:v>
      </x:c>
      <x:c r="E781" s="25" t="str">
        <x:v>民航乘务员</x:v>
      </x:c>
      <x:c r="F781" s="28" t="n">
        <x:f>COUNTIF('岗位-产业节点关系'!$C$4:$C$709,B781)</x:f>
        <x:v>1</x:v>
      </x:c>
      <x:c r="G781" s="26" t="str">
        <x:f>IF(F781=0,"未匹配（现有产业链范围未覆盖或证据不足）",IF(COUNTIFS('岗位-产业节点关系'!$C$4:$C$709,B781,'岗位-产业节点关系'!$M$4:$M$709,"低")&gt;0,"已匹配，建议复核","已匹配"))</x:f>
        <x:v>已匹配</x:v>
      </x:c>
      <x:c r="H781" s="26" t="str">
        <x:v>中</x:v>
      </x:c>
      <x:c r="I781" s="26" t="str">
        <x:v>ICN039</x:v>
      </x:c>
      <x:c r="J781" s="26" t="str">
        <x:v>空天装备与低空经济产业链/下游/低空运营、空域服务与场景应用</x:v>
      </x:c>
      <x:c r="K781" s="26" t="str">
        <x:v>乘务员是生活服务与零售行业中不可或缺的角色，尤其在交通运输服务领域中扮演着至关重要的角色。作为乘客与运输公司之间的桥梁，乘务员不仅代表着公司的形象和服务水平，而且对于确保旅途的安全舒适以及提升客户满意度起着决定性作用。 …</x:v>
      </x:c>
      <x:c r="L781" s="26" t="str">
        <x:v>1. 负责迎接乘客登车，指导其正确使用车内设施，确保每位乘客顺利找到座位并系好安全带。 2. 在行驶过程中密切关注乘客的状态，及时回应乘客的各种需求，包括但不限于提供饮料、调整空调温度等。 3. 对突发事件进行快速反应，…</x:v>
      </x:c>
    </x:row>
    <x:row r="782" ht="72" customHeight="1">
      <x:c r="A782" s="25" t="n">
        <x:v>11674</x:v>
      </x:c>
      <x:c r="B782" s="25" t="str">
        <x:v>IC-L3-931</x:v>
      </x:c>
      <x:c r="C782" s="25" t="str">
        <x:v>列车/地铁司机</x:v>
      </x:c>
      <x:c r="D782" s="25" t="str">
        <x:v>4-02-02-02</x:v>
      </x:c>
      <x:c r="E782" s="25" t="str">
        <x:v>道路货运汽车驾驶员</x:v>
      </x:c>
      <x:c r="F782" s="28" t="n">
        <x:f>COUNTIF('岗位-产业节点关系'!$C$4:$C$709,B782)</x:f>
        <x:v>0</x:v>
      </x:c>
      <x:c r="G782" s="26" t="str">
        <x:f>IF(F782=0,"未匹配（现有产业链范围未覆盖或证据不足）",IF(COUNTIFS('岗位-产业节点关系'!$C$4:$C$709,B782,'岗位-产业节点关系'!$M$4:$M$709,"低")&gt;0,"已匹配，建议复核","已匹配"))</x:f>
        <x:v>未匹配（现有产业链范围未覆盖或证据不足）</x:v>
      </x:c>
      <x:c r="H782" s="26" t="str">
        <x:v>-</x:v>
      </x:c>
      <x:c r="I782" s="26" t="str"/>
      <x:c r="J782" s="26" t="str"/>
      <x:c r="K782" s="26" t="str">
        <x:v>列车/地铁司机是生活服务与零售行业中交通运输服务领域的重要组成部分，他们不仅是城市交通网络的守护者，还承担着保障乘客安全出行的重大责任。作为连接城市各个角落的关键节点，该职位对于提高公共交通效率、减少城市拥堵以及促进社会…</x:v>
      </x:c>
      <x:c r="L782" s="26" t="str">
        <x:v>1. 负责列车/地铁车辆的启动、运行及停靠操作，确保按照时刻表准确无误地完成每一次行程。 2. 在行驶过程中密切监控仪表盘读数，及时发现并处理设备异常情况，必要时向相关部门报告。 3. 严格执行安全规章制度，落实各项防范…</x:v>
      </x:c>
    </x:row>
    <x:row r="783" ht="72" customHeight="1">
      <x:c r="A783" s="25" t="n">
        <x:v>11675</x:v>
      </x:c>
      <x:c r="B783" s="25" t="str">
        <x:v>IC-L3-932</x:v>
      </x:c>
      <x:c r="C783" s="25" t="str">
        <x:v>列车/地铁车长</x:v>
      </x:c>
      <x:c r="D783" s="25" t="str">
        <x:v>4-02-04-01</x:v>
      </x:c>
      <x:c r="E783" s="25" t="str">
        <x:v>民航乘务员</x:v>
      </x:c>
      <x:c r="F783" s="28" t="n">
        <x:f>COUNTIF('岗位-产业节点关系'!$C$4:$C$709,B783)</x:f>
        <x:v>0</x:v>
      </x:c>
      <x:c r="G783" s="26" t="str">
        <x:f>IF(F783=0,"未匹配（现有产业链范围未覆盖或证据不足）",IF(COUNTIFS('岗位-产业节点关系'!$C$4:$C$709,B783,'岗位-产业节点关系'!$M$4:$M$709,"低")&gt;0,"已匹配，建议复核","已匹配"))</x:f>
        <x:v>未匹配（现有产业链范围未覆盖或证据不足）</x:v>
      </x:c>
      <x:c r="H783" s="26" t="str">
        <x:v>-</x:v>
      </x:c>
      <x:c r="I783" s="26" t="str"/>
      <x:c r="J783" s="26" t="str"/>
      <x:c r="K783" s="26" t="str">
        <x:v>列车/地铁车长是生活服务与零售行业中不可或缺的专业人员，他们负责确保公共交通工具的安全、准时运行，对于提升城市交通效率和服务质量有着至关重要的作用。作为连接乘客与城市的纽带，车长不仅代表着企业的形象，还承担着维护公共安全…</x:v>
      </x:c>
      <x:c r="L783" s="26" t="str">
        <x:v>1. 负责驾驶列车/地铁完成既定路线的运输任务，确保行车安全和时间准确无误。 2. 在遇到突发事件时迅速采取有效措施，及时上报并协助相关部门进行处置，保障乘客安全。 3. 定期参加业务培训，掌握最新的操作规程和技术知识，…</x:v>
      </x:c>
    </x:row>
    <x:row r="784" ht="72" customHeight="1">
      <x:c r="A784" s="25" t="n">
        <x:v>11676</x:v>
      </x:c>
      <x:c r="B784" s="25" t="str">
        <x:v>IC-L3-933</x:v>
      </x:c>
      <x:c r="C784" s="25" t="str">
        <x:v>地勤人员</x:v>
      </x:c>
      <x:c r="D784" s="25" t="str">
        <x:v>4-02-04-02</x:v>
      </x:c>
      <x:c r="E784" s="25" t="str">
        <x:v>航空运输地面服务员</x:v>
      </x:c>
      <x:c r="F784" s="28" t="n">
        <x:f>COUNTIF('岗位-产业节点关系'!$C$4:$C$709,B784)</x:f>
        <x:v>0</x:v>
      </x:c>
      <x:c r="G784" s="26" t="str">
        <x:f>IF(F784=0,"未匹配（现有产业链范围未覆盖或证据不足）",IF(COUNTIFS('岗位-产业节点关系'!$C$4:$C$709,B784,'岗位-产业节点关系'!$M$4:$M$709,"低")&gt;0,"已匹配，建议复核","已匹配"))</x:f>
        <x:v>未匹配（现有产业链范围未覆盖或证据不足）</x:v>
      </x:c>
      <x:c r="H784" s="26" t="str">
        <x:v>-</x:v>
      </x:c>
      <x:c r="I784" s="26" t="str"/>
      <x:c r="J784" s="26" t="str"/>
      <x:c r="K784" s="26" t="str">
        <x:v>地勤人员是生活服务/零售行业中交通运输服务领域不可或缺的角色，他们负责确保乘客及货物的安全与准时运输，是连接客户与公司的重要桥梁。作为地勤人员，核心目标在于通过提供高效、安全的服务来提升客户满意度，进而增强公司在市场上的…</x:v>
      </x:c>
      <x:c r="L784" s="26" t="str">
        <x:v>1. 负责接待到达或出发的旅客，解答相关咨询，指导乘客正确使用各类设施，确保旅客顺利出行。 2. 协助货物装卸工作，检查货物包装是否符合安全标准，记录并上报异常情况，保障货物完整无损。 3. 维护站台秩序，引导车辆有序停…</x:v>
      </x:c>
    </x:row>
    <x:row r="785" ht="72" customHeight="1">
      <x:c r="A785" s="25" t="n">
        <x:v>11677</x:v>
      </x:c>
      <x:c r="B785" s="25" t="str">
        <x:v>IC-L3-934</x:v>
      </x:c>
      <x:c r="C785" s="25" t="str">
        <x:v>空乘人员</x:v>
      </x:c>
      <x:c r="D785" s="25" t="str">
        <x:v>4-02-04-01</x:v>
      </x:c>
      <x:c r="E785" s="25" t="str">
        <x:v>民航乘务员</x:v>
      </x:c>
      <x:c r="F785" s="28" t="n">
        <x:f>COUNTIF('岗位-产业节点关系'!$C$4:$C$709,B785)</x:f>
        <x:v>1</x:v>
      </x:c>
      <x:c r="G785" s="26" t="str">
        <x:f>IF(F785=0,"未匹配（现有产业链范围未覆盖或证据不足）",IF(COUNTIFS('岗位-产业节点关系'!$C$4:$C$709,B785,'岗位-产业节点关系'!$M$4:$M$709,"低")&gt;0,"已匹配，建议复核","已匹配"))</x:f>
        <x:v>已匹配</x:v>
      </x:c>
      <x:c r="H785" s="26" t="str">
        <x:v>中</x:v>
      </x:c>
      <x:c r="I785" s="26" t="str">
        <x:v>ICN039</x:v>
      </x:c>
      <x:c r="J785" s="26" t="str">
        <x:v>空天装备与低空经济产业链/下游/低空运营、空域服务与场景应用</x:v>
      </x:c>
      <x:c r="K785" s="26" t="str">
        <x:v>空乘人员是航空服务的重要组成部分，直接关系到乘客的飞行体验与安全。他们不仅是航空公司形象的代表，更是保障航班顺利运行的关键角色，在提升客户满意度方面发挥着不可替代的作用。 空乘人员的核心目标在于确保所有乘客从登机到离机期…</x:v>
      </x:c>
      <x:c r="L785" s="26" t="str">
        <x:v>1. 在航班起飞前进行客舱安全检查，确保所有设备处于良好状态，为旅客提供一个安全舒适的飞行环境。 2. 为乘客提供餐食、饮料等服务，解答乘客疑问，满足其合理需求，确保每位乘客都能享受到愉快的旅程。 3. 对于突发状况（如…</x:v>
      </x:c>
    </x:row>
    <x:row r="786" ht="72" customHeight="1">
      <x:c r="A786" s="25" t="n">
        <x:v>11678</x:v>
      </x:c>
      <x:c r="B786" s="25" t="str">
        <x:v>IC-L3-935</x:v>
      </x:c>
      <x:c r="C786" s="25" t="str">
        <x:v>船员</x:v>
      </x:c>
      <x:c r="D786" s="25" t="str">
        <x:v>4-02-04-01</x:v>
      </x:c>
      <x:c r="E786" s="25" t="str">
        <x:v>民航乘务员</x:v>
      </x:c>
      <x:c r="F786" s="28" t="n">
        <x:f>COUNTIF('岗位-产业节点关系'!$C$4:$C$709,B786)</x:f>
        <x:v>0</x:v>
      </x:c>
      <x:c r="G786" s="26" t="str">
        <x:f>IF(F786=0,"未匹配（现有产业链范围未覆盖或证据不足）",IF(COUNTIFS('岗位-产业节点关系'!$C$4:$C$709,B786,'岗位-产业节点关系'!$M$4:$M$709,"低")&gt;0,"已匹配，建议复核","已匹配"))</x:f>
        <x:v>未匹配（现有产业链范围未覆盖或证据不足）</x:v>
      </x:c>
      <x:c r="H786" s="26" t="str">
        <x:v>-</x:v>
      </x:c>
      <x:c r="I786" s="26" t="str"/>
      <x:c r="J786" s="26" t="str"/>
      <x:c r="K786" s="26" t="str">
        <x:v>船员是生活服务与零售行业中交通运输服务的关键组成部分，负责确保货物安全、准时地从一个地点运输到另一个地点。作为海上的物流专家，他们不仅承担着维持供应链顺畅运作的责任，还代表着公司形象，向客户展示专业可靠的服务态度。 船员…</x:v>
      </x:c>
      <x:c r="L786" s="26" t="str">
        <x:v>1. 负责船舶的日常操作与维护，确保设备处于良好工作状态，以保障航行安全。 2. 根据航线规划，准确无误地驾驶船舶，按时完成货物运输任务，满足客户需求。 3. 遵守国际及地方相关法律法规，执行环保措施，减少航行过程中的污…</x:v>
      </x:c>
    </x:row>
    <x:row r="787" ht="72" customHeight="1">
      <x:c r="A787" s="25" t="n">
        <x:v>11679</x:v>
      </x:c>
      <x:c r="B787" s="25" t="str">
        <x:v>IC-L3-936</x:v>
      </x:c>
      <x:c r="C787" s="25" t="str">
        <x:v>船长/副船长</x:v>
      </x:c>
      <x:c r="D787" s="25" t="str">
        <x:v>4-02-03-01</x:v>
      </x:c>
      <x:c r="E787" s="25" t="str">
        <x:v>客运船舶驾驶员</x:v>
      </x:c>
      <x:c r="F787" s="28" t="n">
        <x:f>COUNTIF('岗位-产业节点关系'!$C$4:$C$709,B787)</x:f>
        <x:v>0</x:v>
      </x:c>
      <x:c r="G787" s="26" t="str">
        <x:f>IF(F787=0,"未匹配（现有产业链范围未覆盖或证据不足）",IF(COUNTIFS('岗位-产业节点关系'!$C$4:$C$709,B787,'岗位-产业节点关系'!$M$4:$M$709,"低")&gt;0,"已匹配，建议复核","已匹配"))</x:f>
        <x:v>未匹配（现有产业链范围未覆盖或证据不足）</x:v>
      </x:c>
      <x:c r="H787" s="26" t="str">
        <x:v>-</x:v>
      </x:c>
      <x:c r="I787" s="26" t="str"/>
      <x:c r="J787" s="26" t="str"/>
      <x:c r="K787" s="26" t="str">
        <x:v>船长或副船长是生活服务与零售行业中交通运输服务领域的重要职务。他们负责确保货物安全、高效地从一个地点运送到另一个地点，同时保证遵守所有相关的法律法规，是公司物流链中不可或缺的一环。作为船上的最高指挥官，船长或副船长的核心…</x:v>
      </x:c>
      <x:c r="L787" s="26" t="str">
        <x:v>1. 负责制定详细的航行计划，包括选择最佳航线、确定出发时间和预计到达时间，确保船舶能够按时完成运输任务。 2. 监督船上所有人员的工作情况，确保遵守国际海事组织的各项规定及公司的安全标准，维护良好的工作秩序。 3. 在…</x:v>
      </x:c>
    </x:row>
    <x:row r="788" ht="72" customHeight="1">
      <x:c r="A788" s="25" t="n">
        <x:v>11680</x:v>
      </x:c>
      <x:c r="B788" s="25" t="str">
        <x:v>IC-L3-937</x:v>
      </x:c>
      <x:c r="C788" s="25" t="str">
        <x:v>货运司机</x:v>
      </x:c>
      <x:c r="D788" s="25" t="str">
        <x:v>4-02-02-02</x:v>
      </x:c>
      <x:c r="E788" s="25" t="str">
        <x:v>道路货运汽车驾驶员</x:v>
      </x:c>
      <x:c r="F788" s="28" t="n">
        <x:f>COUNTIF('岗位-产业节点关系'!$C$4:$C$709,B788)</x:f>
        <x:v>0</x:v>
      </x:c>
      <x:c r="G788" s="26" t="str">
        <x:f>IF(F788=0,"未匹配（现有产业链范围未覆盖或证据不足）",IF(COUNTIFS('岗位-产业节点关系'!$C$4:$C$709,B788,'岗位-产业节点关系'!$M$4:$M$709,"低")&gt;0,"已匹配，建议复核","已匹配"))</x:f>
        <x:v>未匹配（现有产业链范围未覆盖或证据不足）</x:v>
      </x:c>
      <x:c r="H788" s="26" t="str">
        <x:v>-</x:v>
      </x:c>
      <x:c r="I788" s="26" t="str"/>
      <x:c r="J788" s="26" t="str"/>
      <x:c r="K788" s="26" t="str">
        <x:v>货运司机是生活服务与零售行业中不可或缺的一部分，承担着连接生产和消费两端的重要桥梁作用。作为交通运输服务的关键岗位，他们不仅确保了货物从仓库到客户手中的安全与及时到达，还直接影响着企业的品牌形象和客户满意度。 该职位的核…</x:v>
      </x:c>
      <x:c r="L788" s="26" t="str">
        <x:v>1. 根据公司安排的时间表和路线要求，负责将商品准时送达指定地点，并确保货物的安全无损。 2. 在每次出车前进行车辆检查，包括油量、水温、刹车系统等，确保车辆处于良好状态，预防途中发生故障。 3. 与客户沟通确认收货信息…</x:v>
      </x:c>
    </x:row>
    <x:row r="789" ht="72" customHeight="1">
      <x:c r="A789" s="25" t="n">
        <x:v>11681</x:v>
      </x:c>
      <x:c r="B789" s="25" t="str">
        <x:v>IC-L3-938</x:v>
      </x:c>
      <x:c r="C789" s="25" t="str">
        <x:v>飞机机长/副机长</x:v>
      </x:c>
      <x:c r="D789" s="25" t="str">
        <x:v>4-02-04-01</x:v>
      </x:c>
      <x:c r="E789" s="25" t="str">
        <x:v>民航乘务员</x:v>
      </x:c>
      <x:c r="F789" s="28" t="n">
        <x:f>COUNTIF('岗位-产业节点关系'!$C$4:$C$709,B789)</x:f>
        <x:v>1</x:v>
      </x:c>
      <x:c r="G789" s="26" t="str">
        <x:f>IF(F789=0,"未匹配（现有产业链范围未覆盖或证据不足）",IF(COUNTIFS('岗位-产业节点关系'!$C$4:$C$709,B789,'岗位-产业节点关系'!$M$4:$M$709,"低")&gt;0,"已匹配，建议复核","已匹配"))</x:f>
        <x:v>已匹配，建议复核</x:v>
      </x:c>
      <x:c r="H789" s="26" t="str">
        <x:v>低</x:v>
      </x:c>
      <x:c r="I789" s="26" t="str">
        <x:v>ICN039</x:v>
      </x:c>
      <x:c r="J789" s="26" t="str">
        <x:v>空天装备与低空经济产业链/下游/低空运营、空域服务与场景应用</x:v>
      </x:c>
      <x:c r="K789" s="26" t="str">
        <x:v>飞机机长/副机长是生活服务与零售行业中交通运输服务领域的重要角色，负责确保航班的安全、高效运行。作为飞行团队的核心成员，他们不仅需要具备高超的飞行技术，还需拥有良好的决策能力和应急处理能力，以应对各种复杂情况。 该职位的…</x:v>
      </x:c>
      <x:c r="L789" s="26" t="str">
        <x:v>1. 负责飞机起飞前的各项检查工作，确保所有设备正常运作，符合安全标准。 2. 在飞行过程中密切监控仪表数据，及时调整飞行状态，保证飞行平稳、准时到达目的地。 3. 遇到突发状况时迅速采取有效措施，指导全体机组成员按预案…</x:v>
      </x:c>
    </x:row>
    <x:row r="790" ht="72" customHeight="1">
      <x:c r="A790" s="25" t="n">
        <x:v>11682</x:v>
      </x:c>
      <x:c r="B790" s="25" t="str">
        <x:v>IC-L3-939</x:v>
      </x:c>
      <x:c r="C790" s="25" t="str">
        <x:v>行程管理/计调</x:v>
      </x:c>
      <x:c r="D790" s="25" t="str">
        <x:v>4-02-04-01</x:v>
      </x:c>
      <x:c r="E790" s="25" t="str">
        <x:v>民航乘务员</x:v>
      </x:c>
      <x:c r="F790" s="28" t="n">
        <x:f>COUNTIF('岗位-产业节点关系'!$C$4:$C$709,B790)</x:f>
        <x:v>0</x:v>
      </x:c>
      <x:c r="G790" s="26" t="str">
        <x:f>IF(F790=0,"未匹配（现有产业链范围未覆盖或证据不足）",IF(COUNTIFS('岗位-产业节点关系'!$C$4:$C$709,B790,'岗位-产业节点关系'!$M$4:$M$709,"低")&gt;0,"已匹配，建议复核","已匹配"))</x:f>
        <x:v>未匹配（现有产业链范围未覆盖或证据不足）</x:v>
      </x:c>
      <x:c r="H790" s="26" t="str">
        <x:v>-</x:v>
      </x:c>
      <x:c r="I790" s="26" t="str"/>
      <x:c r="J790" s="26" t="str"/>
      <x:c r="K790" s="26" t="str">
        <x:v>行程管理/计调是专门从事运输资源调配与行程优化的专业人员。该职位的核心目标是通过科学规划车辆调度与路线安排，实现运输效率最大化与成本最优化。在日常工作中，需要进行运输任务分配、车辆调度协调、路线规划优化及突发情况处理等工…</x:v>
      </x:c>
      <x:c r="L790" s="26" t="str">
        <x:v>1. 规划运输线路方案 2. 调度车辆人员安排 3. 监控运输过程状态 4. 协调突发事件处理 5. 优化运输成本控制 6. 统计运输数据报表</x:v>
      </x:c>
    </x:row>
    <x:row r="791" ht="72" customHeight="1">
      <x:c r="A791" s="25" t="n">
        <x:v>11683</x:v>
      </x:c>
      <x:c r="B791" s="25" t="str">
        <x:v>IC-L3-940</x:v>
      </x:c>
      <x:c r="C791" s="25" t="str">
        <x:v>车身/造型设计</x:v>
      </x:c>
      <x:c r="D791" s="25" t="str">
        <x:v>4-02-04-01</x:v>
      </x:c>
      <x:c r="E791" s="25" t="str">
        <x:v>民航乘务员</x:v>
      </x:c>
      <x:c r="F791" s="28" t="n">
        <x:f>COUNTIF('岗位-产业节点关系'!$C$4:$C$709,B791)</x:f>
        <x:v>0</x:v>
      </x:c>
      <x:c r="G791" s="26" t="str">
        <x:f>IF(F791=0,"未匹配（现有产业链范围未覆盖或证据不足）",IF(COUNTIFS('岗位-产业节点关系'!$C$4:$C$709,B791,'岗位-产业节点关系'!$M$4:$M$709,"低")&gt;0,"已匹配，建议复核","已匹配"))</x:f>
        <x:v>未匹配（现有产业链范围未覆盖或证据不足）</x:v>
      </x:c>
      <x:c r="H791" s="26" t="str">
        <x:v>-</x:v>
      </x:c>
      <x:c r="I791" s="26" t="str"/>
      <x:c r="J791" s="26" t="str"/>
      <x:c r="K791" s="26" t="str">
        <x:v>车身/造型设计是专门从事汽车外观及结构设计的专业人员。该职位的核心目标是通过创新设计理念与技术方案，提升产品市场竞争力与品牌辨识度。在日常工作中，需要进行造型方案开发、3D建模、工程可行性分析及与制造部门的协同优化等工作…</x:v>
      </x:c>
      <x:c r="L791" s="26" t="str">
        <x:v>1. 设计汽车外观造型 2. 优化车身空气动力学 3. 制作3D数字模型 4. 完成油泥模型制作 5. 协调工程可行性 6. 跟踪量产实施效果</x:v>
      </x:c>
    </x:row>
    <x:row r="792" ht="72" customHeight="1">
      <x:c r="A792" s="25" t="n">
        <x:v>11684</x:v>
      </x:c>
      <x:c r="B792" s="25" t="str">
        <x:v>IC-L3-941</x:v>
      </x:c>
      <x:c r="C792" s="25" t="str">
        <x:v>售后服务/客户服务</x:v>
      </x:c>
      <x:c r="D792" s="25" t="str">
        <x:v>4-02-04-01</x:v>
      </x:c>
      <x:c r="E792" s="25" t="str">
        <x:v>民航乘务员</x:v>
      </x:c>
      <x:c r="F792" s="28" t="n">
        <x:f>COUNTIF('岗位-产业节点关系'!$C$4:$C$709,B792)</x:f>
        <x:v>0</x:v>
      </x:c>
      <x:c r="G792" s="26" t="str">
        <x:f>IF(F792=0,"未匹配（现有产业链范围未覆盖或证据不足）",IF(COUNTIFS('岗位-产业节点关系'!$C$4:$C$709,B792,'岗位-产业节点关系'!$M$4:$M$709,"低")&gt;0,"已匹配，建议复核","已匹配"))</x:f>
        <x:v>未匹配（现有产业链范围未覆盖或证据不足）</x:v>
      </x:c>
      <x:c r="H792" s="26" t="str">
        <x:v>-</x:v>
      </x:c>
      <x:c r="I792" s="26" t="str"/>
      <x:c r="J792" s="26" t="str"/>
      <x:c r="K792" s="26" t="str">
        <x:v>售后服务/客户服务是专门从事客户关系维护与售后问题解决的专业人员。该职位的核心目标是通过高效响应客户需求，提升客户满意度和品牌忠诚度。在日常工作中，需要进行客户咨询解答、投诉处理、运输异常跟进以及客户满意度回访等工作。</x:v>
      </x:c>
      <x:c r="L792" s="26" t="str">
        <x:v>1. 处理客户投诉建议 2. 跟进运输服务问题 3. 提供售后咨询解答 4. 维护客户关系档案 5. 协调异常情况处理 6. 收集客户反馈意见</x:v>
      </x:c>
    </x:row>
    <x:row r="793" ht="72" customHeight="1">
      <x:c r="A793" s="25" t="n">
        <x:v>11685</x:v>
      </x:c>
      <x:c r="B793" s="25" t="str">
        <x:v>IC-L3-942</x:v>
      </x:c>
      <x:c r="C793" s="25" t="str">
        <x:v>机场代表</x:v>
      </x:c>
      <x:c r="D793" s="25" t="str">
        <x:v>4-02-04-01</x:v>
      </x:c>
      <x:c r="E793" s="25" t="str">
        <x:v>民航乘务员</x:v>
      </x:c>
      <x:c r="F793" s="28" t="n">
        <x:f>COUNTIF('岗位-产业节点关系'!$C$4:$C$709,B793)</x:f>
        <x:v>1</x:v>
      </x:c>
      <x:c r="G793" s="26" t="str">
        <x:f>IF(F793=0,"未匹配（现有产业链范围未覆盖或证据不足）",IF(COUNTIFS('岗位-产业节点关系'!$C$4:$C$709,B793,'岗位-产业节点关系'!$M$4:$M$709,"低")&gt;0,"已匹配，建议复核","已匹配"))</x:f>
        <x:v>已匹配</x:v>
      </x:c>
      <x:c r="H793" s="26" t="str">
        <x:v>中</x:v>
      </x:c>
      <x:c r="I793" s="26" t="str">
        <x:v>ICN039</x:v>
      </x:c>
      <x:c r="J793" s="26" t="str">
        <x:v>空天装备与低空经济产业链/下游/低空运营、空域服务与场景应用</x:v>
      </x:c>
      <x:c r="K793" s="26" t="str">
        <x:v>机场代表是专门从事航空旅客服务与协调的专业人员。该职位的核心目标是通过提供优质的客户服务和高效的现场协调，确保旅客顺畅出行并提升机场运营效率。在日常工作中，需要进行旅客接待、航班信息咨询、特殊需求协助及应急事件处理等工作…</x:v>
      </x:c>
      <x:c r="L793" s="26" t="str">
        <x:v>1. 接待引导旅客 2. 处理航班异常 3. 提供问询服务 4. 协助值机手续 5. 协调特殊需求 6. 维护现场秩序</x:v>
      </x:c>
    </x:row>
    <x:row r="794" ht="72" customHeight="1">
      <x:c r="A794" s="25" t="n">
        <x:v>11686</x:v>
      </x:c>
      <x:c r="B794" s="25" t="str">
        <x:v>IC-L3-943</x:v>
      </x:c>
      <x:c r="C794" s="25" t="str">
        <x:v>按摩</x:v>
      </x:c>
      <x:c r="D794" s="25" t="str">
        <x:v>2-05-10-00</x:v>
      </x:c>
      <x:c r="E794" s="25" t="str">
        <x:v>盲人医疗按摩人员</x:v>
      </x:c>
      <x:c r="F794" s="28" t="n">
        <x:f>COUNTIF('岗位-产业节点关系'!$C$4:$C$709,B794)</x:f>
        <x:v>1</x:v>
      </x:c>
      <x:c r="G794" s="26" t="str">
        <x:f>IF(F794=0,"未匹配（现有产业链范围未覆盖或证据不足）",IF(COUNTIFS('岗位-产业节点关系'!$C$4:$C$709,B794,'岗位-产业节点关系'!$M$4:$M$709,"低")&gt;0,"已匹配，建议复核","已匹配"))</x:f>
        <x:v>已匹配</x:v>
      </x:c>
      <x:c r="H794" s="26" t="str">
        <x:v>中</x:v>
      </x:c>
      <x:c r="I794" s="26" t="str">
        <x:v>ICN012</x:v>
      </x:c>
      <x:c r="J794" s="26" t="str">
        <x:v>医药生物与医疗健康产业链/下游/医疗服务、临床应用与健康管理</x:v>
      </x:c>
      <x:c r="K794" s="26" t="str">
        <x:v>在生活服务与零售行业中，按摩师是保健理疗领域的重要组成部分，他们不仅为客户提供放松身心的服务，还通过专业的手法帮助客户缓解身体疲劳，改善健康状况。作为按摩师，其核心目标在于提供高质量的按摩服务，确保每位顾客都能享受到舒适…</x:v>
      </x:c>
      <x:c r="L794" s="26" t="str">
        <x:v>1. 为顾客提供专业、舒适的全身或局部按摩服务，依据顾客需求选择合适的按摩技术和力度，达到放松肌肉、缓解压力的效果。 2. 在每次服务前后，对工作区域进行清洁消毒，保持环境整洁卫生，确保顾客安全；同时负责维护保养按摩床、…</x:v>
      </x:c>
    </x:row>
    <x:row r="795" ht="72" customHeight="1">
      <x:c r="A795" s="25" t="n">
        <x:v>11687</x:v>
      </x:c>
      <x:c r="B795" s="25" t="str">
        <x:v>IC-L3-944</x:v>
      </x:c>
      <x:c r="C795" s="25" t="str">
        <x:v>营养师</x:v>
      </x:c>
      <x:c r="D795" s="25" t="str">
        <x:v>4-14-02-01</x:v>
      </x:c>
      <x:c r="E795" s="25" t="str">
        <x:v>营养师</x:v>
      </x:c>
      <x:c r="F795" s="28" t="n">
        <x:f>COUNTIF('岗位-产业节点关系'!$C$4:$C$709,B795)</x:f>
        <x:v>2</x:v>
      </x:c>
      <x:c r="G795" s="26" t="str">
        <x:f>IF(F795=0,"未匹配（现有产业链范围未覆盖或证据不足）",IF(COUNTIFS('岗位-产业节点关系'!$C$4:$C$709,B795,'岗位-产业节点关系'!$M$4:$M$709,"低")&gt;0,"已匹配，建议复核","已匹配"))</x:f>
        <x:v>已匹配</x:v>
      </x:c>
      <x:c r="H795" s="26" t="str">
        <x:v>中</x:v>
      </x:c>
      <x:c r="I795" s="26" t="str">
        <x:v>ICN012、ICN027</x:v>
      </x:c>
      <x:c r="J795" s="26" t="str">
        <x:v>医药生物与医疗健康产业链/下游/医疗服务、临床应用与健康管理；食品饮料产业链/下游/品牌渠道、餐饮零售与消费服务</x:v>
      </x:c>
      <x:c r="K795" s="26" t="str">
        <x:v>营养师是专门从事膳食营养与健康管理的专业人员。该职位的核心目标是通过科学评估和个性化营养方案，帮助客户改善健康状况。在日常工作中，需要进行营养评估、膳食计划制定、营养咨询及健康指导等工作。</x:v>
      </x:c>
      <x:c r="L795" s="26" t="str">
        <x:v>1. 评估客户营养状况 2. 制定个性化饮食方案 3. 指导健康食材选择 4. 监测营养改善效果 5. 开展营养知识培训 6. 更新营养保健方案</x:v>
      </x:c>
    </x:row>
    <x:row r="796" ht="72" customHeight="1">
      <x:c r="A796" s="25" t="n">
        <x:v>11688</x:v>
      </x:c>
      <x:c r="B796" s="25" t="str">
        <x:v>IC-L3-945</x:v>
      </x:c>
      <x:c r="C796" s="25" t="str">
        <x:v>心理咨询师</x:v>
      </x:c>
      <x:c r="D796" s="25" t="str">
        <x:v>2-07-11-03</x:v>
      </x:c>
      <x:c r="E796" s="25" t="str">
        <x:v>心理咨询师</x:v>
      </x:c>
      <x:c r="F796" s="28" t="n">
        <x:f>COUNTIF('岗位-产业节点关系'!$C$4:$C$709,B796)</x:f>
        <x:v>1</x:v>
      </x:c>
      <x:c r="G796" s="26" t="str">
        <x:f>IF(F796=0,"未匹配（现有产业链范围未覆盖或证据不足）",IF(COUNTIFS('岗位-产业节点关系'!$C$4:$C$709,B796,'岗位-产业节点关系'!$M$4:$M$709,"低")&gt;0,"已匹配，建议复核","已匹配"))</x:f>
        <x:v>已匹配</x:v>
      </x:c>
      <x:c r="H796" s="26" t="str">
        <x:v>中</x:v>
      </x:c>
      <x:c r="I796" s="26" t="str">
        <x:v>ICN012</x:v>
      </x:c>
      <x:c r="J796" s="26" t="str">
        <x:v>医药生物与医疗健康产业链/下游/医疗服务、临床应用与健康管理</x:v>
      </x:c>
      <x:c r="K796" s="26" t="str">
        <x:v>心理咨询师是专门从事心理健康服务的专业人员。该职位的核心目标是通过专业的心理咨询技术，帮助客户改善心理状态并提升生活质量。在日常工作中，需要进行心理健康评估、制定个性化治疗方案、开展心理疏导和认知行为治疗等工作。</x:v>
      </x:c>
      <x:c r="L796" s="26" t="str">
        <x:v>1. 提供心理咨询服务 2. 评估客户心理状态 3. 制定心理干预方案 4. 开展心理疏导工作 5. 记录咨询过程内容 6. 跟进康复效果评估</x:v>
      </x:c>
    </x:row>
    <x:row r="797" ht="72" customHeight="1">
      <x:c r="A797" s="25" t="n">
        <x:v>11689</x:v>
      </x:c>
      <x:c r="B797" s="25" t="str">
        <x:v>IC-L3-946</x:v>
      </x:c>
      <x:c r="C797" s="25" t="str">
        <x:v>健康管理师</x:v>
      </x:c>
      <x:c r="D797" s="25" t="str">
        <x:v>4-14-02-02</x:v>
      </x:c>
      <x:c r="E797" s="25" t="str">
        <x:v>健康管理师</x:v>
      </x:c>
      <x:c r="F797" s="28" t="n">
        <x:f>COUNTIF('岗位-产业节点关系'!$C$4:$C$709,B797)</x:f>
        <x:v>1</x:v>
      </x:c>
      <x:c r="G797" s="26" t="str">
        <x:f>IF(F797=0,"未匹配（现有产业链范围未覆盖或证据不足）",IF(COUNTIFS('岗位-产业节点关系'!$C$4:$C$709,B797,'岗位-产业节点关系'!$M$4:$M$709,"低")&gt;0,"已匹配，建议复核","已匹配"))</x:f>
        <x:v>已匹配</x:v>
      </x:c>
      <x:c r="H797" s="26" t="str">
        <x:v>中</x:v>
      </x:c>
      <x:c r="I797" s="26" t="str">
        <x:v>ICN012</x:v>
      </x:c>
      <x:c r="J797" s="26" t="str">
        <x:v>医药生物与医疗健康产业链/下游/医疗服务、临床应用与健康管理</x:v>
      </x:c>
      <x:c r="K797" s="26" t="str">
        <x:v>健康管理师是专门从事健康评估与促进的专业人员。该职位的核心目标是通过个性化健康管理方案，提升客户健康水平和生活质量。在日常工作中，需要进行健康风险评估、制定理疗计划、提供保健指导及跟踪服务等工作。</x:v>
      </x:c>
      <x:c r="L797" s="26" t="str">
        <x:v>1. 制定健康管理方案 2. 评估客户健康状况 3. 提供专业保健建议 4. 实施理疗干预措施 5. 跟踪健康改善效果 6. 维护健康管理档案</x:v>
      </x:c>
    </x:row>
    <x:row r="798" ht="72" customHeight="1">
      <x:c r="A798" s="25" t="n">
        <x:v>11690</x:v>
      </x:c>
      <x:c r="B798" s="25" t="str">
        <x:v>IC-L3-947</x:v>
      </x:c>
      <x:c r="C798" s="25" t="str">
        <x:v>司仪</x:v>
      </x:c>
      <x:c r="D798" s="25" t="str">
        <x:v>4-07-01-01</x:v>
      </x:c>
      <x:c r="E798" s="25" t="str">
        <x:v>租赁业务员</x:v>
      </x:c>
      <x:c r="F798" s="28" t="n">
        <x:f>COUNTIF('岗位-产业节点关系'!$C$4:$C$709,B798)</x:f>
        <x:v>0</x:v>
      </x:c>
      <x:c r="G798" s="26" t="str">
        <x:f>IF(F798=0,"未匹配（现有产业链范围未覆盖或证据不足）",IF(COUNTIFS('岗位-产业节点关系'!$C$4:$C$709,B798,'岗位-产业节点关系'!$M$4:$M$709,"低")&gt;0,"已匹配，建议复核","已匹配"))</x:f>
        <x:v>未匹配（现有产业链范围未覆盖或证据不足）</x:v>
      </x:c>
      <x:c r="H798" s="26" t="str">
        <x:v>-</x:v>
      </x:c>
      <x:c r="I798" s="26" t="str"/>
      <x:c r="J798" s="26" t="str"/>
      <x:c r="K798" s="26" t="str">
        <x:v>司仪作为婚庆服务中不可或缺的角色，承担着确保婚礼顺利进行的关键任务。通过专业的主持技巧和细致入微的服务态度，司仪不仅能够营造出温馨浪漫的氛围，还能有效协调现场各项活动的有序开展，是新人与来宾之间沟通的桥梁。 在公司内部，…</x:v>
      </x:c>
      <x:c r="L798" s="26" t="str">
        <x:v>1. 与新人充分沟通了解其需求与期望，根据婚礼主题设计合理的仪式流程并撰写相应的主持词。 2. 在婚礼前进行彩排，确保所有参与人员熟悉流程，同时检查音响设备等硬件设施是否正常运作。 3. 主持婚礼当天的各项仪式，包括但不…</x:v>
      </x:c>
    </x:row>
    <x:row r="799" ht="72" customHeight="1">
      <x:c r="A799" s="25" t="n">
        <x:v>11691</x:v>
      </x:c>
      <x:c r="B799" s="25" t="str">
        <x:v>IC-L3-948</x:v>
      </x:c>
      <x:c r="C799" s="25" t="str">
        <x:v>婚礼/庆典策划服务</x:v>
      </x:c>
      <x:c r="D799" s="25" t="str">
        <x:v>4-10-05-02</x:v>
      </x:c>
      <x:c r="E799" s="25" t="str">
        <x:v>婚礼策划师</x:v>
      </x:c>
      <x:c r="F799" s="28" t="n">
        <x:f>COUNTIF('岗位-产业节点关系'!$C$4:$C$709,B799)</x:f>
        <x:v>0</x:v>
      </x:c>
      <x:c r="G799" s="26" t="str">
        <x:f>IF(F799=0,"未匹配（现有产业链范围未覆盖或证据不足）",IF(COUNTIFS('岗位-产业节点关系'!$C$4:$C$709,B799,'岗位-产业节点关系'!$M$4:$M$709,"低")&gt;0,"已匹配，建议复核","已匹配"))</x:f>
        <x:v>未匹配（现有产业链范围未覆盖或证据不足）</x:v>
      </x:c>
      <x:c r="H799" s="26" t="str">
        <x:v>-</x:v>
      </x:c>
      <x:c r="I799" s="26" t="str"/>
      <x:c r="J799" s="26" t="str"/>
      <x:c r="K799" s="26" t="str">
        <x:v>婚礼/庆典策划服务是生活服务与零售行业中一个极具创意和服务导向的重要职位，它不仅满足了客户对于人生重要时刻的美好期待，还通过专业的策划与执行提升了整个行业的服务水平。作为婚礼/庆典策划师，其核心目标在于根据客户的具体需求…</x:v>
      </x:c>
      <x:c r="L799" s="26" t="str">
        <x:v>1. 与客户沟通，深入了解客户需求，制定符合预算和期望的婚礼或庆典活动计划。 2. 协调内外部资源，包括但不限于场地布置、餐饮服务、娱乐节目等，确保活动筹备工作的高效有序。 3. 负责活动现场的指挥调度，处理突发事件，保…</x:v>
      </x:c>
    </x:row>
    <x:row r="800" ht="72" customHeight="1">
      <x:c r="A800" s="25" t="n">
        <x:v>11692</x:v>
      </x:c>
      <x:c r="B800" s="25" t="str">
        <x:v>IC-L3-949</x:v>
      </x:c>
      <x:c r="C800" s="25" t="str">
        <x:v>礼仪/迎宾</x:v>
      </x:c>
      <x:c r="D800" s="25" t="str">
        <x:v>4-03-02-05</x:v>
      </x:c>
      <x:c r="E800" s="25" t="str">
        <x:v>餐厅服务员</x:v>
      </x:c>
      <x:c r="F800" s="28" t="n">
        <x:f>COUNTIF('岗位-产业节点关系'!$C$4:$C$709,B800)</x:f>
        <x:v>0</x:v>
      </x:c>
      <x:c r="G800" s="26" t="str">
        <x:f>IF(F800=0,"未匹配（现有产业链范围未覆盖或证据不足）",IF(COUNTIFS('岗位-产业节点关系'!$C$4:$C$709,B800,'岗位-产业节点关系'!$M$4:$M$709,"低")&gt;0,"已匹配，建议复核","已匹配"))</x:f>
        <x:v>未匹配（现有产业链范围未覆盖或证据不足）</x:v>
      </x:c>
      <x:c r="H800" s="26" t="str">
        <x:v>-</x:v>
      </x:c>
      <x:c r="I800" s="26" t="str"/>
      <x:c r="J800" s="26" t="str"/>
      <x:c r="K800" s="26" t="str">
        <x:v>礼仪/迎宾是专门从事婚庆活动接待服务的专业人员。该职位的核心目标是通过专业得体的迎宾服务，营造温馨尊贵的婚礼氛围。在日常工作中，需要进行宾客指引、礼金登记、现场协调、仪式流程配合等工作。</x:v>
      </x:c>
      <x:c r="L800" s="26" t="str">
        <x:v>1. 迎接婚庆宾客 2. 引导宾客就座 3. 维持现场秩序 4. 协助签到流程 5. 提供礼仪服务 6. 处理宾客咨询</x:v>
      </x:c>
    </x:row>
    <x:row r="801" ht="72" customHeight="1">
      <x:c r="A801" s="25" t="n">
        <x:v>11693</x:v>
      </x:c>
      <x:c r="B801" s="25" t="str">
        <x:v>IC-L3-950</x:v>
      </x:c>
      <x:c r="C801" s="25" t="str">
        <x:v>课程顾问</x:v>
      </x:c>
      <x:c r="D801" s="25" t="str">
        <x:v>2-08-01-01</x:v>
      </x:c>
      <x:c r="E801" s="25" t="str">
        <x:v>普通高等学校教师</x:v>
      </x:c>
      <x:c r="F801" s="28" t="n">
        <x:f>COUNTIF('岗位-产业节点关系'!$C$4:$C$709,B801)</x:f>
        <x:v>0</x:v>
      </x:c>
      <x:c r="G801" s="26" t="str">
        <x:f>IF(F801=0,"未匹配（现有产业链范围未覆盖或证据不足）",IF(COUNTIFS('岗位-产业节点关系'!$C$4:$C$709,B801,'岗位-产业节点关系'!$M$4:$M$709,"低")&gt;0,"已匹配，建议复核","已匹配"))</x:f>
        <x:v>未匹配（现有产业链范围未覆盖或证据不足）</x:v>
      </x:c>
      <x:c r="H801" s="26" t="str">
        <x:v>-</x:v>
      </x:c>
      <x:c r="I801" s="26" t="str"/>
      <x:c r="J801" s="26" t="str"/>
      <x:c r="K801" s="26" t="str">
        <x:v>课程顾问是专门从事婚庆教育培训咨询的专业人员。该职位的核心目标是通过专业课程推荐和咨询服务，提升客户婚庆专业技能和业务水平。在日常工作中，需要进行课程介绍、需求分析、学习方案制定以及客户跟进等工作。</x:v>
      </x:c>
      <x:c r="L801" s="26" t="str">
        <x:v>1. 推介婚庆课程产品 2. 解答客户课程咨询 3. 跟进潜在客户需求 4. 完成课程销售目标 5. 记录客户信息档案 6. 收集市场反馈信息</x:v>
      </x:c>
    </x:row>
    <x:row r="802" ht="72" customHeight="1">
      <x:c r="A802" s="25" t="n">
        <x:v>11694</x:v>
      </x:c>
      <x:c r="B802" s="25" t="str">
        <x:v>IC-L3-951</x:v>
      </x:c>
      <x:c r="C802" s="25" t="str">
        <x:v>留学顾问</x:v>
      </x:c>
      <x:c r="D802" s="25" t="str">
        <x:v>2-08-01-01</x:v>
      </x:c>
      <x:c r="E802" s="25" t="str">
        <x:v>普通高等学校教师</x:v>
      </x:c>
      <x:c r="F802" s="28" t="n">
        <x:f>COUNTIF('岗位-产业节点关系'!$C$4:$C$709,B802)</x:f>
        <x:v>0</x:v>
      </x:c>
      <x:c r="G802" s="26" t="str">
        <x:f>IF(F802=0,"未匹配（现有产业链范围未覆盖或证据不足）",IF(COUNTIFS('岗位-产业节点关系'!$C$4:$C$709,B802,'岗位-产业节点关系'!$M$4:$M$709,"低")&gt;0,"已匹配，建议复核","已匹配"))</x:f>
        <x:v>未匹配（现有产业链范围未覆盖或证据不足）</x:v>
      </x:c>
      <x:c r="H802" s="26" t="str">
        <x:v>-</x:v>
      </x:c>
      <x:c r="I802" s="26" t="str"/>
      <x:c r="J802" s="26" t="str"/>
      <x:c r="K802" s="26" t="str">
        <x:v>留学顾问是专门为婚庆行业客户提供海外婚礼及蜜月留学方案的专业人员。该职位的核心目标是通过专业咨询和定制服务，帮助客户实现理想的海外婚礼体验。在日常工作中，需要进行目的地调研、签证流程指导、当地资源对接以及全程服务跟进等工…</x:v>
      </x:c>
      <x:c r="L802" s="26" t="str">
        <x:v>1. 提供留学婚庆咨询 2. 设计特色婚庆方案 3. 对接海外婚庆资源 4. 协调跨国婚庆流程 5. 处理签证相关事务 6. 维护客户留学档案</x:v>
      </x:c>
    </x:row>
    <x:row r="803" ht="72" customHeight="1">
      <x:c r="A803" s="25" t="n">
        <x:v>11695</x:v>
      </x:c>
      <x:c r="B803" s="25" t="str">
        <x:v>IC-L3-952</x:v>
      </x:c>
      <x:c r="C803" s="25" t="str">
        <x:v>宠物医生</x:v>
      </x:c>
      <x:c r="D803" s="25" t="str">
        <x:v>2-03-06-03</x:v>
      </x:c>
      <x:c r="E803" s="25" t="str">
        <x:v>宠物医师</x:v>
      </x:c>
      <x:c r="F803" s="28" t="n">
        <x:f>COUNTIF('岗位-产业节点关系'!$C$4:$C$709,B803)</x:f>
        <x:v>1</x:v>
      </x:c>
      <x:c r="G803" s="26" t="str">
        <x:f>IF(F803=0,"未匹配（现有产业链范围未覆盖或证据不足）",IF(COUNTIFS('岗位-产业节点关系'!$C$4:$C$709,B803,'岗位-产业节点关系'!$M$4:$M$709,"低")&gt;0,"已匹配，建议复核","已匹配"))</x:f>
        <x:v>已匹配</x:v>
      </x:c>
      <x:c r="H803" s="26" t="str">
        <x:v>高</x:v>
      </x:c>
      <x:c r="I803" s="26" t="str">
        <x:v>ICN012</x:v>
      </x:c>
      <x:c r="J803" s="26" t="str">
        <x:v>医药生物与医疗健康产业链/下游/医疗服务、临床应用与健康管理</x:v>
      </x:c>
      <x:c r="K803" s="26" t="str">
        <x:v>宠物医生在生活服务/零售行业的宠物服务领域扮演着至关重要的角色。他们不仅是宠物健康的守护者，还负责提供专业的医疗建议和服务，以确保宠物能够享受到高质量的生活。通过他们的专业知识和技术，宠物医生帮助客户解决宠物健康问题，提…</x:v>
      </x:c>
      <x:c r="L803" s="26" t="str">
        <x:v>1. 负责接诊各类宠物，进行疾病诊断并制定合理的治疗方案，确保宠物得到及时有效的治疗。 2. 定期开展宠物健康检查活动，向宠物主人普及科学养宠知识，提高宠物的整体健康水平。 3. 对手术后的宠物进行跟踪观察，确保其恢复情…</x:v>
      </x:c>
    </x:row>
    <x:row r="804" ht="72" customHeight="1">
      <x:c r="A804" s="25" t="n">
        <x:v>11696</x:v>
      </x:c>
      <x:c r="B804" s="25" t="str">
        <x:v>IC-L3-953</x:v>
      </x:c>
      <x:c r="C804" s="25" t="str">
        <x:v>宠物医生助理</x:v>
      </x:c>
      <x:c r="D804" s="25" t="str">
        <x:v>2-03-06-03</x:v>
      </x:c>
      <x:c r="E804" s="25" t="str">
        <x:v>宠物医师</x:v>
      </x:c>
      <x:c r="F804" s="28" t="n">
        <x:f>COUNTIF('岗位-产业节点关系'!$C$4:$C$709,B804)</x:f>
        <x:v>1</x:v>
      </x:c>
      <x:c r="G804" s="26" t="str">
        <x:f>IF(F804=0,"未匹配（现有产业链范围未覆盖或证据不足）",IF(COUNTIFS('岗位-产业节点关系'!$C$4:$C$709,B804,'岗位-产业节点关系'!$M$4:$M$709,"低")&gt;0,"已匹配，建议复核","已匹配"))</x:f>
        <x:v>已匹配</x:v>
      </x:c>
      <x:c r="H804" s="26" t="str">
        <x:v>高</x:v>
      </x:c>
      <x:c r="I804" s="26" t="str">
        <x:v>ICN012</x:v>
      </x:c>
      <x:c r="J804" s="26" t="str">
        <x:v>医药生物与医疗健康产业链/下游/医疗服务、临床应用与健康管理</x:v>
      </x:c>
      <x:c r="K804" s="26" t="str">
        <x:v>宠物医生助理是生活服务/零售行业中宠物服务领域的重要角色，负责协助宠物医生完成日常诊疗工作，确保宠物得到及时有效的护理与治疗。作为宠物医生与宠物主人之间的桥梁，宠物医生助理不仅能够提升宠物医疗服务的专业度，还能增强客户满…</x:v>
      </x:c>
      <x:c r="L804" s="26" t="str">
        <x:v>1. 协助宠物医生进行宠物体检、采样、手术准备等工作，确保各项操作符合医疗规范，以保障宠物健康安全。 2. 负责宠物住院期间的日常护理，如喂食、清洁、观察病情变化等，确保宠物在院期间的生活质量。 3. 与宠物主人沟通交流…</x:v>
      </x:c>
    </x:row>
    <x:row r="805" ht="72" customHeight="1">
      <x:c r="A805" s="25" t="n">
        <x:v>11697</x:v>
      </x:c>
      <x:c r="B805" s="25" t="str">
        <x:v>IC-L3-954</x:v>
      </x:c>
      <x:c r="C805" s="25" t="str">
        <x:v>宠物护理/美容</x:v>
      </x:c>
      <x:c r="D805" s="25" t="str">
        <x:v>4-10-03-01</x:v>
      </x:c>
      <x:c r="E805" s="25" t="str">
        <x:v>美容师</x:v>
      </x:c>
      <x:c r="F805" s="28" t="n">
        <x:f>COUNTIF('岗位-产业节点关系'!$C$4:$C$709,B805)</x:f>
        <x:v>1</x:v>
      </x:c>
      <x:c r="G805" s="26" t="str">
        <x:f>IF(F805=0,"未匹配（现有产业链范围未覆盖或证据不足）",IF(COUNTIFS('岗位-产业节点关系'!$C$4:$C$709,B805,'岗位-产业节点关系'!$M$4:$M$709,"低")&gt;0,"已匹配，建议复核","已匹配"))</x:f>
        <x:v>已匹配</x:v>
      </x:c>
      <x:c r="H805" s="26" t="str">
        <x:v>中</x:v>
      </x:c>
      <x:c r="I805" s="26" t="str">
        <x:v>ICN012</x:v>
      </x:c>
      <x:c r="J805" s="26" t="str">
        <x:v>医药生物与医疗健康产业链/下游/医疗服务、临床应用与健康管理</x:v>
      </x:c>
      <x:c r="K805" s="26" t="str">
        <x:v>宠物护理/美容师是宠物服务行业中不可或缺的专业人才，他们不仅负责宠物日常的清洁与保养工作，还承担着提升宠物生活质量及主人满意度的重要任务。通过专业的技能和服务，宠物护理/美容师能够帮助宠物保持健康美丽的外观，同时也能发现…</x:v>
      </x:c>
      <x:c r="L805" s="26" t="str">
        <x:v>1. 为各种类型的宠物提供全面的清洗、修剪、梳理等日常护理服务，确保其外表整洁、舒适。 2. 根据宠物的具体情况制定个性化的美容方案，包括但不限于造型设计、染色处理等，满足客户多样化的需求。 3. 在操作过程中细心观察宠…</x:v>
      </x:c>
    </x:row>
    <x:row r="806" ht="72" customHeight="1">
      <x:c r="A806" s="25" t="n">
        <x:v>11698</x:v>
      </x:c>
      <x:c r="B806" s="25" t="str">
        <x:v>IC-L3-955</x:v>
      </x:c>
      <x:c r="C806" s="25" t="str">
        <x:v>宠物美容师助理</x:v>
      </x:c>
      <x:c r="D806" s="25" t="str">
        <x:v>4-10-07-03</x:v>
      </x:c>
      <x:c r="E806" s="25" t="str">
        <x:v>宠物美容师</x:v>
      </x:c>
      <x:c r="F806" s="28" t="n">
        <x:f>COUNTIF('岗位-产业节点关系'!$C$4:$C$709,B806)</x:f>
        <x:v>0</x:v>
      </x:c>
      <x:c r="G806" s="26" t="str">
        <x:f>IF(F806=0,"未匹配（现有产业链范围未覆盖或证据不足）",IF(COUNTIFS('岗位-产业节点关系'!$C$4:$C$709,B806,'岗位-产业节点关系'!$M$4:$M$709,"低")&gt;0,"已匹配，建议复核","已匹配"))</x:f>
        <x:v>未匹配（现有产业链范围未覆盖或证据不足）</x:v>
      </x:c>
      <x:c r="H806" s="26" t="str">
        <x:v>-</x:v>
      </x:c>
      <x:c r="I806" s="26" t="str"/>
      <x:c r="J806" s="26" t="str"/>
      <x:c r="K806" s="26" t="str">
        <x:v>宠物美容师助理是生活服务与零售行业中不可或缺的角色，主要负责协助宠物美容师完成日常美容工作，确保服务质量并提升客户满意度。作为宠物美容流程中的重要一环，该职位不仅需要具备一定的专业知识和技术能力，还需拥有良好的沟通技巧和…</x:v>
      </x:c>
      <x:c r="L806" s="26" t="str">
        <x:v>1. 协助宠物美容师进行宠物洗澡、梳理毛发等工作，确保操作规范，提升美容效率。 2. 负责宠物美容前后的准备工作，包括但不限于清洁工具、整理工作台面，确保环境整洁卫生。 3. 与顾客交流了解宠物特性及美容需求，提供专业建…</x:v>
      </x:c>
    </x:row>
    <x:row r="807" ht="72" customHeight="1">
      <x:c r="A807" s="25" t="n">
        <x:v>11699</x:v>
      </x:c>
      <x:c r="B807" s="25" t="str">
        <x:v>IC-L3-956</x:v>
      </x:c>
      <x:c r="C807" s="25" t="str">
        <x:v>训犬师</x:v>
      </x:c>
      <x:c r="D807" s="25" t="str">
        <x:v>4-10-07-03</x:v>
      </x:c>
      <x:c r="E807" s="25" t="str">
        <x:v>宠物美容师</x:v>
      </x:c>
      <x:c r="F807" s="28" t="n">
        <x:f>COUNTIF('岗位-产业节点关系'!$C$4:$C$709,B807)</x:f>
        <x:v>0</x:v>
      </x:c>
      <x:c r="G807" s="26" t="str">
        <x:f>IF(F807=0,"未匹配（现有产业链范围未覆盖或证据不足）",IF(COUNTIFS('岗位-产业节点关系'!$C$4:$C$709,B807,'岗位-产业节点关系'!$M$4:$M$709,"低")&gt;0,"已匹配，建议复核","已匹配"))</x:f>
        <x:v>未匹配（现有产业链范围未覆盖或证据不足）</x:v>
      </x:c>
      <x:c r="H807" s="26" t="str">
        <x:v>-</x:v>
      </x:c>
      <x:c r="I807" s="26" t="str"/>
      <x:c r="J807" s="26" t="str"/>
      <x:c r="K807" s="26" t="str">
        <x:v>训犬师在生活服务与零售行业中扮演着至关重要的角色，特别是在日益增长的宠物服务领域。作为连接宠物主人与宠物之间的桥梁，训犬师不仅能够解决宠物行为问题，提高宠物生活质量，还能增强宠物与主人之间的情感联系。通过专业的训练技巧和…</x:v>
      </x:c>
      <x:c r="L807" s="26" t="str">
        <x:v>1. 评估宠物的行为特征，根据其性格特点制定个性化的训练方案，确保每只宠物都能获得最适合的指导。 2. 运用正向强化方法教授宠物基本指令，如坐下、握手、等待等，以及更复杂的技能，例如定点大小便、不乱叫等，以改善宠物的行为…</x:v>
      </x:c>
    </x:row>
    <x:row r="808" ht="72" customHeight="1">
      <x:c r="A808" s="25" t="n">
        <x:v>11700</x:v>
      </x:c>
      <x:c r="B808" s="25" t="str">
        <x:v>IC-L3-957</x:v>
      </x:c>
      <x:c r="C808" s="25" t="str">
        <x:v>保镖</x:v>
      </x:c>
      <x:c r="D808" s="25" t="str">
        <x:v>4-10-01-06</x:v>
      </x:c>
      <x:c r="E808" s="25" t="str">
        <x:v>家政服务员</x:v>
      </x:c>
      <x:c r="F808" s="28" t="n">
        <x:f>COUNTIF('岗位-产业节点关系'!$C$4:$C$709,B808)</x:f>
        <x:v>0</x:v>
      </x:c>
      <x:c r="G808" s="26" t="str">
        <x:f>IF(F808=0,"未匹配（现有产业链范围未覆盖或证据不足）",IF(COUNTIFS('岗位-产业节点关系'!$C$4:$C$709,B808,'岗位-产业节点关系'!$M$4:$M$709,"低")&gt;0,"已匹配，建议复核","已匹配"))</x:f>
        <x:v>未匹配（现有产业链范围未覆盖或证据不足）</x:v>
      </x:c>
      <x:c r="H808" s="26" t="str">
        <x:v>-</x:v>
      </x:c>
      <x:c r="I808" s="26" t="str"/>
      <x:c r="J808" s="26" t="str"/>
      <x:c r="K808" s="26" t="str">
        <x:v>在生活服务/零售行业中，尤其是家政服务领域，保镖作为重要的安全防护人员，承担着保护客户人身安全与隐私的重要职责。他们不仅需要具备专业的安全防范知识和技能，还需拥有良好的沟通协调能力，以确保能够及时有效地应对各种紧急情况，…</x:v>
      </x:c>
      <x:c r="L808" s="26" t="str">
        <x:v>1. 负责客户日常出行时的安全护卫工作，确保客户在公共场合或私人活动中的人身安全不受侵犯。 2. 定期评估客户居住地的安全状况，制定并实施有效的安全防范方案，预防可能发生的危险事件。 3. 对突发状况迅速做出判断和处理，…</x:v>
      </x:c>
    </x:row>
    <x:row r="809" ht="72" customHeight="1">
      <x:c r="A809" s="25" t="n">
        <x:v>11701</x:v>
      </x:c>
      <x:c r="B809" s="25" t="str">
        <x:v>IC-L3-958</x:v>
      </x:c>
      <x:c r="C809" s="25" t="str">
        <x:v>家政服务/保姆</x:v>
      </x:c>
      <x:c r="D809" s="25" t="str">
        <x:v>4-10-01-06</x:v>
      </x:c>
      <x:c r="E809" s="25" t="str">
        <x:v>家政服务员</x:v>
      </x:c>
      <x:c r="F809" s="28" t="n">
        <x:f>COUNTIF('岗位-产业节点关系'!$C$4:$C$709,B809)</x:f>
        <x:v>0</x:v>
      </x:c>
      <x:c r="G809" s="26" t="str">
        <x:f>IF(F809=0,"未匹配（现有产业链范围未覆盖或证据不足）",IF(COUNTIFS('岗位-产业节点关系'!$C$4:$C$709,B809,'岗位-产业节点关系'!$M$4:$M$709,"低")&gt;0,"已匹配，建议复核","已匹配"))</x:f>
        <x:v>未匹配（现有产业链范围未覆盖或证据不足）</x:v>
      </x:c>
      <x:c r="H809" s="26" t="str">
        <x:v>-</x:v>
      </x:c>
      <x:c r="I809" s="26" t="str"/>
      <x:c r="J809" s="26" t="str"/>
      <x:c r="K809" s="26" t="str">
        <x:v>家政服务/保姆在生活服务行业中扮演着至关重要的角色，是连接家庭需求与专业服务的桥梁。通过提供清洁、烹饪、照看儿童或老人等服务，帮助客户解决日常生活中遇到的问题，从而提高其生活质量。优秀的家政服务员不仅能够满足客户的物质需…</x:v>
      </x:c>
      <x:c r="L809" s="26" t="str">
        <x:v>1. 负责客户家庭的日常清洁工作，包括但不限于扫地、擦窗、洗衣、整理房间等，确保家居环境干净整洁。 2. 根据客户需求制定合理膳食计划，采购新鲜食材，烹饪美味健康的餐食，保障家庭成员的营养均衡。 3. 照顾家庭中儿童或老…</x:v>
      </x:c>
    </x:row>
    <x:row r="810" ht="72" customHeight="1">
      <x:c r="A810" s="25" t="n">
        <x:v>11702</x:v>
      </x:c>
      <x:c r="B810" s="25" t="str">
        <x:v>IC-L3-959</x:v>
      </x:c>
      <x:c r="C810" s="25" t="str">
        <x:v>护工</x:v>
      </x:c>
      <x:c r="D810" s="25" t="str">
        <x:v>4-10-01-06</x:v>
      </x:c>
      <x:c r="E810" s="25" t="str">
        <x:v>家政服务员</x:v>
      </x:c>
      <x:c r="F810" s="28" t="n">
        <x:f>COUNTIF('岗位-产业节点关系'!$C$4:$C$709,B810)</x:f>
        <x:v>1</x:v>
      </x:c>
      <x:c r="G810" s="26" t="str">
        <x:f>IF(F810=0,"未匹配（现有产业链范围未覆盖或证据不足）",IF(COUNTIFS('岗位-产业节点关系'!$C$4:$C$709,B810,'岗位-产业节点关系'!$M$4:$M$709,"低")&gt;0,"已匹配，建议复核","已匹配"))</x:f>
        <x:v>已匹配，建议复核</x:v>
      </x:c>
      <x:c r="H810" s="26" t="str">
        <x:v>低</x:v>
      </x:c>
      <x:c r="I810" s="26" t="str">
        <x:v>ICN012</x:v>
      </x:c>
      <x:c r="J810" s="26" t="str">
        <x:v>医药生物与医疗健康产业链/下游/医疗服务、临床应用与健康管理</x:v>
      </x:c>
      <x:c r="K810" s="26" t="str">
        <x:v>护工在家政服务行业中扮演着至关重要的角色，他们是连接客户与服务提供者之间的桥梁，负责满足客户的家庭护理需求，确保服务质量和客户满意度。作为家政服务团队的核心成员之一，护工的主要目标是为有特殊照顾需求的家庭成员（如老人、儿…</x:v>
      </x:c>
      <x:c r="L810" s="26" t="str">
        <x:v>1. 为指定的家庭成员提供个人卫生清洁、饮食起居等基础护理工作，确保其基本生活需求得到满足。 2. 定期与客户沟通，了解并记录被照护对象的身体状况及心理变化，及时反馈给家属或主管人员，以便调整护理计划。 3. 协助安排客…</x:v>
      </x:c>
    </x:row>
    <x:row r="811" ht="72" customHeight="1">
      <x:c r="A811" s="25" t="n">
        <x:v>11703</x:v>
      </x:c>
      <x:c r="B811" s="25" t="str">
        <x:v>IC-L3-960</x:v>
      </x:c>
      <x:c r="C811" s="25" t="str">
        <x:v>月嫂</x:v>
      </x:c>
      <x:c r="D811" s="25" t="str">
        <x:v>4-10-01-06</x:v>
      </x:c>
      <x:c r="E811" s="25" t="str">
        <x:v>家政服务员</x:v>
      </x:c>
      <x:c r="F811" s="28" t="n">
        <x:f>COUNTIF('岗位-产业节点关系'!$C$4:$C$709,B811)</x:f>
        <x:v>0</x:v>
      </x:c>
      <x:c r="G811" s="26" t="str">
        <x:f>IF(F811=0,"未匹配（现有产业链范围未覆盖或证据不足）",IF(COUNTIFS('岗位-产业节点关系'!$C$4:$C$709,B811,'岗位-产业节点关系'!$M$4:$M$709,"低")&gt;0,"已匹配，建议复核","已匹配"))</x:f>
        <x:v>未匹配（现有产业链范围未覆盖或证据不足）</x:v>
      </x:c>
      <x:c r="H811" s="26" t="str">
        <x:v>-</x:v>
      </x:c>
      <x:c r="I811" s="26" t="str"/>
      <x:c r="J811" s="26" t="str"/>
      <x:c r="K811" s="26" t="str">
        <x:v>月嫂在家政服务行业中扮演着至关重要的角色，她们不仅为新生儿提供专业的护理服务，同时也给予新妈妈必要的照顾与支持。作为连接家庭幸福与健康生活的桥梁，月嫂的专业技能和服务态度直接影响着客户的生活质量及对品牌的信任度。 该职位…</x:v>
      </x:c>
      <x:c r="L811" s="26" t="str">
        <x:v>1. 为新生儿提供全面的日常护理，包括但不限于喂养、换尿布、洗澡等，确保宝宝健康成长。 2. 对产后女性进行生理和心理上的关怀与指导，协助其适应母亲角色，促进身体快速康复。 3. 根据客户需求制定个性化月子餐计划，合理搭…</x:v>
      </x:c>
    </x:row>
    <x:row r="812" ht="72" customHeight="1">
      <x:c r="A812" s="25" t="n">
        <x:v>11704</x:v>
      </x:c>
      <x:c r="B812" s="25" t="str">
        <x:v>IC-L3-961</x:v>
      </x:c>
      <x:c r="C812" s="25" t="str">
        <x:v>育婴师/保育员</x:v>
      </x:c>
      <x:c r="D812" s="25" t="str">
        <x:v>4-10-01-06</x:v>
      </x:c>
      <x:c r="E812" s="25" t="str">
        <x:v>家政服务员</x:v>
      </x:c>
      <x:c r="F812" s="28" t="n">
        <x:f>COUNTIF('岗位-产业节点关系'!$C$4:$C$709,B812)</x:f>
        <x:v>1</x:v>
      </x:c>
      <x:c r="G812" s="26" t="str">
        <x:f>IF(F812=0,"未匹配（现有产业链范围未覆盖或证据不足）",IF(COUNTIFS('岗位-产业节点关系'!$C$4:$C$709,B812,'岗位-产业节点关系'!$M$4:$M$709,"低")&gt;0,"已匹配，建议复核","已匹配"))</x:f>
        <x:v>已匹配，建议复核</x:v>
      </x:c>
      <x:c r="H812" s="26" t="str">
        <x:v>低</x:v>
      </x:c>
      <x:c r="I812" s="26" t="str">
        <x:v>ICN012</x:v>
      </x:c>
      <x:c r="J812" s="26" t="str">
        <x:v>医药生物与医疗健康产业链/下游/医疗服务、临床应用与健康管理</x:v>
      </x:c>
      <x:c r="K812" s="26" t="str">
        <x:v>育婴师/保育员在家政服务行业中扮演着至关重要的角色，他们不仅是家庭中宝宝健康成长的守护者，更是连接家长与孩子之间情感交流的重要桥梁。通过专业的护理技能和丰富的育儿知识，育婴师能够确保婴儿得到全面而细致的照顾，同时也能给予…</x:v>
      </x:c>
      <x:c r="L812" s="26" t="str">
        <x:v>1. 负责婴儿的日常起居照顾，如喂食、洗澡、换尿布等，确保婴儿的基本生活需求得到满足。 2. 根据婴儿生长发育阶段的特点，制定并实施相应的早教计划，促进其认知、语言、社交等多方面能力的发展。 3. 定期记录婴儿的成长情况…</x:v>
      </x:c>
    </x:row>
    <x:row r="813" ht="72" customHeight="1">
      <x:c r="A813" s="25" t="n">
        <x:v>11705</x:v>
      </x:c>
      <x:c r="B813" s="25" t="str">
        <x:v>IC-L3-962</x:v>
      </x:c>
      <x:c r="C813" s="25" t="str">
        <x:v>养老护理员</x:v>
      </x:c>
      <x:c r="D813" s="25" t="str">
        <x:v>2-05-08-01</x:v>
      </x:c>
      <x:c r="E813" s="25" t="str">
        <x:v>内科护士</x:v>
      </x:c>
      <x:c r="F813" s="28" t="n">
        <x:f>COUNTIF('岗位-产业节点关系'!$C$4:$C$709,B813)</x:f>
        <x:v>1</x:v>
      </x:c>
      <x:c r="G813" s="26" t="str">
        <x:f>IF(F813=0,"未匹配（现有产业链范围未覆盖或证据不足）",IF(COUNTIFS('岗位-产业节点关系'!$C$4:$C$709,B813,'岗位-产业节点关系'!$M$4:$M$709,"低")&gt;0,"已匹配，建议复核","已匹配"))</x:f>
        <x:v>已匹配</x:v>
      </x:c>
      <x:c r="H813" s="26" t="str">
        <x:v>高</x:v>
      </x:c>
      <x:c r="I813" s="26" t="str">
        <x:v>ICN012</x:v>
      </x:c>
      <x:c r="J813" s="26" t="str">
        <x:v>医药生物与医疗健康产业链/下游/医疗服务、临床应用与健康管理</x:v>
      </x:c>
      <x:c r="K813" s="26" t="str">
        <x:v>养老护理员是为老年人提供专业照护服务的工作人员。 该职位的核心目标是通过专业的护理知识和技能，为老年人提供全面的生活照料和康复护理。 在日常工作中，养老护理员需要照顾老年人的饮食起居，进行基础护理和康复训练，同时要具备良…</x:v>
      </x:c>
      <x:c r="L813" s="26" t="str">
        <x:v>1. 老年人生活照料 2. 基础护理和康复训练 3. 用药护理和健康监测 4. 心理慰藉和情感支持 5. 突发情况应急处理 6. 协助医疗康复治疗</x:v>
      </x:c>
    </x:row>
    <x:row r="814" ht="72" customHeight="1">
      <x:c r="A814" s="25" t="n">
        <x:v>11706</x:v>
      </x:c>
      <x:c r="B814" s="25" t="str">
        <x:v>IC-L3-963</x:v>
      </x:c>
      <x:c r="C814" s="25" t="str">
        <x:v>前台迎宾</x:v>
      </x:c>
      <x:c r="D814" s="25" t="str">
        <x:v>4-03-02-05</x:v>
      </x:c>
      <x:c r="E814" s="25" t="str">
        <x:v>餐厅服务员</x:v>
      </x:c>
      <x:c r="F814" s="28" t="n">
        <x:f>COUNTIF('岗位-产业节点关系'!$C$4:$C$709,B814)</x:f>
        <x:v>0</x:v>
      </x:c>
      <x:c r="G814" s="26" t="str">
        <x:f>IF(F814=0,"未匹配（现有产业链范围未覆盖或证据不足）",IF(COUNTIFS('岗位-产业节点关系'!$C$4:$C$709,B814,'岗位-产业节点关系'!$M$4:$M$709,"低")&gt;0,"已匹配，建议复核","已匹配"))</x:f>
        <x:v>未匹配（现有产业链范围未覆盖或证据不足）</x:v>
      </x:c>
      <x:c r="H814" s="26" t="str">
        <x:v>-</x:v>
      </x:c>
      <x:c r="I814" s="26" t="str"/>
      <x:c r="J814" s="26" t="str"/>
      <x:c r="K814" s="26" t="str">
        <x:v>前台迎宾是生活服务/零售行业中不可或缺的一部分，作为顾客与商家之间的第一接触点，该职位不仅代表了企业的形象，还直接影响着顾客的消费体验和满意度。通过提供热情周到的服务，前台迎宾能够有效提升品牌形象，促进客户忠诚度的建立，…</x:v>
      </x:c>
      <x:c r="L814" s="26" t="str">
        <x:v>1. 以礼貌友好的态度迎接每一位进店顾客，主动询问需求并引导至相应区域或服务人员处，确保每位顾客都能感受到宾至如归的体验。 2. 熟悉店内布局及各项服务流程，能够快速准确地解答顾客咨询，对于无法立即解决的问题应及时记录并…</x:v>
      </x:c>
    </x:row>
    <x:row r="815" ht="72" customHeight="1">
      <x:c r="A815" s="25" t="n">
        <x:v>11707</x:v>
      </x:c>
      <x:c r="B815" s="25" t="str">
        <x:v>IC-L3-964</x:v>
      </x:c>
      <x:c r="C815" s="25" t="str">
        <x:v>客房服务员/楼面服务员</x:v>
      </x:c>
      <x:c r="D815" s="25" t="str">
        <x:v>4-03-02-05</x:v>
      </x:c>
      <x:c r="E815" s="25" t="str">
        <x:v>餐厅服务员</x:v>
      </x:c>
      <x:c r="F815" s="28" t="n">
        <x:f>COUNTIF('岗位-产业节点关系'!$C$4:$C$709,B815)</x:f>
        <x:v>0</x:v>
      </x:c>
      <x:c r="G815" s="26" t="str">
        <x:f>IF(F815=0,"未匹配（现有产业链范围未覆盖或证据不足）",IF(COUNTIFS('岗位-产业节点关系'!$C$4:$C$709,B815,'岗位-产业节点关系'!$M$4:$M$709,"低")&gt;0,"已匹配，建议复核","已匹配"))</x:f>
        <x:v>未匹配（现有产业链范围未覆盖或证据不足）</x:v>
      </x:c>
      <x:c r="H815" s="26" t="str">
        <x:v>-</x:v>
      </x:c>
      <x:c r="I815" s="26" t="str"/>
      <x:c r="J815" s="26" t="str"/>
      <x:c r="K815" s="26" t="str">
        <x:v>作为生活服务/零售行业中不可或缺的一环，客房服务员/楼面服务员是确保顾客体验顺畅与满意的关键角色。无论是在酒店还是餐厅，他们都是直接面向客户的前线员工，代表着企业的形象和服务质量。 该职位的核心目标在于通过高效、专业的服…</x:v>
      </x:c>
      <x:c r="L815" s="26" t="str">
        <x:v>1. 负责所辖区域内的清洁卫生工作，确保房间/桌位干净整洁，达到公司规定的标准。 2. 为入住客人/用餐顾客提供热情周到的服务，解答疑问并协助解决其遇到的问题。 3. 定期检查设施设备的完好情况，发现故障及时上报维修，保…</x:v>
      </x:c>
    </x:row>
    <x:row r="816" ht="72" customHeight="1">
      <x:c r="A816" s="25" t="n">
        <x:v>11708</x:v>
      </x:c>
      <x:c r="B816" s="25" t="str">
        <x:v>IC-L3-965</x:v>
      </x:c>
      <x:c r="C816" s="25" t="str">
        <x:v>餐饮服务员</x:v>
      </x:c>
      <x:c r="D816" s="25" t="str">
        <x:v>4-03-02-05</x:v>
      </x:c>
      <x:c r="E816" s="25" t="str">
        <x:v>餐厅服务员</x:v>
      </x:c>
      <x:c r="F816" s="28" t="n">
        <x:f>COUNTIF('岗位-产业节点关系'!$C$4:$C$709,B816)</x:f>
        <x:v>1</x:v>
      </x:c>
      <x:c r="G816" s="26" t="str">
        <x:f>IF(F816=0,"未匹配（现有产业链范围未覆盖或证据不足）",IF(COUNTIFS('岗位-产业节点关系'!$C$4:$C$709,B816,'岗位-产业节点关系'!$M$4:$M$709,"低")&gt;0,"已匹配，建议复核","已匹配"))</x:f>
        <x:v>已匹配</x:v>
      </x:c>
      <x:c r="H816" s="26" t="str">
        <x:v>高</x:v>
      </x:c>
      <x:c r="I816" s="26" t="str">
        <x:v>ICN027</x:v>
      </x:c>
      <x:c r="J816" s="26" t="str">
        <x:v>食品饮料产业链/下游/品牌渠道、餐饮零售与消费服务</x:v>
      </x:c>
      <x:c r="K816" s="26" t="str">
        <x:v>餐饮服务员是生活服务与零售行业中不可或缺的角色，他们不仅是顾客与餐厅之间的桥梁，更是塑造顾客用餐体验的关键人物。通过提供高效、热情的服务，餐饮服务员能够确保每位顾客都能享受到愉快的就餐过程，从而提升餐厅的品牌形象和市场竞…</x:v>
      </x:c>
      <x:c r="L816" s="26" t="str">
        <x:v>1. 负责迎接顾客，引导至合适座位并介绍菜单，确保顾客了解餐厅特色及推荐菜品。 2. 及时响应顾客需求，准确记录点单信息，保证食品和饮料的快速准确送达。 3. 在服务过程中积极主动地解答顾客疑问，处理投诉建议，确保顾客满…</x:v>
      </x:c>
    </x:row>
    <x:row r="817" ht="72" customHeight="1">
      <x:c r="A817" s="25" t="n">
        <x:v>11709</x:v>
      </x:c>
      <x:c r="B817" s="25" t="str">
        <x:v>IC-L3-966</x:v>
      </x:c>
      <x:c r="C817" s="25" t="str">
        <x:v>签证专员</x:v>
      </x:c>
      <x:c r="D817" s="25" t="str">
        <x:v>2-06-07-12</x:v>
      </x:c>
      <x:c r="E817" s="25" t="str">
        <x:v>报关人员</x:v>
      </x:c>
      <x:c r="F817" s="28" t="n">
        <x:f>COUNTIF('岗位-产业节点关系'!$C$4:$C$709,B817)</x:f>
        <x:v>0</x:v>
      </x:c>
      <x:c r="G817" s="26" t="str">
        <x:f>IF(F817=0,"未匹配（现有产业链范围未覆盖或证据不足）",IF(COUNTIFS('岗位-产业节点关系'!$C$4:$C$709,B817,'岗位-产业节点关系'!$M$4:$M$709,"低")&gt;0,"已匹配，建议复核","已匹配"))</x:f>
        <x:v>未匹配（现有产业链范围未覆盖或证据不足）</x:v>
      </x:c>
      <x:c r="H817" s="26" t="str">
        <x:v>-</x:v>
      </x:c>
      <x:c r="I817" s="26" t="str"/>
      <x:c r="J817" s="26" t="str"/>
      <x:c r="K817" s="26" t="str">
        <x:v>签证专员是专门从事出入境签证事务办理的专业人员。该职位的核心目标是通过高效精准的签证服务，保障企业外派服务人员的顺利出入境。在日常工作中，需要进行签证政策解读、材料审核、申请递交、进度跟踪以及领事馆沟通协调等工作。</x:v>
      </x:c>
      <x:c r="L817" s="26" t="str">
        <x:v>1. 收集签证申请材料 2. 审核签证文件完整性 3. 指导填写申请表格 4. 跟进签证办理进度 5. 协调使馆沟通事宜 6. 处理突发签证问题</x:v>
      </x:c>
    </x:row>
    <x:row r="818" ht="72" customHeight="1">
      <x:c r="A818" s="25" t="n">
        <x:v>11710</x:v>
      </x:c>
      <x:c r="B818" s="25" t="str">
        <x:v>IC-L3-967</x:v>
      </x:c>
      <x:c r="C818" s="25" t="str">
        <x:v>厨师助理/学徒</x:v>
      </x:c>
      <x:c r="D818" s="25" t="str">
        <x:v>4-07-03-01</x:v>
      </x:c>
      <x:c r="E818" s="25" t="str">
        <x:v>职业指导师</x:v>
      </x:c>
      <x:c r="F818" s="28" t="n">
        <x:f>COUNTIF('岗位-产业节点关系'!$C$4:$C$709,B818)</x:f>
        <x:v>1</x:v>
      </x:c>
      <x:c r="G818" s="26" t="str">
        <x:f>IF(F818=0,"未匹配（现有产业链范围未覆盖或证据不足）",IF(COUNTIFS('岗位-产业节点关系'!$C$4:$C$709,B818,'岗位-产业节点关系'!$M$4:$M$709,"低")&gt;0,"已匹配，建议复核","已匹配"))</x:f>
        <x:v>已匹配</x:v>
      </x:c>
      <x:c r="H818" s="26" t="str">
        <x:v>中</x:v>
      </x:c>
      <x:c r="I818" s="26" t="str">
        <x:v>ICN027</x:v>
      </x:c>
      <x:c r="J818" s="26" t="str">
        <x:v>食品饮料产业链/下游/品牌渠道、餐饮零售与消费服务</x:v>
      </x:c>
      <x:c r="K818" s="26" t="str">
        <x:v>厨师助理/学徒是专门从事餐饮后厨支持工作的专业人员。该职位的核心目标是通过协助主厨完成各项烹饪准备工作，确保厨房高效运转。在日常工作中，需要进行食材预处理、厨房清洁、设备维护以及简单菜肴制作等工作。</x:v>
      </x:c>
      <x:c r="L818" s="26" t="str">
        <x:v>1. 准备食材原料 2. 协助主厨烹饪 3. 维护厨房卫生 4. 管理库存记录 5. 清洗餐具厨具 6. 学习烹饪技巧</x:v>
      </x:c>
    </x:row>
    <x:row r="819" ht="72" customHeight="1">
      <x:c r="A819" s="25" t="n">
        <x:v>11711</x:v>
      </x:c>
      <x:c r="B819" s="25" t="str">
        <x:v>IC-L3-968</x:v>
      </x:c>
      <x:c r="C819" s="25" t="str">
        <x:v>调酒师/侍酒师/吧台员</x:v>
      </x:c>
      <x:c r="D819" s="25" t="str">
        <x:v>4-03-02-05</x:v>
      </x:c>
      <x:c r="E819" s="25" t="str">
        <x:v>餐厅服务员</x:v>
      </x:c>
      <x:c r="F819" s="28" t="n">
        <x:f>COUNTIF('岗位-产业节点关系'!$C$4:$C$709,B819)</x:f>
        <x:v>0</x:v>
      </x:c>
      <x:c r="G819" s="26" t="str">
        <x:f>IF(F819=0,"未匹配（现有产业链范围未覆盖或证据不足）",IF(COUNTIFS('岗位-产业节点关系'!$C$4:$C$709,B819,'岗位-产业节点关系'!$M$4:$M$709,"低")&gt;0,"已匹配，建议复核","已匹配"))</x:f>
        <x:v>未匹配（现有产业链范围未覆盖或证据不足）</x:v>
      </x:c>
      <x:c r="H819" s="26" t="str">
        <x:v>-</x:v>
      </x:c>
      <x:c r="I819" s="26" t="str"/>
      <x:c r="J819" s="26" t="str"/>
      <x:c r="K819" s="26" t="str">
        <x:v>调酒师/侍酒师/吧台员是专门从事酒水调制与服务的专业人员。该职位的核心目标是通过提供优质的饮品服务，提升顾客体验并促进销售。在日常工作中，需要进行酒水调制、吧台运营管理、顾客接待与推荐等工作。</x:v>
      </x:c>
      <x:c r="L819" s="26" t="str">
        <x:v>1. 调制各类酒水饮品 2. 提供专业品酒建议 3. 维护吧台清洁卫生 4. 管理酒水库存记录 5. 推荐特色酒品菜单 6. 处理顾客酒水投诉</x:v>
      </x:c>
    </x:row>
    <x:row r="820" ht="72" customHeight="1">
      <x:c r="A820" s="25" t="n">
        <x:v>11712</x:v>
      </x:c>
      <x:c r="B820" s="25" t="str">
        <x:v>IC-L3-969</x:v>
      </x:c>
      <x:c r="C820" s="25" t="str">
        <x:v>茶艺师</x:v>
      </x:c>
      <x:c r="D820" s="25" t="str">
        <x:v>4-03-02-05</x:v>
      </x:c>
      <x:c r="E820" s="25" t="str">
        <x:v>餐厅服务员</x:v>
      </x:c>
      <x:c r="F820" s="28" t="n">
        <x:f>COUNTIF('岗位-产业节点关系'!$C$4:$C$709,B820)</x:f>
        <x:v>1</x:v>
      </x:c>
      <x:c r="G820" s="26" t="str">
        <x:f>IF(F820=0,"未匹配（现有产业链范围未覆盖或证据不足）",IF(COUNTIFS('岗位-产业节点关系'!$C$4:$C$709,B820,'岗位-产业节点关系'!$M$4:$M$709,"低")&gt;0,"已匹配，建议复核","已匹配"))</x:f>
        <x:v>已匹配</x:v>
      </x:c>
      <x:c r="H820" s="26" t="str">
        <x:v>中</x:v>
      </x:c>
      <x:c r="I820" s="26" t="str">
        <x:v>ICN027</x:v>
      </x:c>
      <x:c r="J820" s="26" t="str">
        <x:v>食品饮料产业链/下游/品牌渠道、餐饮零售与消费服务</x:v>
      </x:c>
      <x:c r="K820" s="26" t="str">
        <x:v>茶艺师是专门从事茶艺服务和茶文化传播的专业人员。该职位的核心目标是通过精湛的茶艺表演和专业服务，提升顾客的品茶体验。在日常工作中，需要进行茶叶鉴别、茶具准备、茶艺展示以及顾客咨询解答等工作。</x:v>
      </x:c>
      <x:c r="L820" s="26" t="str">
        <x:v>1. 精通各类茶艺冲泡 2. 提供专业品茶服务 3. 维护茶具清洁保养 4. 讲解茶叶知识文化 5. 保持茶室环境整洁 6. 处理顾客服务需求</x:v>
      </x:c>
    </x:row>
    <x:row r="821" ht="72" customHeight="1">
      <x:c r="A821" s="25" t="n">
        <x:v>11713</x:v>
      </x:c>
      <x:c r="B821" s="25" t="str">
        <x:v>IC-L3-970</x:v>
      </x:c>
      <x:c r="C821" s="25" t="str">
        <x:v>营养师</x:v>
      </x:c>
      <x:c r="D821" s="25" t="str">
        <x:v>4-03-02-05</x:v>
      </x:c>
      <x:c r="E821" s="25" t="str">
        <x:v>餐厅服务员</x:v>
      </x:c>
      <x:c r="F821" s="28" t="n">
        <x:f>COUNTIF('岗位-产业节点关系'!$C$4:$C$709,B821)</x:f>
        <x:v>2</x:v>
      </x:c>
      <x:c r="G821" s="26" t="str">
        <x:f>IF(F821=0,"未匹配（现有产业链范围未覆盖或证据不足）",IF(COUNTIFS('岗位-产业节点关系'!$C$4:$C$709,B821,'岗位-产业节点关系'!$M$4:$M$709,"低")&gt;0,"已匹配，建议复核","已匹配"))</x:f>
        <x:v>已匹配</x:v>
      </x:c>
      <x:c r="H821" s="26" t="str">
        <x:v>高</x:v>
      </x:c>
      <x:c r="I821" s="26" t="str">
        <x:v>ICN027、ICN012</x:v>
      </x:c>
      <x:c r="J821" s="26" t="str">
        <x:v>食品饮料产业链/下游/品牌渠道、餐饮零售与消费服务；医药生物与医疗健康产业链/下游/医疗服务、临床应用与健康管理</x:v>
      </x:c>
      <x:c r="K821" s="26" t="str">
        <x:v>营养师是专门从事膳食营养指导与管理的专业人员。该职位的核心目标是通过科学配餐与营养教育，提升服务对象的健康水平和餐饮服务质量。在日常工作中，需要进行营养评估、膳食方案设计、营养知识宣教以及餐饮服务监督等工作。</x:v>
      </x:c>
      <x:c r="L821" s="26" t="str">
        <x:v>1. 设计营养餐单 2. 评估膳食营养 3. 指导饮食搭配 4. 监测食品安全 5. 解答营养咨询 6. 更新健康知识</x:v>
      </x:c>
    </x:row>
    <x:row r="822" ht="72" customHeight="1">
      <x:c r="A822" s="25" t="n">
        <x:v>11714</x:v>
      </x:c>
      <x:c r="B822" s="25" t="str">
        <x:v>IC-L3-971</x:v>
      </x:c>
      <x:c r="C822" s="25" t="str">
        <x:v>店员/营业员</x:v>
      </x:c>
      <x:c r="D822" s="25" t="str">
        <x:v>4-03-02-05</x:v>
      </x:c>
      <x:c r="E822" s="25" t="str">
        <x:v>餐厅服务员</x:v>
      </x:c>
      <x:c r="F822" s="28" t="n">
        <x:f>COUNTIF('岗位-产业节点关系'!$C$4:$C$709,B822)</x:f>
        <x:v>0</x:v>
      </x:c>
      <x:c r="G822" s="26" t="str">
        <x:f>IF(F822=0,"未匹配（现有产业链范围未覆盖或证据不足）",IF(COUNTIFS('岗位-产业节点关系'!$C$4:$C$709,B822,'岗位-产业节点关系'!$M$4:$M$709,"低")&gt;0,"已匹配，建议复核","已匹配"))</x:f>
        <x:v>未匹配（现有产业链范围未覆盖或证据不足）</x:v>
      </x:c>
      <x:c r="H822" s="26" t="str">
        <x:v>-</x:v>
      </x:c>
      <x:c r="I822" s="26" t="str"/>
      <x:c r="J822" s="26" t="str"/>
      <x:c r="K822" s="26" t="str">
        <x:v>店员/营业员是专门从事零售服务与客户接待的专业人员。该职位的核心目标是通过优质的服务与产品推介，实现顾客满意与销售目标。在日常工作中，需要进行商品展示与维护、客户咨询解答、收银结算、库存管理以及店面清洁等工作。</x:v>
      </x:c>
      <x:c r="L822" s="26" t="str">
        <x:v>1. 接待顾客咨询 2. 介绍商品信息 3. 完成销售目标 4. 维护店面整洁 5. 处理顾客投诉 6. 盘点商品库存</x:v>
      </x:c>
    </x:row>
    <x:row r="823" ht="72" customHeight="1">
      <x:c r="A823" s="25" t="n">
        <x:v>11715</x:v>
      </x:c>
      <x:c r="B823" s="25" t="str">
        <x:v>IC-L3-972</x:v>
      </x:c>
      <x:c r="C823" s="25" t="str">
        <x:v>防损员/内保</x:v>
      </x:c>
      <x:c r="D823" s="25" t="str">
        <x:v>4-03-02-05</x:v>
      </x:c>
      <x:c r="E823" s="25" t="str">
        <x:v>餐厅服务员</x:v>
      </x:c>
      <x:c r="F823" s="28" t="n">
        <x:f>COUNTIF('岗位-产业节点关系'!$C$4:$C$709,B823)</x:f>
        <x:v>0</x:v>
      </x:c>
      <x:c r="G823" s="26" t="str">
        <x:f>IF(F823=0,"未匹配（现有产业链范围未覆盖或证据不足）",IF(COUNTIFS('岗位-产业节点关系'!$C$4:$C$709,B823,'岗位-产业节点关系'!$M$4:$M$709,"低")&gt;0,"已匹配，建议复核","已匹配"))</x:f>
        <x:v>未匹配（现有产业链范围未覆盖或证据不足）</x:v>
      </x:c>
      <x:c r="H823" s="26" t="str">
        <x:v>-</x:v>
      </x:c>
      <x:c r="I823" s="26" t="str"/>
      <x:c r="J823" s="26" t="str"/>
      <x:c r="K823" s="26" t="str">
        <x:v>防损员/内保是专门从事零售或服务场所资产保护的专业人员。该职位的核心目标是通过预防和减少商品损耗及安全风险，保障企业财产安全和正常运营。在日常工作中，需要进行监控巡查、防盗防损、突发事件处理及安全制度执行等工作。</x:v>
      </x:c>
      <x:c r="L823" s="26" t="str">
        <x:v>1. 巡查营业场所安全 2. 监控商品防盗措施 3. 处理突发事件报警 4. 检查消防设备完好 5. 记录异常情况报告 6. 协助顾客纠纷调解</x:v>
      </x:c>
    </x:row>
    <x:row r="824" ht="72" customHeight="1">
      <x:c r="A824" s="25" t="n">
        <x:v>11716</x:v>
      </x:c>
      <x:c r="B824" s="25" t="str">
        <x:v>IC-L3-973</x:v>
      </x:c>
      <x:c r="C824" s="25" t="str">
        <x:v>资料员</x:v>
      </x:c>
      <x:c r="D824" s="25" t="str">
        <x:v>3-01-02-02</x:v>
      </x:c>
      <x:c r="E824" s="25" t="str">
        <x:v>秘书</x:v>
      </x:c>
      <x:c r="F824" s="28" t="n">
        <x:f>COUNTIF('岗位-产业节点关系'!$C$4:$C$709,B824)</x:f>
        <x:v>0</x:v>
      </x:c>
      <x:c r="G824" s="26" t="str">
        <x:f>IF(F824=0,"未匹配（现有产业链范围未覆盖或证据不足）",IF(COUNTIFS('岗位-产业节点关系'!$C$4:$C$709,B824,'岗位-产业节点关系'!$M$4:$M$709,"低")&gt;0,"已匹配，建议复核","已匹配"))</x:f>
        <x:v>未匹配（现有产业链范围未覆盖或证据不足）</x:v>
      </x:c>
      <x:c r="H824" s="26" t="str">
        <x:v>-</x:v>
      </x:c>
      <x:c r="I824" s="26" t="str"/>
      <x:c r="J824" s="26" t="str"/>
      <x:c r="K824" s="26" t="str">
        <x:v>资料员是专门从事信息收集与管理的专业人员。该职位的核心目标是通过系统化整理服务数据，提升运营效率和服务质量。在日常工作中，需要进行客户档案维护、服务记录统计、数据报表编制等工作。</x:v>
      </x:c>
      <x:c r="L824" s="26" t="str">
        <x:v>1. 收集客户资料 2. 整理服务记录 3. 更新档案信息 4. 保管重要文件 5. 协助查询数据 6. 维护资料系统</x:v>
      </x:c>
    </x:row>
    <x:row r="825" ht="72" customHeight="1">
      <x:c r="A825" s="25" t="n">
        <x:v>11717</x:v>
      </x:c>
      <x:c r="B825" s="25" t="str">
        <x:v>IC-L3-974</x:v>
      </x:c>
      <x:c r="C825" s="25" t="str">
        <x:v>网店店长</x:v>
      </x:c>
      <x:c r="D825" s="25" t="str">
        <x:v>4-01-02-03</x:v>
      </x:c>
      <x:c r="E825" s="25" t="str">
        <x:v>商品营业员</x:v>
      </x:c>
      <x:c r="F825" s="28" t="n">
        <x:f>COUNTIF('岗位-产业节点关系'!$C$4:$C$709,B825)</x:f>
        <x:v>0</x:v>
      </x:c>
      <x:c r="G825" s="26" t="str">
        <x:f>IF(F825=0,"未匹配（现有产业链范围未覆盖或证据不足）",IF(COUNTIFS('岗位-产业节点关系'!$C$4:$C$709,B825,'岗位-产业节点关系'!$M$4:$M$709,"低")&gt;0,"已匹配，建议复核","已匹配"))</x:f>
        <x:v>未匹配（现有产业链范围未覆盖或证据不足）</x:v>
      </x:c>
      <x:c r="H825" s="26" t="str">
        <x:v>-</x:v>
      </x:c>
      <x:c r="I825" s="26" t="str"/>
      <x:c r="J825" s="26" t="str"/>
      <x:c r="K825" s="26" t="str">
        <x:v>网店店长是专门从事线上店铺运营管理的专业人员。该职位的核心目标是通过优化店铺运营策略，提升销售业绩和客户满意度。在日常工作中，需要进行商品上架管理、客户服务协调、营销活动策划及数据分析等工作。</x:v>
      </x:c>
      <x:c r="L825" s="26" t="str">
        <x:v>1. 制定销售计划 2. 管理店铺运营 3. 优化商品展示 4. 处理客户咨询 5. 协调物流配送 6. 分析销售数据</x:v>
      </x:c>
    </x:row>
    <x:row r="826" ht="72" customHeight="1">
      <x:c r="A826" s="25" t="n">
        <x:v>11718</x:v>
      </x:c>
      <x:c r="B826" s="25" t="str">
        <x:v>IC-L3-975</x:v>
      </x:c>
      <x:c r="C826" s="25" t="str">
        <x:v>美术老师</x:v>
      </x:c>
      <x:c r="D826" s="25" t="str">
        <x:v>2-09-06-01</x:v>
      </x:c>
      <x:c r="E826" s="25" t="str">
        <x:v>视觉传达设计人员</x:v>
      </x:c>
      <x:c r="F826" s="28" t="n">
        <x:f>COUNTIF('岗位-产业节点关系'!$C$4:$C$709,B826)</x:f>
        <x:v>1</x:v>
      </x:c>
      <x:c r="G826" s="26" t="str">
        <x:f>IF(F826=0,"未匹配（现有产业链范围未覆盖或证据不足）",IF(COUNTIFS('岗位-产业节点关系'!$C$4:$C$709,B826,'岗位-产业节点关系'!$M$4:$M$709,"低")&gt;0,"已匹配，建议复核","已匹配"))</x:f>
        <x:v>已匹配，建议复核</x:v>
      </x:c>
      <x:c r="H826" s="26" t="str">
        <x:v>低</x:v>
      </x:c>
      <x:c r="I826" s="26" t="str">
        <x:v>ICN002</x:v>
      </x:c>
      <x:c r="J826" s="26" t="str">
        <x:v>数据要素与数字经济产业链/中游/数据治理、流通与服务</x:v>
      </x:c>
      <x:c r="K826" s="26" t="str">
        <x:v>美术老师是专门从事艺术教育和创作指导的专业人员。该职位的核心目标是通过系统化的美术教学，提升服务行业从业人员的审美素养和创意表达能力。在日常工作中，需要进行美术课程设计、基础绘画技法教授、服务场景视觉美化指导等工作。</x:v>
      </x:c>
      <x:c r="L826" s="26" t="str">
        <x:v>1. 设计美术课程内容 2. 教授基础绘画技法 3. 指导创意美术实践 4. 组织美术展览活动 5. 评估学生作品质量 6. 维护教学器材设备</x:v>
      </x:c>
    </x:row>
    <x:row r="827" ht="72" customHeight="1">
      <x:c r="A827" s="25" t="n">
        <x:v>11719</x:v>
      </x:c>
      <x:c r="B827" s="25" t="str">
        <x:v>IC-L3-976</x:v>
      </x:c>
      <x:c r="C827" s="25" t="str">
        <x:v>教研员</x:v>
      </x:c>
      <x:c r="D827" s="25" t="str">
        <x:v>2-08-01-01</x:v>
      </x:c>
      <x:c r="E827" s="25" t="str">
        <x:v>普通高等学校教师</x:v>
      </x:c>
      <x:c r="F827" s="28" t="n">
        <x:f>COUNTIF('岗位-产业节点关系'!$C$4:$C$709,B827)</x:f>
        <x:v>0</x:v>
      </x:c>
      <x:c r="G827" s="26" t="str">
        <x:f>IF(F827=0,"未匹配（现有产业链范围未覆盖或证据不足）",IF(COUNTIFS('岗位-产业节点关系'!$C$4:$C$709,B827,'岗位-产业节点关系'!$M$4:$M$709,"低")&gt;0,"已匹配，建议复核","已匹配"))</x:f>
        <x:v>未匹配（现有产业链范围未覆盖或证据不足）</x:v>
      </x:c>
      <x:c r="H827" s="26" t="str">
        <x:v>-</x:v>
      </x:c>
      <x:c r="I827" s="26" t="str"/>
      <x:c r="J827" s="26" t="str"/>
      <x:c r="K827" s="26" t="str">
        <x:v>教研员是专门从事服务行业教学研究的专业人员。该职位的核心目标是通过优化培训体系和教学方法，提升服务员队伍的专业素质和服务水平。在日常工作中，需要进行课程设计开发、培训效果评估、教学资料编制等工作。</x:v>
      </x:c>
      <x:c r="L827" s="26" t="str">
        <x:v>1. 制定培训课程 2. 编写服务手册 3. 设计考核标准 4. 组织教学研讨 5. 评估培训效果 6. 改进服务流程</x:v>
      </x:c>
    </x:row>
    <x:row r="828" ht="72" customHeight="1">
      <x:c r="A828" s="25" t="n">
        <x:v>11720</x:v>
      </x:c>
      <x:c r="B828" s="25" t="str">
        <x:v>IC-L3-977</x:v>
      </x:c>
      <x:c r="C828" s="25" t="str">
        <x:v>招生老师</x:v>
      </x:c>
      <x:c r="D828" s="25" t="str">
        <x:v>2-08-01-01</x:v>
      </x:c>
      <x:c r="E828" s="25" t="str">
        <x:v>普通高等学校教师</x:v>
      </x:c>
      <x:c r="F828" s="28" t="n">
        <x:f>COUNTIF('岗位-产业节点关系'!$C$4:$C$709,B828)</x:f>
        <x:v>0</x:v>
      </x:c>
      <x:c r="G828" s="26" t="str">
        <x:f>IF(F828=0,"未匹配（现有产业链范围未覆盖或证据不足）",IF(COUNTIFS('岗位-产业节点关系'!$C$4:$C$709,B828,'岗位-产业节点关系'!$M$4:$M$709,"低")&gt;0,"已匹配，建议复核","已匹配"))</x:f>
        <x:v>未匹配（现有产业链范围未覆盖或证据不足）</x:v>
      </x:c>
      <x:c r="H828" s="26" t="str">
        <x:v>-</x:v>
      </x:c>
      <x:c r="I828" s="26" t="str"/>
      <x:c r="J828" s="26" t="str"/>
      <x:c r="K828" s="26" t="str">
        <x:v>招生老师是专门从事教育服务行业人才招募与发展的专业人员。该职位的核心目标是通过精准人才选拔和培养，为服务业输送优质人才。在日常工作中，需要进行招生宣传、学员面试评估、培训需求分析及入学手续办理等工作。</x:v>
      </x:c>
      <x:c r="L828" s="26" t="str">
        <x:v>1. 制定招生计划 2. 开展招生宣传 3. 接待咨询家长 4. 组织参观体验 5. 完成招生指标 6. 维护客户关系</x:v>
      </x:c>
    </x:row>
    <x:row r="829" ht="72" customHeight="1">
      <x:c r="A829" s="25" t="n">
        <x:v>11721</x:v>
      </x:c>
      <x:c r="B829" s="25" t="str">
        <x:v>IC-L3-978</x:v>
      </x:c>
      <x:c r="C829" s="25" t="str">
        <x:v>外语老师</x:v>
      </x:c>
      <x:c r="D829" s="25" t="str">
        <x:v>2-08-02-01</x:v>
      </x:c>
      <x:c r="E829" s="25" t="str">
        <x:v>高级中学教师</x:v>
      </x:c>
      <x:c r="F829" s="28" t="n">
        <x:f>COUNTIF('岗位-产业节点关系'!$C$4:$C$709,B829)</x:f>
        <x:v>0</x:v>
      </x:c>
      <x:c r="G829" s="26" t="str">
        <x:f>IF(F829=0,"未匹配（现有产业链范围未覆盖或证据不足）",IF(COUNTIFS('岗位-产业节点关系'!$C$4:$C$709,B829,'岗位-产业节点关系'!$M$4:$M$709,"低")&gt;0,"已匹配，建议复核","已匹配"))</x:f>
        <x:v>未匹配（现有产业链范围未覆盖或证据不足）</x:v>
      </x:c>
      <x:c r="H829" s="26" t="str">
        <x:v>-</x:v>
      </x:c>
      <x:c r="I829" s="26" t="str"/>
      <x:c r="J829" s="26" t="str"/>
      <x:c r="K829" s="26" t="str">
        <x:v>外语老师是专门从事语言教学与跨文化沟通的专业人员。该职位的核心目标是通过外语技能培训，提升服务行业从业人员的国际服务能力。在日常工作中，需要进行外语课程设计、服务场景模拟教学、跨文化交流指导等工作。</x:v>
      </x:c>
      <x:c r="L829" s="26" t="str">
        <x:v>1. 教授基础外语会话 2. 设计服务场景课件 3. 纠正发音语法错误 4. 组织情景模拟练习 5. 评估学员学习效果 6. 更新行业专业词汇</x:v>
      </x:c>
    </x:row>
    <x:row r="830" ht="72" customHeight="1">
      <x:c r="A830" s="25" t="n">
        <x:v>11722</x:v>
      </x:c>
      <x:c r="B830" s="25" t="str">
        <x:v>IC-L3-979</x:v>
      </x:c>
      <x:c r="C830" s="25" t="str">
        <x:v>音乐老师</x:v>
      </x:c>
      <x:c r="D830" s="25" t="str">
        <x:v>2-09-07-01</x:v>
      </x:c>
      <x:c r="E830" s="25" t="str">
        <x:v>教练员</x:v>
      </x:c>
      <x:c r="F830" s="28" t="n">
        <x:f>COUNTIF('岗位-产业节点关系'!$C$4:$C$709,B830)</x:f>
        <x:v>0</x:v>
      </x:c>
      <x:c r="G830" s="26" t="str">
        <x:f>IF(F830=0,"未匹配（现有产业链范围未覆盖或证据不足）",IF(COUNTIFS('岗位-产业节点关系'!$C$4:$C$709,B830,'岗位-产业节点关系'!$M$4:$M$709,"低")&gt;0,"已匹配，建议复核","已匹配"))</x:f>
        <x:v>未匹配（现有产业链范围未覆盖或证据不足）</x:v>
      </x:c>
      <x:c r="H830" s="26" t="str">
        <x:v>-</x:v>
      </x:c>
      <x:c r="I830" s="26" t="str"/>
      <x:c r="J830" s="26" t="str"/>
      <x:c r="K830" s="26" t="str">
        <x:v>音乐老师是专门从事音乐教育的专业人员。该职位的核心目标是通过音乐教学，提升服务员的艺术素养和服务品质。在日常工作中，需要进行音乐课程设计、乐器/声乐教学、团队音乐活动组织等工作。</x:v>
      </x:c>
      <x:c r="L830" s="26" t="str">
        <x:v>1. 教授基础音乐知识 2. 指导乐器演奏技巧 3. 组织音乐表演活动 4. 制定教学课程计划 5. 评估学生音乐水平 6. 维护乐器设备状态</x:v>
      </x:c>
    </x:row>
    <x:row r="831" ht="72" customHeight="1">
      <x:c r="A831" s="25" t="n">
        <x:v>11723</x:v>
      </x:c>
      <x:c r="B831" s="25" t="str">
        <x:v>IC-L3-980</x:v>
      </x:c>
      <x:c r="C831" s="25" t="str">
        <x:v>培训讲师</x:v>
      </x:c>
      <x:c r="D831" s="25" t="str">
        <x:v>4-07-03-05</x:v>
      </x:c>
      <x:c r="E831" s="25" t="str">
        <x:v>职业培训师</x:v>
      </x:c>
      <x:c r="F831" s="28" t="n">
        <x:f>COUNTIF('岗位-产业节点关系'!$C$4:$C$709,B831)</x:f>
        <x:v>0</x:v>
      </x:c>
      <x:c r="G831" s="26" t="str">
        <x:f>IF(F831=0,"未匹配（现有产业链范围未覆盖或证据不足）",IF(COUNTIFS('岗位-产业节点关系'!$C$4:$C$709,B831,'岗位-产业节点关系'!$M$4:$M$709,"低")&gt;0,"已匹配，建议复核","已匹配"))</x:f>
        <x:v>未匹配（现有产业链范围未覆盖或证据不足）</x:v>
      </x:c>
      <x:c r="H831" s="26" t="str">
        <x:v>-</x:v>
      </x:c>
      <x:c r="I831" s="26" t="str"/>
      <x:c r="J831" s="26" t="str"/>
      <x:c r="K831" s="26" t="str">
        <x:v>培训讲师是专门从事服务行业员工培训与发展的专业人员。该职位的核心目标是通过系统化的培训课程，提升服务员的专业技能与服务水平。在日常工作中，需要进行培训需求分析、课程设计与开发、培训实施及效果评估等工作。</x:v>
      </x:c>
      <x:c r="L831" s="26" t="str">
        <x:v>1. 设计服务培训课程 2. 组织服务员技能培训 3. 评估培训效果反馈 4. 更新餐饮服务标准 5. 指导实操服务流程 6. 培养团队服务意识</x:v>
      </x:c>
    </x:row>
    <x:row r="832" ht="72" customHeight="1">
      <x:c r="A832" s="25" t="n">
        <x:v>11724</x:v>
      </x:c>
      <x:c r="B832" s="25" t="str">
        <x:v>IC-L3-981</x:v>
      </x:c>
      <x:c r="C832" s="25" t="str">
        <x:v>西点师</x:v>
      </x:c>
      <x:c r="D832" s="25" t="str">
        <x:v>4-03-02-05</x:v>
      </x:c>
      <x:c r="E832" s="25" t="str">
        <x:v>餐厅服务员</x:v>
      </x:c>
      <x:c r="F832" s="28" t="n">
        <x:f>COUNTIF('岗位-产业节点关系'!$C$4:$C$709,B832)</x:f>
        <x:v>1</x:v>
      </x:c>
      <x:c r="G832" s="26" t="str">
        <x:f>IF(F832=0,"未匹配（现有产业链范围未覆盖或证据不足）",IF(COUNTIFS('岗位-产业节点关系'!$C$4:$C$709,B832,'岗位-产业节点关系'!$M$4:$M$709,"低")&gt;0,"已匹配，建议复核","已匹配"))</x:f>
        <x:v>已匹配，建议复核</x:v>
      </x:c>
      <x:c r="H832" s="26" t="str">
        <x:v>低</x:v>
      </x:c>
      <x:c r="I832" s="26" t="str">
        <x:v>ICN026</x:v>
      </x:c>
      <x:c r="J832" s="26" t="str">
        <x:v>食品饮料产业链/中游/食品饮料加工制造</x:v>
      </x:c>
      <x:c r="K832" s="26" t="str">
        <x:v>西点师是专门从事烘焙甜点制作的专业人员。该职位的核心目标是通过精湛的烘焙技艺，为顾客提供高品质的西点产品。在日常工作中，需要进行配方研发、甜点制作、装饰摆盘以及设备维护等工作。</x:v>
      </x:c>
      <x:c r="L832" s="26" t="str">
        <x:v>1. 制作各类西式点心 2. 研发新品西点配方 3. 维护厨房设备清洁 4. 控制原材料库存量 5. 确保出品质量稳定 6. 遵守食品安全规范</x:v>
      </x:c>
    </x:row>
    <x:row r="833" ht="72" customHeight="1">
      <x:c r="A833" s="25" t="n">
        <x:v>11725</x:v>
      </x:c>
      <x:c r="B833" s="25" t="str">
        <x:v>IC-L3-982</x:v>
      </x:c>
      <x:c r="C833" s="25" t="str">
        <x:v>咖啡师</x:v>
      </x:c>
      <x:c r="D833" s="25" t="str">
        <x:v>4-03-02-05</x:v>
      </x:c>
      <x:c r="E833" s="25" t="str">
        <x:v>餐厅服务员</x:v>
      </x:c>
      <x:c r="F833" s="28" t="n">
        <x:f>COUNTIF('岗位-产业节点关系'!$C$4:$C$709,B833)</x:f>
        <x:v>1</x:v>
      </x:c>
      <x:c r="G833" s="26" t="str">
        <x:f>IF(F833=0,"未匹配（现有产业链范围未覆盖或证据不足）",IF(COUNTIFS('岗位-产业节点关系'!$C$4:$C$709,B833,'岗位-产业节点关系'!$M$4:$M$709,"低")&gt;0,"已匹配，建议复核","已匹配"))</x:f>
        <x:v>已匹配</x:v>
      </x:c>
      <x:c r="H833" s="26" t="str">
        <x:v>中</x:v>
      </x:c>
      <x:c r="I833" s="26" t="str">
        <x:v>ICN027</x:v>
      </x:c>
      <x:c r="J833" s="26" t="str">
        <x:v>食品饮料产业链/下游/品牌渠道、餐饮零售与消费服务</x:v>
      </x:c>
      <x:c r="K833" s="26" t="str">
        <x:v>咖啡师是专门从事咖啡饮品制作与服务的专业人员。该职位的核心目标是通过精湛的咖啡技艺和优质服务，提升顾客体验并促进门店销售。在日常工作中，需要进行咖啡冲调、设备维护、顾客需求沟通以及门店清洁等工作。</x:v>
      </x:c>
      <x:c r="L833" s="26" t="str">
        <x:v>1. 制作各类咖啡饮品 2. 维护咖啡设备清洁 3. 提供顾客专业建议 4. 保持工作区域整洁 5. 执行库存管理工作 6. 遵守卫生安全标准</x:v>
      </x:c>
    </x:row>
    <x:row r="834" ht="72" customHeight="1">
      <x:c r="A834" s="25" t="n">
        <x:v>11726</x:v>
      </x:c>
      <x:c r="B834" s="25" t="str">
        <x:v>IC-L3-983</x:v>
      </x:c>
      <x:c r="C834" s="25" t="str">
        <x:v>调饮师</x:v>
      </x:c>
      <x:c r="D834" s="25" t="str">
        <x:v>4-03-02-05</x:v>
      </x:c>
      <x:c r="E834" s="25" t="str">
        <x:v>餐厅服务员</x:v>
      </x:c>
      <x:c r="F834" s="28" t="n">
        <x:f>COUNTIF('岗位-产业节点关系'!$C$4:$C$709,B834)</x:f>
        <x:v>0</x:v>
      </x:c>
      <x:c r="G834" s="26" t="str">
        <x:f>IF(F834=0,"未匹配（现有产业链范围未覆盖或证据不足）",IF(COUNTIFS('岗位-产业节点关系'!$C$4:$C$709,B834,'岗位-产业节点关系'!$M$4:$M$709,"低")&gt;0,"已匹配，建议复核","已匹配"))</x:f>
        <x:v>未匹配（现有产业链范围未覆盖或证据不足）</x:v>
      </x:c>
      <x:c r="H834" s="26" t="str">
        <x:v>-</x:v>
      </x:c>
      <x:c r="I834" s="26" t="str"/>
      <x:c r="J834" s="26" t="str"/>
      <x:c r="K834" s="26" t="str">
        <x:v>调饮师是专门从事饮品调制与服务的专业人员。该职位的核心目标是通过精湛的调配技艺和优质服务，提升顾客饮品体验。在日常工作中，需要进行饮品配方调配、原料管理、设备维护以及顾客需求沟通等工作。</x:v>
      </x:c>
      <x:c r="L834" s="26" t="str">
        <x:v>1. 制作各类饮品 2. 维护饮品质量 3. 清洁操作设备 4. 管理原料库存 5. 推荐饮品产品 6. 处理客户反馈</x:v>
      </x:c>
    </x:row>
    <x:row r="835" ht="72" customHeight="1">
      <x:c r="A835" s="25" t="n">
        <x:v>11727</x:v>
      </x:c>
      <x:c r="B835" s="25" t="str">
        <x:v>IC-L3-984</x:v>
      </x:c>
      <x:c r="C835" s="25" t="str">
        <x:v>包装工</x:v>
      </x:c>
      <x:c r="D835" s="25" t="str">
        <x:v>4-03-02-05</x:v>
      </x:c>
      <x:c r="E835" s="25" t="str">
        <x:v>餐厅服务员</x:v>
      </x:c>
      <x:c r="F835" s="28" t="n">
        <x:f>COUNTIF('岗位-产业节点关系'!$C$4:$C$709,B835)</x:f>
        <x:v>0</x:v>
      </x:c>
      <x:c r="G835" s="26" t="str">
        <x:f>IF(F835=0,"未匹配（现有产业链范围未覆盖或证据不足）",IF(COUNTIFS('岗位-产业节点关系'!$C$4:$C$709,B835,'岗位-产业节点关系'!$M$4:$M$709,"低")&gt;0,"已匹配，建议复核","已匹配"))</x:f>
        <x:v>未匹配（现有产业链范围未覆盖或证据不足）</x:v>
      </x:c>
      <x:c r="H835" s="26" t="str">
        <x:v>-</x:v>
      </x:c>
      <x:c r="I835" s="26" t="str"/>
      <x:c r="J835" s="26" t="str"/>
      <x:c r="K835" s="26" t="str">
        <x:v>包装工是专门从事物品包装与整理的专业人员。该职位的核心目标是通过高效规范的包装操作，确保服务物品的安全运输和美观呈现。在日常工作中，需要进行物品分类、包装材料选用、打包封箱以及标签张贴等工作。</x:v>
      </x:c>
      <x:c r="L835" s="26" t="str">
        <x:v>1. 准备包装材料 2. 检查物品完整性 3. 规范包装操作 4. 粘贴标签标识 5. 维护包装区域 6. 清点包装数量</x:v>
      </x:c>
    </x:row>
    <x:row r="836" ht="72" customHeight="1">
      <x:c r="A836" s="25" t="n">
        <x:v>11728</x:v>
      </x:c>
      <x:c r="B836" s="25" t="str">
        <x:v>IC-L3-985</x:v>
      </x:c>
      <x:c r="C836" s="25" t="str">
        <x:v>统计员</x:v>
      </x:c>
      <x:c r="D836" s="25" t="str">
        <x:v>4-03-02-05</x:v>
      </x:c>
      <x:c r="E836" s="25" t="str">
        <x:v>餐厅服务员</x:v>
      </x:c>
      <x:c r="F836" s="28" t="n">
        <x:f>COUNTIF('岗位-产业节点关系'!$C$4:$C$709,B836)</x:f>
        <x:v>0</x:v>
      </x:c>
      <x:c r="G836" s="26" t="str">
        <x:f>IF(F836=0,"未匹配（现有产业链范围未覆盖或证据不足）",IF(COUNTIFS('岗位-产业节点关系'!$C$4:$C$709,B836,'岗位-产业节点关系'!$M$4:$M$709,"低")&gt;0,"已匹配，建议复核","已匹配"))</x:f>
        <x:v>未匹配（现有产业链范围未覆盖或证据不足）</x:v>
      </x:c>
      <x:c r="H836" s="26" t="str">
        <x:v>-</x:v>
      </x:c>
      <x:c r="I836" s="26" t="str"/>
      <x:c r="J836" s="26" t="str"/>
      <x:c r="K836" s="26" t="str">
        <x:v>统计员是专门从事数据收集与分析的专业人员。该职位的核心目标是通过系统化统计服务行业运营数据，为管理层提供决策支持。在日常工作中，需要进行营业数据采集、报表制作、趋势分析及异常数据核查等工作。</x:v>
      </x:c>
      <x:c r="L836" s="26" t="str">
        <x:v>1. 收集服务数据 2. 整理服务记录 3. 分析服务指标 4. 编制统计报表 5. 核对数据准确性 6. 提供决策依据</x:v>
      </x:c>
    </x:row>
    <x:row r="837" ht="72" customHeight="1">
      <x:c r="A837" s="25" t="n">
        <x:v>11729</x:v>
      </x:c>
      <x:c r="B837" s="25" t="str">
        <x:v>IC-L3-986</x:v>
      </x:c>
      <x:c r="C837" s="25" t="str">
        <x:v>认证工程师</x:v>
      </x:c>
      <x:c r="D837" s="25" t="str">
        <x:v>2-02-29-04</x:v>
      </x:c>
      <x:c r="E837" s="25" t="str">
        <x:v>质量认证认可工程技术人员</x:v>
      </x:c>
      <x:c r="F837" s="28" t="n">
        <x:f>COUNTIF('岗位-产业节点关系'!$C$4:$C$709,B837)</x:f>
        <x:v>0</x:v>
      </x:c>
      <x:c r="G837" s="26" t="str">
        <x:f>IF(F837=0,"未匹配（现有产业链范围未覆盖或证据不足）",IF(COUNTIFS('岗位-产业节点关系'!$C$4:$C$709,B837,'岗位-产业节点关系'!$M$4:$M$709,"低")&gt;0,"已匹配，建议复核","已匹配"))</x:f>
        <x:v>未匹配（现有产业链范围未覆盖或证据不足）</x:v>
      </x:c>
      <x:c r="H837" s="26" t="str">
        <x:v>-</x:v>
      </x:c>
      <x:c r="I837" s="26" t="str"/>
      <x:c r="J837" s="26" t="str"/>
      <x:c r="K837" s="26" t="str">
        <x:v>认证工程师是专门从事服务行业质量认证的专业人员。该职位的核心目标是通过制定和实施认证标准，提升服务质量和客户满意度。在日常工作中，需要进行服务流程审核、员工技能评估、认证文件编制及质量改进跟踪等工作。</x:v>
      </x:c>
      <x:c r="L837" s="26" t="str">
        <x:v>1. 制定认证标准 2. 审核服务流程 3. 评估服务质量 4. 培训服务技能 5. 监督认证执行 6. 优化认证体系</x:v>
      </x:c>
    </x:row>
    <x:row r="838" ht="72" customHeight="1">
      <x:c r="A838" s="25" t="n">
        <x:v>11730</x:v>
      </x:c>
      <x:c r="B838" s="25" t="str">
        <x:v>IC-L3-987</x:v>
      </x:c>
      <x:c r="C838" s="25" t="str">
        <x:v>专柜彩妆顾问</x:v>
      </x:c>
      <x:c r="D838" s="25" t="str">
        <x:v>4-10-03-01</x:v>
      </x:c>
      <x:c r="E838" s="25" t="str">
        <x:v>美容师</x:v>
      </x:c>
      <x:c r="F838" s="28" t="n">
        <x:f>COUNTIF('岗位-产业节点关系'!$C$4:$C$709,B838)</x:f>
        <x:v>0</x:v>
      </x:c>
      <x:c r="G838" s="26" t="str">
        <x:f>IF(F838=0,"未匹配（现有产业链范围未覆盖或证据不足）",IF(COUNTIFS('岗位-产业节点关系'!$C$4:$C$709,B838,'岗位-产业节点关系'!$M$4:$M$709,"低")&gt;0,"已匹配，建议复核","已匹配"))</x:f>
        <x:v>未匹配（现有产业链范围未覆盖或证据不足）</x:v>
      </x:c>
      <x:c r="H838" s="26" t="str">
        <x:v>-</x:v>
      </x:c>
      <x:c r="I838" s="26" t="str"/>
      <x:c r="J838" s="26" t="str"/>
      <x:c r="K838" s="26" t="str">
        <x:v>专柜彩妆顾问是生活服务与零售行业中不可或缺的角色，他们不仅代表着品牌的形象，也是顾客与产品之间的桥梁。通过专业的知识和服务，彩妆顾问能够帮助消费者找到最适合自己的产品，提升其购物体验，同时增强品牌忠诚度。 该职位的核心目…</x:v>
      </x:c>
      <x:c r="L838" s="26" t="str">
        <x:v>1. 为进店顾客提供专业彩妆咨询服务，了解客户需求并推荐合适的产品组合。 2. 负责专柜内产品的陈列布置、清洁保养工作，确保良好的展示效果。 3. 定期参与公司组织的专业培训，掌握最新美妆技术和流行趋势。 4. 积极参与…</x:v>
      </x:c>
    </x:row>
    <x:row r="839" ht="72" customHeight="1">
      <x:c r="A839" s="25" t="n">
        <x:v>11731</x:v>
      </x:c>
      <x:c r="B839" s="25" t="str">
        <x:v>IC-L3-988</x:v>
      </x:c>
      <x:c r="C839" s="25" t="str">
        <x:v>化妆师</x:v>
      </x:c>
      <x:c r="D839" s="25" t="str">
        <x:v>4-10-03-01</x:v>
      </x:c>
      <x:c r="E839" s="25" t="str">
        <x:v>美容师</x:v>
      </x:c>
      <x:c r="F839" s="28" t="n">
        <x:f>COUNTIF('岗位-产业节点关系'!$C$4:$C$709,B839)</x:f>
        <x:v>0</x:v>
      </x:c>
      <x:c r="G839" s="26" t="str">
        <x:f>IF(F839=0,"未匹配（现有产业链范围未覆盖或证据不足）",IF(COUNTIFS('岗位-产业节点关系'!$C$4:$C$709,B839,'岗位-产业节点关系'!$M$4:$M$709,"低")&gt;0,"已匹配，建议复核","已匹配"))</x:f>
        <x:v>未匹配（现有产业链范围未覆盖或证据不足）</x:v>
      </x:c>
      <x:c r="H839" s="26" t="str">
        <x:v>-</x:v>
      </x:c>
      <x:c r="I839" s="26" t="str"/>
      <x:c r="J839" s="26" t="str"/>
      <x:c r="K839" s="26" t="str">
        <x:v>化妆师是生活服务与零售行业中不可或缺的专业人才，在美容美发领域扮演着关键角色。他们不仅能够通过精湛的技艺提升顾客的外貌美感，还能根据顾客的不同需求提供个性化的化妆方案，从而增强顾客的自信心和满意度。作为化妆师，其核心目标…</x:v>
      </x:c>
      <x:c r="L839" s="26" t="str">
        <x:v>1. 为顾客提供个性化咨询服务，了解顾客的具体需求后，制定合适的化妆方案，确保满足顾客的期望。 2. 运用专业知识和技术，完成日常妆容、新娘妆、舞台妆等多种类型的化妆工作，保证妆容效果自然、持久且符合时尚潮流。 3. 定…</x:v>
      </x:c>
    </x:row>
    <x:row r="840" ht="72" customHeight="1">
      <x:c r="A840" s="25" t="n">
        <x:v>11732</x:v>
      </x:c>
      <x:c r="B840" s="25" t="str">
        <x:v>IC-L3-989</x:v>
      </x:c>
      <x:c r="C840" s="25" t="str">
        <x:v>美容助理</x:v>
      </x:c>
      <x:c r="D840" s="25" t="str">
        <x:v>4-10-03-01</x:v>
      </x:c>
      <x:c r="E840" s="25" t="str">
        <x:v>美容师</x:v>
      </x:c>
      <x:c r="F840" s="28" t="n">
        <x:f>COUNTIF('岗位-产业节点关系'!$C$4:$C$709,B840)</x:f>
        <x:v>0</x:v>
      </x:c>
      <x:c r="G840" s="26" t="str">
        <x:f>IF(F840=0,"未匹配（现有产业链范围未覆盖或证据不足）",IF(COUNTIFS('岗位-产业节点关系'!$C$4:$C$709,B840,'岗位-产业节点关系'!$M$4:$M$709,"低")&gt;0,"已匹配，建议复核","已匹配"))</x:f>
        <x:v>未匹配（现有产业链范围未覆盖或证据不足）</x:v>
      </x:c>
      <x:c r="H840" s="26" t="str">
        <x:v>-</x:v>
      </x:c>
      <x:c r="I840" s="26" t="str"/>
      <x:c r="J840" s="26" t="str"/>
      <x:c r="K840" s="26" t="str">
        <x:v>美容助理是生活服务与零售行业中不可或缺的角色，特别是在美容美发领域，他们不仅是顾客美好体验的第一接触点，也是确保服务质量的关键因素之一。通过提供专业的辅助服务和支持，美容助理能够显著提升顾客满意度和忠诚度，同时帮助公司树…</x:v>
      </x:c>
      <x:c r="L840" s="26" t="str">
        <x:v>1. 协助美容师进行基础护理工作，包括但不限于面部清洁、按摩以及护肤品的正确使用指导，旨在为顾客提供舒适的护理体验。 2. 负责美容区域的清洁与整理，确保所有使用的仪器设备干净无菌，以保障顾客健康安全。 3. 主动了解顾…</x:v>
      </x:c>
    </x:row>
    <x:row r="841" ht="72" customHeight="1">
      <x:c r="A841" s="25" t="n">
        <x:v>11733</x:v>
      </x:c>
      <x:c r="B841" s="25" t="str">
        <x:v>IC-L3-990</x:v>
      </x:c>
      <x:c r="C841" s="25" t="str">
        <x:v>美容培训师/导师</x:v>
      </x:c>
      <x:c r="D841" s="25" t="str">
        <x:v>4-07-03-05</x:v>
      </x:c>
      <x:c r="E841" s="25" t="str">
        <x:v>职业培训师</x:v>
      </x:c>
      <x:c r="F841" s="28" t="n">
        <x:f>COUNTIF('岗位-产业节点关系'!$C$4:$C$709,B841)</x:f>
        <x:v>0</x:v>
      </x:c>
      <x:c r="G841" s="26" t="str">
        <x:f>IF(F841=0,"未匹配（现有产业链范围未覆盖或证据不足）",IF(COUNTIFS('岗位-产业节点关系'!$C$4:$C$709,B841,'岗位-产业节点关系'!$M$4:$M$709,"低")&gt;0,"已匹配，建议复核","已匹配"))</x:f>
        <x:v>未匹配（现有产业链范围未覆盖或证据不足）</x:v>
      </x:c>
      <x:c r="H841" s="26" t="str">
        <x:v>-</x:v>
      </x:c>
      <x:c r="I841" s="26" t="str"/>
      <x:c r="J841" s="26" t="str"/>
      <x:c r="K841" s="26" t="str">
        <x:v>美容培训师/导师是生活服务行业中不可或缺的专业人才，其主要职责在于提升美容美发机构的服务质量和专业水平。作为美容培训师/导师，您将负责培训新员工并持续提高现有员工的技术和服务能力，确保他们能够满足顾客日益增长的需求，同时…</x:v>
      </x:c>
      <x:c r="L841" s="26" t="str">
        <x:v>1. 负责制定和执行美容美发技术培训计划，确保所有员工掌握最新的行业知识和技术，提高整体服务水平。 2. 定期评估员工技能水平，识别培训需求，通过开展个性化辅导或小组课程等形式，帮助员工解决实际工作中的问题，提升工作效率…</x:v>
      </x:c>
    </x:row>
    <x:row r="842" ht="72" customHeight="1">
      <x:c r="A842" s="25" t="n">
        <x:v>11734</x:v>
      </x:c>
      <x:c r="B842" s="25" t="str">
        <x:v>IC-L3-991</x:v>
      </x:c>
      <x:c r="C842" s="25" t="str">
        <x:v>美容店长</x:v>
      </x:c>
      <x:c r="D842" s="25" t="str">
        <x:v>4-10-03-01</x:v>
      </x:c>
      <x:c r="E842" s="25" t="str">
        <x:v>美容师</x:v>
      </x:c>
      <x:c r="F842" s="28" t="n">
        <x:f>COUNTIF('岗位-产业节点关系'!$C$4:$C$709,B842)</x:f>
        <x:v>0</x:v>
      </x:c>
      <x:c r="G842" s="26" t="str">
        <x:f>IF(F842=0,"未匹配（现有产业链范围未覆盖或证据不足）",IF(COUNTIFS('岗位-产业节点关系'!$C$4:$C$709,B842,'岗位-产业节点关系'!$M$4:$M$709,"低")&gt;0,"已匹配，建议复核","已匹配"))</x:f>
        <x:v>未匹配（现有产业链范围未覆盖或证据不足）</x:v>
      </x:c>
      <x:c r="H842" s="26" t="str">
        <x:v>-</x:v>
      </x:c>
      <x:c r="I842" s="26" t="str"/>
      <x:c r="J842" s="26" t="str"/>
      <x:c r="K842" s="26" t="str">
        <x:v>作为美容行业的核心管理者，美容店长不仅在门店运营中扮演着至关重要的角色，同时也是品牌文化与服务理念传递的关键人物。他们通过高效管理和优质服务，确保顾客获得愉悦的消费体验，从而提升品牌知名度和市场竞争力。 美容店长的核心目…</x:v>
      </x:c>
      <x:c r="L842" s="26" t="str">
        <x:v>1. 制定并执行店铺月度、季度及年度销售计划，确保完成公司下达的任务指标。 2. 监督店内各项服务流程的标准化实施，定期检查卫生环境，保证顾客享受高质量的服务体验。 3. 负责招聘、培训及考核一线员工，建立高效的销售团队…</x:v>
      </x:c>
    </x:row>
    <x:row r="843" ht="72" customHeight="1">
      <x:c r="A843" s="25" t="n">
        <x:v>11735</x:v>
      </x:c>
      <x:c r="B843" s="25" t="str">
        <x:v>IC-L3-992</x:v>
      </x:c>
      <x:c r="C843" s="25" t="str">
        <x:v>美容顾问</x:v>
      </x:c>
      <x:c r="D843" s="25" t="str">
        <x:v>4-10-03-01</x:v>
      </x:c>
      <x:c r="E843" s="25" t="str">
        <x:v>美容师</x:v>
      </x:c>
      <x:c r="F843" s="28" t="n">
        <x:f>COUNTIF('岗位-产业节点关系'!$C$4:$C$709,B843)</x:f>
        <x:v>0</x:v>
      </x:c>
      <x:c r="G843" s="26" t="str">
        <x:f>IF(F843=0,"未匹配（现有产业链范围未覆盖或证据不足）",IF(COUNTIFS('岗位-产业节点关系'!$C$4:$C$709,B843,'岗位-产业节点关系'!$M$4:$M$709,"低")&gt;0,"已匹配，建议复核","已匹配"))</x:f>
        <x:v>未匹配（现有产业链范围未覆盖或证据不足）</x:v>
      </x:c>
      <x:c r="H843" s="26" t="str">
        <x:v>-</x:v>
      </x:c>
      <x:c r="I843" s="26" t="str"/>
      <x:c r="J843" s="26" t="str"/>
      <x:c r="K843" s="26" t="str">
        <x:v>美容顾问是生活服务与零售行业中不可或缺的专业角色，他们不仅负责提供高质量的美容咨询和服务，还承担着提升客户满意度和忠诚度的重要任务。通过深入了解每位顾客的需求，美容顾问能够为其推荐最适合的护理方案，从而帮助公司建立良好的…</x:v>
      </x:c>
      <x:c r="L843" s="26" t="str">
        <x:v>1. 为到店或线上咨询的客户提供专业的皮肤分析和个性化美容建议，确保每位顾客都能获得满意的服务体验。 2. 定期参加产品知识和销售技巧培训，不断提升自身专业水平，以便更有效地向顾客介绍公司最新的美容产品和服务项目。 3.…</x:v>
      </x:c>
    </x:row>
    <x:row r="844" ht="72" customHeight="1">
      <x:c r="A844" s="25" t="n">
        <x:v>11736</x:v>
      </x:c>
      <x:c r="B844" s="25" t="str">
        <x:v>IC-L3-993</x:v>
      </x:c>
      <x:c r="C844" s="25" t="str">
        <x:v>造型师</x:v>
      </x:c>
      <x:c r="D844" s="25" t="str">
        <x:v>4-10-03-01</x:v>
      </x:c>
      <x:c r="E844" s="25" t="str">
        <x:v>美容师</x:v>
      </x:c>
      <x:c r="F844" s="28" t="n">
        <x:f>COUNTIF('岗位-产业节点关系'!$C$4:$C$709,B844)</x:f>
        <x:v>0</x:v>
      </x:c>
      <x:c r="G844" s="26" t="str">
        <x:f>IF(F844=0,"未匹配（现有产业链范围未覆盖或证据不足）",IF(COUNTIFS('岗位-产业节点关系'!$C$4:$C$709,B844,'岗位-产业节点关系'!$M$4:$M$709,"低")&gt;0,"已匹配，建议复核","已匹配"))</x:f>
        <x:v>未匹配（现有产业链范围未覆盖或证据不足）</x:v>
      </x:c>
      <x:c r="H844" s="26" t="str">
        <x:v>-</x:v>
      </x:c>
      <x:c r="I844" s="26" t="str"/>
      <x:c r="J844" s="26" t="str"/>
      <x:c r="K844" s="26" t="str">
        <x:v>造型师是生活服务/零售行业中不可或缺的专业人才，尤其在美容美发领域内扮演着核心角色。他们不仅负责为顾客提供个性化、高质量的发型设计与护理服务，更是品牌文化和服务理念的重要传递者，直接关系到顾客体验及品牌形象的塑造。通过精…</x:v>
      </x:c>
      <x:c r="L844" s="26" t="str">
        <x:v>1. 根据客户需求进行咨询沟通，了解其生活习惯、职业特性及审美偏好，制定合适的发型设计方案。 2. 熟练运用剪发、烫发、染发等技术完成造型工作，确保操作过程安全卫生，达到预期效果。 3. 定期参加培训课程，学习最新技术和…</x:v>
      </x:c>
    </x:row>
    <x:row r="845" ht="72" customHeight="1">
      <x:c r="A845" s="25" t="n">
        <x:v>11737</x:v>
      </x:c>
      <x:c r="B845" s="25" t="str">
        <x:v>IC-L3-994</x:v>
      </x:c>
      <x:c r="C845" s="25" t="str">
        <x:v>体育运动教练</x:v>
      </x:c>
      <x:c r="D845" s="25" t="str">
        <x:v>2-09-07-01</x:v>
      </x:c>
      <x:c r="E845" s="25" t="str">
        <x:v>教练员</x:v>
      </x:c>
      <x:c r="F845" s="28" t="n">
        <x:f>COUNTIF('岗位-产业节点关系'!$C$4:$C$709,B845)</x:f>
        <x:v>0</x:v>
      </x:c>
      <x:c r="G845" s="26" t="str">
        <x:f>IF(F845=0,"未匹配（现有产业链范围未覆盖或证据不足）",IF(COUNTIFS('岗位-产业节点关系'!$C$4:$C$709,B845,'岗位-产业节点关系'!$M$4:$M$709,"低")&gt;0,"已匹配，建议复核","已匹配"))</x:f>
        <x:v>未匹配（现有产业链范围未覆盖或证据不足）</x:v>
      </x:c>
      <x:c r="H845" s="26" t="str">
        <x:v>-</x:v>
      </x:c>
      <x:c r="I845" s="26" t="str"/>
      <x:c r="J845" s="26" t="str"/>
      <x:c r="K845" s="26" t="str">
        <x:v>体育运动教练是生活服务与零售行业中运动健身领域不可或缺的专业人才，他们通过提供专业的健身指导和个性化的训练计划，帮助客户实现健康目标，同时提升客户的生活质量。作为运动健身领域的专家，体育运动教练不仅需要具备扎实的理论知识…</x:v>
      </x:c>
      <x:c r="L845" s="26" t="str">
        <x:v>1. 为每位客户设计个性化健身计划，确保满足其特定需求和目标，提高客户满意度。 2. 在课程中指导客户正确执行各项运动动作，避免运动伤害，保障训练安全。 3. 定期评估客户的身体状况及训练进展，根据实际情况调整训练计划，…</x:v>
      </x:c>
    </x:row>
    <x:row r="846" ht="72" customHeight="1">
      <x:c r="A846" s="25" t="n">
        <x:v>11738</x:v>
      </x:c>
      <x:c r="B846" s="25" t="str">
        <x:v>IC-L3-995</x:v>
      </x:c>
      <x:c r="C846" s="25" t="str">
        <x:v>健身顾问</x:v>
      </x:c>
      <x:c r="D846" s="25" t="str">
        <x:v>2-09-07-01</x:v>
      </x:c>
      <x:c r="E846" s="25" t="str">
        <x:v>教练员</x:v>
      </x:c>
      <x:c r="F846" s="28" t="n">
        <x:f>COUNTIF('岗位-产业节点关系'!$C$4:$C$709,B846)</x:f>
        <x:v>0</x:v>
      </x:c>
      <x:c r="G846" s="26" t="str">
        <x:f>IF(F846=0,"未匹配（现有产业链范围未覆盖或证据不足）",IF(COUNTIFS('岗位-产业节点关系'!$C$4:$C$709,B846,'岗位-产业节点关系'!$M$4:$M$709,"低")&gt;0,"已匹配，建议复核","已匹配"))</x:f>
        <x:v>未匹配（现有产业链范围未覆盖或证据不足）</x:v>
      </x:c>
      <x:c r="H846" s="26" t="str">
        <x:v>-</x:v>
      </x:c>
      <x:c r="I846" s="26" t="str"/>
      <x:c r="J846" s="26" t="str"/>
      <x:c r="K846" s="26" t="str">
        <x:v>健身顾问是生活服务与零售行业中不可或缺的专业角色，尤其在运动健身领域内，他们通过提供个性化的健康指导和服务，帮助客户实现身体素质的提升和健康生活方式的建立。作为连接消费者与企业的重要桥梁，健身顾问不仅能够增强客户的忠诚度…</x:v>
      </x:c>
      <x:c r="L846" s="26" t="str">
        <x:v>1. 为每位会员进行初次评估，了解其个人背景、运动经历及健康状况，以此为基础制定符合个体需求的训练计划。 2. 定期跟进会员的锻炼进度，调整训练方案以确保达到最佳效果，并鼓励会员坚持完成既定目标。 3. 向会员普及正确的…</x:v>
      </x:c>
    </x:row>
    <x:row r="847" ht="72" customHeight="1">
      <x:c r="A847" s="25" t="n">
        <x:v>11739</x:v>
      </x:c>
      <x:c r="B847" s="25" t="str">
        <x:v>IC-L3-996</x:v>
      </x:c>
      <x:c r="C847" s="25" t="str">
        <x:v>救生员</x:v>
      </x:c>
      <x:c r="D847" s="25" t="str">
        <x:v>2-09-07-01</x:v>
      </x:c>
      <x:c r="E847" s="25" t="str">
        <x:v>教练员</x:v>
      </x:c>
      <x:c r="F847" s="28" t="n">
        <x:f>COUNTIF('岗位-产业节点关系'!$C$4:$C$709,B847)</x:f>
        <x:v>0</x:v>
      </x:c>
      <x:c r="G847" s="26" t="str">
        <x:f>IF(F847=0,"未匹配（现有产业链范围未覆盖或证据不足）",IF(COUNTIFS('岗位-产业节点关系'!$C$4:$C$709,B847,'岗位-产业节点关系'!$M$4:$M$709,"低")&gt;0,"已匹配，建议复核","已匹配"))</x:f>
        <x:v>未匹配（现有产业链范围未覆盖或证据不足）</x:v>
      </x:c>
      <x:c r="H847" s="26" t="str">
        <x:v>-</x:v>
      </x:c>
      <x:c r="I847" s="26" t="str"/>
      <x:c r="J847" s="26" t="str"/>
      <x:c r="K847" s="26" t="str">
        <x:v>救生员是运动健身领域中不可或缺的角色之一，他们不仅保障着顾客的生命安全，更是健身房品质与服务水平的重要体现。在游泳池或水上乐园等场所，救生员通过专业技能和高度的责任心，预防并处理各种紧急情况，确保每一位顾客的安全。此外，…</x:v>
      </x:c>
      <x:c r="L847" s="26" t="str">
        <x:v>1. 负责监控泳池区域的安全状况，及时发现潜在危险并采取有效措施进行干预。 2. 遇到溺水等紧急事故时，迅速实施救援行动，包括但不限于人工呼吸、心肺复苏等急救技术。 3. 定期检查救生设备是否完好可用，确保应急情况下能够…</x:v>
      </x:c>
    </x:row>
    <x:row r="848" ht="72" customHeight="1">
      <x:c r="A848" s="25" t="n">
        <x:v>11740</x:v>
      </x:c>
      <x:c r="B848" s="25" t="str">
        <x:v>IC-L3-997</x:v>
      </x:c>
      <x:c r="C848" s="25" t="str">
        <x:v>游泳教练</x:v>
      </x:c>
      <x:c r="D848" s="25" t="str">
        <x:v>2-09-07-01</x:v>
      </x:c>
      <x:c r="E848" s="25" t="str">
        <x:v>教练员</x:v>
      </x:c>
      <x:c r="F848" s="28" t="n">
        <x:f>COUNTIF('岗位-产业节点关系'!$C$4:$C$709,B848)</x:f>
        <x:v>0</x:v>
      </x:c>
      <x:c r="G848" s="26" t="str">
        <x:f>IF(F848=0,"未匹配（现有产业链范围未覆盖或证据不足）",IF(COUNTIFS('岗位-产业节点关系'!$C$4:$C$709,B848,'岗位-产业节点关系'!$M$4:$M$709,"低")&gt;0,"已匹配，建议复核","已匹配"))</x:f>
        <x:v>未匹配（现有产业链范围未覆盖或证据不足）</x:v>
      </x:c>
      <x:c r="H848" s="26" t="str">
        <x:v>-</x:v>
      </x:c>
      <x:c r="I848" s="26" t="str"/>
      <x:c r="J848" s="26" t="str"/>
      <x:c r="K848" s="26" t="str">
        <x:v>游泳教练是生活服务和零售行业中不可或缺的专业人才，尤其在运动健身领域扮演着至关重要的角色。通过专业的指导与训练，不仅能够帮助客户实现健康目标，还能提升品牌形象及顾客满意度，从而吸引更多忠实用户。 作为游泳教练，其核心目标…</x:v>
      </x:c>
      <x:c r="L848" s="26" t="str">
        <x:v>1. 负责教授各种泳姿的基础知识与技术要点，指导初学者安全入门并逐步进阶。 2. 根据学员的身体状况和个人目标，设计合理的训练课程，帮助他们改善体能、塑造身形。 3. 定期组织水上安全教育讲座，普及急救常识，确保教学环境…</x:v>
      </x:c>
    </x:row>
    <x:row r="849" ht="72" customHeight="1">
      <x:c r="A849" s="25" t="n">
        <x:v>11741</x:v>
      </x:c>
      <x:c r="B849" s="25" t="str">
        <x:v>IC-L3-998</x:v>
      </x:c>
      <x:c r="C849" s="25" t="str">
        <x:v>瑜伽老师</x:v>
      </x:c>
      <x:c r="D849" s="25" t="str">
        <x:v>2-09-07-01</x:v>
      </x:c>
      <x:c r="E849" s="25" t="str">
        <x:v>教练员</x:v>
      </x:c>
      <x:c r="F849" s="28" t="n">
        <x:f>COUNTIF('岗位-产业节点关系'!$C$4:$C$709,B849)</x:f>
        <x:v>0</x:v>
      </x:c>
      <x:c r="G849" s="26" t="str">
        <x:f>IF(F849=0,"未匹配（现有产业链范围未覆盖或证据不足）",IF(COUNTIFS('岗位-产业节点关系'!$C$4:$C$709,B849,'岗位-产业节点关系'!$M$4:$M$709,"低")&gt;0,"已匹配，建议复核","已匹配"))</x:f>
        <x:v>未匹配（现有产业链范围未覆盖或证据不足）</x:v>
      </x:c>
      <x:c r="H849" s="26" t="str">
        <x:v>-</x:v>
      </x:c>
      <x:c r="I849" s="26" t="str"/>
      <x:c r="J849" s="26" t="str"/>
      <x:c r="K849" s="26" t="str">
        <x:v>瑜伽老师是生活服务与零售行业中运动健身领域的重要角色，通过专业的瑜伽指导帮助客户达到身心健康的目标，不仅提升了个人的生活质量，也促进了行业的健康发展。作为瑜伽老师，其核心目标是设计并实施安全有效的瑜伽课程，满足不同年龄层…</x:v>
      </x:c>
      <x:c r="L849" s="26" t="str">
        <x:v>1. 根据学员的身体条件及需求，制定个性化教学计划，确保课程内容符合学员的水平和目标。 2. 在课堂上进行标准动作示范，耐心纠正学员姿势，保证练习过程的安全性和有效性。 3. 定期组织各类主题工作坊或体验课，扩大影响力，…</x:v>
      </x:c>
    </x:row>
    <x:row r="850" ht="72" customHeight="1">
      <x:c r="A850" s="25" t="n">
        <x:v>11742</x:v>
      </x:c>
      <x:c r="B850" s="25" t="str">
        <x:v>IC-L3-999</x:v>
      </x:c>
      <x:c r="C850" s="25" t="str">
        <x:v>舞蹈老师</x:v>
      </x:c>
      <x:c r="D850" s="25" t="str">
        <x:v>2-09-07-01</x:v>
      </x:c>
      <x:c r="E850" s="25" t="str">
        <x:v>教练员</x:v>
      </x:c>
      <x:c r="F850" s="28" t="n">
        <x:f>COUNTIF('岗位-产业节点关系'!$C$4:$C$709,B850)</x:f>
        <x:v>0</x:v>
      </x:c>
      <x:c r="G850" s="26" t="str">
        <x:f>IF(F850=0,"未匹配（现有产业链范围未覆盖或证据不足）",IF(COUNTIFS('岗位-产业节点关系'!$C$4:$C$709,B850,'岗位-产业节点关系'!$M$4:$M$709,"低")&gt;0,"已匹配，建议复核","已匹配"))</x:f>
        <x:v>未匹配（现有产业链范围未覆盖或证据不足）</x:v>
      </x:c>
      <x:c r="H850" s="26" t="str">
        <x:v>-</x:v>
      </x:c>
      <x:c r="I850" s="26" t="str"/>
      <x:c r="J850" s="26" t="str"/>
      <x:c r="K850" s="26" t="str">
        <x:v>舞蹈老师在生活服务与零售行业中扮演着重要的角色，特别是在运动健身领域。作为连接顾客与健康生活方式的桥梁，舞蹈老师不仅能够提供专业的舞蹈指导，还能激发客户参与运动的热情，帮助他们建立积极的生活态度。通过专业的教学，舞蹈老师…</x:v>
      </x:c>
      <x:c r="L850" s="26" t="str">
        <x:v>1. 根据学员需求制定个性化舞蹈课程计划，确保课程内容丰富多样，满足不同层次学员的需求。 2. 在课程中运用科学的方法进行舞蹈教学，注重动作的正确性和安全性，预防运动损伤。 3. 定期评估学员的进步情况，给予正面反馈和支…</x:v>
      </x:c>
    </x:row>
    <x:row r="851" ht="72" customHeight="1">
      <x:c r="A851" s="25" t="n">
        <x:v>11743</x:v>
      </x:c>
      <x:c r="B851" s="25" t="str">
        <x:v>IC-L3-1000</x:v>
      </x:c>
      <x:c r="C851" s="25" t="str">
        <x:v>高尔夫教练</x:v>
      </x:c>
      <x:c r="D851" s="25" t="str">
        <x:v>2-09-07-01</x:v>
      </x:c>
      <x:c r="E851" s="25" t="str">
        <x:v>教练员</x:v>
      </x:c>
      <x:c r="F851" s="28" t="n">
        <x:f>COUNTIF('岗位-产业节点关系'!$C$4:$C$709,B851)</x:f>
        <x:v>0</x:v>
      </x:c>
      <x:c r="G851" s="26" t="str">
        <x:f>IF(F851=0,"未匹配（现有产业链范围未覆盖或证据不足）",IF(COUNTIFS('岗位-产业节点关系'!$C$4:$C$709,B851,'岗位-产业节点关系'!$M$4:$M$709,"低")&gt;0,"已匹配，建议复核","已匹配"))</x:f>
        <x:v>未匹配（现有产业链范围未覆盖或证据不足）</x:v>
      </x:c>
      <x:c r="H851" s="26" t="str">
        <x:v>-</x:v>
      </x:c>
      <x:c r="I851" s="26" t="str"/>
      <x:c r="J851" s="26" t="str"/>
      <x:c r="K851" s="26" t="str">
        <x:v>高尔夫教练是生活服务与零售行业中运动健身领域的重要组成部分，主要负责向客户提供专业的高尔夫球技指导和培训服务，帮助客户提高技术水平，享受高尔夫带来的乐趣。作为高尔夫教练，在公司中扮演着提升品牌形象、增强顾客满意度的关键角…</x:v>
      </x:c>
      <x:c r="L851" s="26" t="str">
        <x:v>1. 为不同水平的学员制定个性化的教学计划，确保每位学员都能根据自身情况得到有效的技能提升。 2. 在球场上进行现场指导，观察并纠正学员的动作错误，传授正确的挥杆技巧和其他基本技术。 3. 定期组织高尔夫体验课和比赛，激…</x:v>
      </x:c>
    </x:row>
    <x:row r="852" ht="72" customHeight="1">
      <x:c r="A852" s="25" t="n">
        <x:v>11744</x:v>
      </x:c>
      <x:c r="B852" s="25" t="str">
        <x:v>IC-L3-1001</x:v>
      </x:c>
      <x:c r="C852" s="25" t="str">
        <x:v>促销主管/督导/巡店</x:v>
      </x:c>
      <x:c r="D852" s="25" t="str">
        <x:v>4-01-02-03</x:v>
      </x:c>
      <x:c r="E852" s="25" t="str">
        <x:v>商品营业员</x:v>
      </x:c>
      <x:c r="F852" s="28" t="n">
        <x:f>COUNTIF('岗位-产业节点关系'!$C$4:$C$709,B852)</x:f>
        <x:v>0</x:v>
      </x:c>
      <x:c r="G852" s="26" t="str">
        <x:f>IF(F852=0,"未匹配（现有产业链范围未覆盖或证据不足）",IF(COUNTIFS('岗位-产业节点关系'!$C$4:$C$709,B852,'岗位-产业节点关系'!$M$4:$M$709,"低")&gt;0,"已匹配，建议复核","已匹配"))</x:f>
        <x:v>未匹配（现有产业链范围未覆盖或证据不足）</x:v>
      </x:c>
      <x:c r="H852" s="26" t="str">
        <x:v>-</x:v>
      </x:c>
      <x:c r="I852" s="26" t="str"/>
      <x:c r="J852" s="26" t="str"/>
      <x:c r="K852" s="26" t="str">
        <x:v>促销主管/督导/巡店在生活服务/零售行业中扮演着至关重要的角色，是连接公司与终端消费者的重要桥梁。此职位不仅负责监督和指导店内促销活动的执行情况，确保活动效果最大化，同时还需要密切关注市场动态及竞争对手策略，为公司提供有…</x:v>
      </x:c>
      <x:c r="L852" s="26" t="str">
        <x:v>1. 负责制定并实施所辖区域内各门店的促销计划，确保促销活动符合公司整体营销战略，并达到预期销售目标。 2. 定期巡视所辖门店，检查促销物料布置情况，及时发现并解决现场问题，保证促销活动顺利进行。 3. 对促销人员进行培…</x:v>
      </x:c>
    </x:row>
    <x:row r="853" ht="72" customHeight="1">
      <x:c r="A853" s="25" t="n">
        <x:v>11745</x:v>
      </x:c>
      <x:c r="B853" s="25" t="str">
        <x:v>IC-L3-1002</x:v>
      </x:c>
      <x:c r="C853" s="25" t="str">
        <x:v>促销员/导购员</x:v>
      </x:c>
      <x:c r="D853" s="25" t="str">
        <x:v>4-01-02-03</x:v>
      </x:c>
      <x:c r="E853" s="25" t="str">
        <x:v>商品营业员</x:v>
      </x:c>
      <x:c r="F853" s="28" t="n">
        <x:f>COUNTIF('岗位-产业节点关系'!$C$4:$C$709,B853)</x:f>
        <x:v>0</x:v>
      </x:c>
      <x:c r="G853" s="26" t="str">
        <x:f>IF(F853=0,"未匹配（现有产业链范围未覆盖或证据不足）",IF(COUNTIFS('岗位-产业节点关系'!$C$4:$C$709,B853,'岗位-产业节点关系'!$M$4:$M$709,"低")&gt;0,"已匹配，建议复核","已匹配"))</x:f>
        <x:v>未匹配（现有产业链范围未覆盖或证据不足）</x:v>
      </x:c>
      <x:c r="H853" s="26" t="str">
        <x:v>-</x:v>
      </x:c>
      <x:c r="I853" s="26" t="str"/>
      <x:c r="J853" s="26" t="str"/>
      <x:c r="K853" s="26" t="str">
        <x:v>促销员/导购员是零售行业中不可或缺的角色，他们直接与消费者接触，通过优质的服务提升顾客购物体验，从而促进销售增长。在快节奏的零售环境中，他们不仅是产品的代言人，也是品牌形象的传递者，对于吸引新客户和维护老客户具有重要作用…</x:v>
      </x:c>
      <x:c r="L853" s="26" t="str">
        <x:v>1. 主动迎接顾客，热情地介绍商品特点及优势，激发顾客购买兴趣，达成交易。 2. 负责店内商品的陈列整理工作，确保商品摆放整齐有序，营造良好的购物环境。 3. 定期参加产品知识培训，掌握最新商品信息，以便准确无误地向顾客…</x:v>
      </x:c>
    </x:row>
    <x:row r="854" ht="72" customHeight="1">
      <x:c r="A854" s="25" t="n">
        <x:v>11746</x:v>
      </x:c>
      <x:c r="B854" s="25" t="str">
        <x:v>IC-L3-1003</x:v>
      </x:c>
      <x:c r="C854" s="25" t="str">
        <x:v>兼职店员</x:v>
      </x:c>
      <x:c r="D854" s="25" t="str">
        <x:v>4-01-02-03</x:v>
      </x:c>
      <x:c r="E854" s="25" t="str">
        <x:v>商品营业员</x:v>
      </x:c>
      <x:c r="F854" s="28" t="n">
        <x:f>COUNTIF('岗位-产业节点关系'!$C$4:$C$709,B854)</x:f>
        <x:v>0</x:v>
      </x:c>
      <x:c r="G854" s="26" t="str">
        <x:f>IF(F854=0,"未匹配（现有产业链范围未覆盖或证据不足）",IF(COUNTIFS('岗位-产业节点关系'!$C$4:$C$709,B854,'岗位-产业节点关系'!$M$4:$M$709,"低")&gt;0,"已匹配，建议复核","已匹配"))</x:f>
        <x:v>未匹配（现有产业链范围未覆盖或证据不足）</x:v>
      </x:c>
      <x:c r="H854" s="26" t="str">
        <x:v>-</x:v>
      </x:c>
      <x:c r="I854" s="26" t="str"/>
      <x:c r="J854" s="26" t="str"/>
      <x:c r="K854" s="26" t="str">
        <x:v>兼职店员是零售行业中不可或缺的角色之一，他们直接面对消费者，通过提供优质的服务来增强顾客满意度，促进销售业绩的增长。作为零售业的前线人员，兼职店员不仅承担着吸引新客户、维护老客户的重任，还能够及时反馈市场信息，为公司的产…</x:v>
      </x:c>
      <x:c r="L854" s="26" t="str">
        <x:v>1. 负责接待进店顾客，了解其需求并推荐合适商品，确保顾客获得满意购物体验。 2. 定期整理货架，检查库存情况，保证商品陈列整齐有序，及时补充缺货商品。 3. 协助完成收银工作，准确无误地进行现金或电子支付操作，保持收银…</x:v>
      </x:c>
    </x:row>
    <x:row r="855" ht="72" customHeight="1">
      <x:c r="A855" s="25" t="n">
        <x:v>11747</x:v>
      </x:c>
      <x:c r="B855" s="25" t="str">
        <x:v>IC-L3-1004</x:v>
      </x:c>
      <x:c r="C855" s="25" t="str">
        <x:v>品类管理</x:v>
      </x:c>
      <x:c r="D855" s="25" t="str">
        <x:v>4-01-02-03</x:v>
      </x:c>
      <x:c r="E855" s="25" t="str">
        <x:v>商品营业员</x:v>
      </x:c>
      <x:c r="F855" s="28" t="n">
        <x:f>COUNTIF('岗位-产业节点关系'!$C$4:$C$709,B855)</x:f>
        <x:v>0</x:v>
      </x:c>
      <x:c r="G855" s="26" t="str">
        <x:f>IF(F855=0,"未匹配（现有产业链范围未覆盖或证据不足）",IF(COUNTIFS('岗位-产业节点关系'!$C$4:$C$709,B855,'岗位-产业节点关系'!$M$4:$M$709,"低")&gt;0,"已匹配，建议复核","已匹配"))</x:f>
        <x:v>未匹配（现有产业链范围未覆盖或证据不足）</x:v>
      </x:c>
      <x:c r="H855" s="26" t="str">
        <x:v>-</x:v>
      </x:c>
      <x:c r="I855" s="26" t="str"/>
      <x:c r="J855" s="26" t="str"/>
      <x:c r="K855" s="26" t="str">
        <x:v>品类管理是生活服务与零售行业中不可或缺的关键角色，负责确保商品组合的有效管理和优化，以满足消费者需求并推动销售增长。通过深入分析市场趋势、竞争对手动态及消费者行为，品类管理者制定并实施策略，以提高库存周转率、减少滞销风险…</x:v>
      </x:c>
      <x:c r="L855" s="26" t="str">
        <x:v>1. 负责所辖品类的商品规划与开发，定期评估现有产品线的表现，及时调整品类结构，确保符合市场需求。 2. 运用数据分析工具监控销售数据，识别销售趋势和潜在问题点，提出改善建议并跟踪实施效果。 3. 与供应商建立良好合作关…</x:v>
      </x:c>
    </x:row>
    <x:row r="856" ht="72" customHeight="1">
      <x:c r="A856" s="25" t="n">
        <x:v>11748</x:v>
      </x:c>
      <x:c r="B856" s="25" t="str">
        <x:v>IC-L3-1005</x:v>
      </x:c>
      <x:c r="C856" s="25" t="str">
        <x:v>商品管理</x:v>
      </x:c>
      <x:c r="D856" s="25" t="str">
        <x:v>4-01-02-01</x:v>
      </x:c>
      <x:c r="E856" s="25" t="str">
        <x:v>营销员</x:v>
      </x:c>
      <x:c r="F856" s="28" t="n">
        <x:f>COUNTIF('岗位-产业节点关系'!$C$4:$C$709,B856)</x:f>
        <x:v>0</x:v>
      </x:c>
      <x:c r="G856" s="26" t="str">
        <x:f>IF(F856=0,"未匹配（现有产业链范围未覆盖或证据不足）",IF(COUNTIFS('岗位-产业节点关系'!$C$4:$C$709,B856,'岗位-产业节点关系'!$M$4:$M$709,"低")&gt;0,"已匹配，建议复核","已匹配"))</x:f>
        <x:v>未匹配（现有产业链范围未覆盖或证据不足）</x:v>
      </x:c>
      <x:c r="H856" s="26" t="str">
        <x:v>-</x:v>
      </x:c>
      <x:c r="I856" s="26" t="str"/>
      <x:c r="J856" s="26" t="str"/>
      <x:c r="K856" s="26" t="str">
        <x:v>商品管理是生活服务/零售行业中至关重要的职能之一，它负责确保公司销售的商品既符合市场需求又能够满足消费者期望。通过精准的商品选择与优化库存管理，商品管理岗位不仅直接影响着顾客的购物体验，还对企业的品牌形象构建起到关键作用…</x:v>
      </x:c>
      <x:c r="L856" s="26" t="str">
        <x:v>1. 负责监控市场动态，收集竞品信息，定期进行商品分析，以支持产品线的调整和优化。 2. 根据季节变化及节假日安排，策划并执行促销活动，扩大销售额。 3. 与供应商建立良好关系，谈判价格条款，确保优质货源的稳定供应。 4…</x:v>
      </x:c>
    </x:row>
    <x:row r="857" ht="72" customHeight="1">
      <x:c r="A857" s="25" t="n">
        <x:v>11749</x:v>
      </x:c>
      <x:c r="B857" s="25" t="str">
        <x:v>IC-L3-1006</x:v>
      </x:c>
      <x:c r="C857" s="25" t="str">
        <x:v>奢侈品业务</x:v>
      </x:c>
      <x:c r="D857" s="25" t="str">
        <x:v>4-01-02-01</x:v>
      </x:c>
      <x:c r="E857" s="25" t="str">
        <x:v>营销员</x:v>
      </x:c>
      <x:c r="F857" s="28" t="n">
        <x:f>COUNTIF('岗位-产业节点关系'!$C$4:$C$709,B857)</x:f>
        <x:v>0</x:v>
      </x:c>
      <x:c r="G857" s="26" t="str">
        <x:f>IF(F857=0,"未匹配（现有产业链范围未覆盖或证据不足）",IF(COUNTIFS('岗位-产业节点关系'!$C$4:$C$709,B857,'岗位-产业节点关系'!$M$4:$M$709,"低")&gt;0,"已匹配，建议复核","已匹配"))</x:f>
        <x:v>未匹配（现有产业链范围未覆盖或证据不足）</x:v>
      </x:c>
      <x:c r="H857" s="26" t="str">
        <x:v>-</x:v>
      </x:c>
      <x:c r="I857" s="26" t="str"/>
      <x:c r="J857" s="26" t="str"/>
      <x:c r="K857" s="26" t="str">
        <x:v>奢侈品业务职位在生活服务与零售行业中扮演着至关重要的角色，它不仅连接了高端品牌与消费者之间的桥梁，还负责塑造品牌形象，提升顾客体验。通过精准把握市场趋势和客户需求，该职位致力于推动公司旗下奢侈品业务的增长，确保产品和服务…</x:v>
      </x:c>
      <x:c r="L857" s="26" t="str">
        <x:v>1. 负责维护和发展与主要奢侈品牌的合作伙伴关系，定期沟通交流以获取最新资讯，确保产品线的更新和优化。 2. 分析市场动态及竞品情况，结合公司战略规划，提出针对性的产品引进、推广建议，扩大品牌影响力。 3. 监控库存水平…</x:v>
      </x:c>
    </x:row>
    <x:row r="858" ht="72" customHeight="1">
      <x:c r="A858" s="25" t="n">
        <x:v>11750</x:v>
      </x:c>
      <x:c r="B858" s="25" t="str">
        <x:v>IC-L3-1007</x:v>
      </x:c>
      <x:c r="C858" s="25" t="str">
        <x:v>安防主管</x:v>
      </x:c>
      <x:c r="D858" s="25" t="str">
        <x:v>4-01-02-03</x:v>
      </x:c>
      <x:c r="E858" s="25" t="str">
        <x:v>商品营业员</x:v>
      </x:c>
      <x:c r="F858" s="28" t="n">
        <x:f>COUNTIF('岗位-产业节点关系'!$C$4:$C$709,B858)</x:f>
        <x:v>0</x:v>
      </x:c>
      <x:c r="G858" s="26" t="str">
        <x:f>IF(F858=0,"未匹配（现有产业链范围未覆盖或证据不足）",IF(COUNTIFS('岗位-产业节点关系'!$C$4:$C$709,B858,'岗位-产业节点关系'!$M$4:$M$709,"低")&gt;0,"已匹配，建议复核","已匹配"))</x:f>
        <x:v>未匹配（现有产业链范围未覆盖或证据不足）</x:v>
      </x:c>
      <x:c r="H858" s="26" t="str">
        <x:v>-</x:v>
      </x:c>
      <x:c r="I858" s="26" t="str"/>
      <x:c r="J858" s="26" t="str"/>
      <x:c r="K858" s="26" t="str">
        <x:v>安防主管是生活服务/零售行业中不可或缺的关键角色，负责维护店铺的安全环境，确保顾客与员工的人身财产安全，同时通过有效的安全管理措施预防和减少损失，提高企业的运营效率。该职位的核心目标在于构建一个全面的安全管理体系，包括但…</x:v>
      </x:c>
      <x:c r="L858" s="26" t="str">
        <x:v>1. 制定和完善店铺的安全管理制度和流程，指导下属员工正确执行，确保各项安全措施落实到位，防范安全事故的发生。 2. 定期组织安全检查，及时发现并处理安全隐患，记录检查结果并向管理层报告，提出改进建议，降低潜在风险。 3…</x:v>
      </x:c>
    </x:row>
    <x:row r="859" ht="72" customHeight="1">
      <x:c r="A859" s="25" t="n">
        <x:v>11751</x:v>
      </x:c>
      <x:c r="B859" s="25" t="str">
        <x:v>IC-L3-1008</x:v>
      </x:c>
      <x:c r="C859" s="25" t="str">
        <x:v>导购管理</x:v>
      </x:c>
      <x:c r="D859" s="25" t="str">
        <x:v>4-01-02-03</x:v>
      </x:c>
      <x:c r="E859" s="25" t="str">
        <x:v>商品营业员</x:v>
      </x:c>
      <x:c r="F859" s="28" t="n">
        <x:f>COUNTIF('岗位-产业节点关系'!$C$4:$C$709,B859)</x:f>
        <x:v>0</x:v>
      </x:c>
      <x:c r="G859" s="26" t="str">
        <x:f>IF(F859=0,"未匹配（现有产业链范围未覆盖或证据不足）",IF(COUNTIFS('岗位-产业节点关系'!$C$4:$C$709,B859,'岗位-产业节点关系'!$M$4:$M$709,"低")&gt;0,"已匹配，建议复核","已匹配"))</x:f>
        <x:v>未匹配（现有产业链范围未覆盖或证据不足）</x:v>
      </x:c>
      <x:c r="H859" s="26" t="str">
        <x:v>-</x:v>
      </x:c>
      <x:c r="I859" s="26" t="str"/>
      <x:c r="J859" s="26" t="str"/>
      <x:c r="K859" s="26" t="str">
        <x:v>导购管理作为零售行业中的关键职位，在促进销售、提升顾客体验方面发挥着不可替代的作用。通过优化导购人员的工作流程和服务质量，该职位能够有效提高顾客满意度和忠诚度，从而推动销售额的增长和品牌口碑的建立。 该职位的核心目标在于…</x:v>
      </x:c>
      <x:c r="L859" s="26" t="str">
        <x:v>1. 制定并执行导购人员的工作计划，确保每位导购员都能准确传达产品信息，提供优质的客户服务，以达到提高顾客满意度的目标。 2. 定期组织导购员进行产品知识和服务技能培训，提升其专业水平，确保团队具备良好的销售技巧和应对突…</x:v>
      </x:c>
    </x:row>
    <x:row r="860" ht="72" customHeight="1">
      <x:c r="A860" s="25" t="n">
        <x:v>11752</x:v>
      </x:c>
      <x:c r="B860" s="25" t="str">
        <x:v>IC-L3-1009</x:v>
      </x:c>
      <x:c r="C860" s="25" t="str">
        <x:v>店员/营业员</x:v>
      </x:c>
      <x:c r="D860" s="25" t="str">
        <x:v>4-01-02-03</x:v>
      </x:c>
      <x:c r="E860" s="25" t="str">
        <x:v>商品营业员</x:v>
      </x:c>
      <x:c r="F860" s="28" t="n">
        <x:f>COUNTIF('岗位-产业节点关系'!$C$4:$C$709,B860)</x:f>
        <x:v>0</x:v>
      </x:c>
      <x:c r="G860" s="26" t="str">
        <x:f>IF(F860=0,"未匹配（现有产业链范围未覆盖或证据不足）",IF(COUNTIFS('岗位-产业节点关系'!$C$4:$C$709,B860,'岗位-产业节点关系'!$M$4:$M$709,"低")&gt;0,"已匹配，建议复核","已匹配"))</x:f>
        <x:v>未匹配（现有产业链范围未覆盖或证据不足）</x:v>
      </x:c>
      <x:c r="H860" s="26" t="str">
        <x:v>-</x:v>
      </x:c>
      <x:c r="I860" s="26" t="str"/>
      <x:c r="J860" s="26" t="str"/>
      <x:c r="K860" s="26" t="str">
        <x:v>店员/营业员是零售业中不可或缺的角色，他们直接面向消费者，不仅代表着企业的形象，还承担着销售与服务的重要职责。通过提供优质的顾客体验，店员能够有效促进商品销售，增强客户忠诚度，进而推动公司业绩增长及品牌形象提升。此外，该…</x:v>
      </x:c>
      <x:c r="L860" s="26" t="str">
        <x:v>1. 负责接待进店顾客，主动询问需求并推荐合适产品，确保每位顾客都能获得满意的服务体验。 2. 定期检查店内商品摆放情况，及时补充库存，保证货架整洁有序，营造良好的购物环境。 3. 熟悉掌握各类商品知识，准确解答顾客咨询…</x:v>
      </x:c>
    </x:row>
    <x:row r="861" ht="72" customHeight="1">
      <x:c r="A861" s="25" t="n">
        <x:v>11753</x:v>
      </x:c>
      <x:c r="B861" s="25" t="str">
        <x:v>IC-L3-1010</x:v>
      </x:c>
      <x:c r="C861" s="25" t="str">
        <x:v>店长助理</x:v>
      </x:c>
      <x:c r="D861" s="25" t="str">
        <x:v>4-01-02-03</x:v>
      </x:c>
      <x:c r="E861" s="25" t="str">
        <x:v>商品营业员</x:v>
      </x:c>
      <x:c r="F861" s="28" t="n">
        <x:f>COUNTIF('岗位-产业节点关系'!$C$4:$C$709,B861)</x:f>
        <x:v>0</x:v>
      </x:c>
      <x:c r="G861" s="26" t="str">
        <x:f>IF(F861=0,"未匹配（现有产业链范围未覆盖或证据不足）",IF(COUNTIFS('岗位-产业节点关系'!$C$4:$C$709,B861,'岗位-产业节点关系'!$M$4:$M$709,"低")&gt;0,"已匹配，建议复核","已匹配"))</x:f>
        <x:v>未匹配（现有产业链范围未覆盖或证据不足）</x:v>
      </x:c>
      <x:c r="H861" s="26" t="str">
        <x:v>-</x:v>
      </x:c>
      <x:c r="I861" s="26" t="str"/>
      <x:c r="J861" s="26" t="str"/>
      <x:c r="K861" s="26" t="str">
        <x:v>店长助理是零售行业中至关重要的角色，作为店长与员工之间的桥梁，不仅支持店长处理日常运营事务，还负责协助店长制定并实施销售策略，确保店铺高效运作。该职位的核心目标在于通过提升顾客满意度和员工绩效，推动店铺业绩增长，同时优化…</x:v>
      </x:c>
      <x:c r="L861" s="26" t="str">
        <x:v>1. 协助店长制定月度、季度及年度销售计划，监控销售数据，分析业绩差异，及时调整销售策略以达成目标。 2. 负责店内人员排班、培训和考核，确保员工具备良好的服务意识和销售技巧，提高团队整体服务水平。 3. 监督商品陈列、…</x:v>
      </x:c>
    </x:row>
    <x:row r="862" ht="72" customHeight="1">
      <x:c r="A862" s="25" t="n">
        <x:v>11754</x:v>
      </x:c>
      <x:c r="B862" s="25" t="str">
        <x:v>IC-L3-1011</x:v>
      </x:c>
      <x:c r="C862" s="25" t="str">
        <x:v>收银主管</x:v>
      </x:c>
      <x:c r="D862" s="25" t="str">
        <x:v>4-01-02-03</x:v>
      </x:c>
      <x:c r="E862" s="25" t="str">
        <x:v>商品营业员</x:v>
      </x:c>
      <x:c r="F862" s="28" t="n">
        <x:f>COUNTIF('岗位-产业节点关系'!$C$4:$C$709,B862)</x:f>
        <x:v>0</x:v>
      </x:c>
      <x:c r="G862" s="26" t="str">
        <x:f>IF(F862=0,"未匹配（现有产业链范围未覆盖或证据不足）",IF(COUNTIFS('岗位-产业节点关系'!$C$4:$C$709,B862,'岗位-产业节点关系'!$M$4:$M$709,"低")&gt;0,"已匹配，建议复核","已匹配"))</x:f>
        <x:v>未匹配（现有产业链范围未覆盖或证据不足）</x:v>
      </x:c>
      <x:c r="H862" s="26" t="str">
        <x:v>-</x:v>
      </x:c>
      <x:c r="I862" s="26" t="str"/>
      <x:c r="J862" s="26" t="str"/>
      <x:c r="K862" s="26" t="str">
        <x:v>收银主管是零售行业中不可或缺的角色，负责监督和管理收银流程，确保销售交易的准确性和高效性。通过优化收银操作流程，提高顾客满意度，为公司创造良好的品牌形象和经济效益。 该职位的核心目标在于确保所有收银活动符合公司标准，减少…</x:v>
      </x:c>
      <x:c r="L862" s="26" t="str">
        <x:v>1. 负责日常收银工作的安排与监督，确保所有收银员遵守公司规定，正确无误地完成每一笔交易。 2. 定期检查收银系统运行状况，及时解决出现的技术故障，保障收银流程顺畅进行。 3. 对收银数据进行统计分析，识别异常情况，制定…</x:v>
      </x:c>
    </x:row>
    <x:row r="863" ht="72" customHeight="1">
      <x:c r="A863" s="25" t="n">
        <x:v>11755</x:v>
      </x:c>
      <x:c r="B863" s="25" t="str">
        <x:v>IC-L3-1012</x:v>
      </x:c>
      <x:c r="C863" s="25" t="str">
        <x:v>熟食加工</x:v>
      </x:c>
      <x:c r="D863" s="25" t="str">
        <x:v>4-01-02-03</x:v>
      </x:c>
      <x:c r="E863" s="25" t="str">
        <x:v>商品营业员</x:v>
      </x:c>
      <x:c r="F863" s="28" t="n">
        <x:f>COUNTIF('岗位-产业节点关系'!$C$4:$C$709,B863)</x:f>
        <x:v>0</x:v>
      </x:c>
      <x:c r="G863" s="26" t="str">
        <x:f>IF(F863=0,"未匹配（现有产业链范围未覆盖或证据不足）",IF(COUNTIFS('岗位-产业节点关系'!$C$4:$C$709,B863,'岗位-产业节点关系'!$M$4:$M$709,"低")&gt;0,"已匹配，建议复核","已匹配"))</x:f>
        <x:v>未匹配（现有产业链范围未覆盖或证据不足）</x:v>
      </x:c>
      <x:c r="H863" s="26" t="str">
        <x:v>-</x:v>
      </x:c>
      <x:c r="I863" s="26" t="str"/>
      <x:c r="J863" s="26" t="str"/>
      <x:c r="K863" s="26" t="str">
        <x:v>熟食加工是生活服务和零售行业中不可或缺的一部分，它不仅满足了消费者对方便快捷食品的需求，同时也丰富了零售业的产品线，提升了顾客体验。作为公司产品线的重要组成部分，该职位的核心目标在于确保所有加工食品的安全、卫生与美味，通…</x:v>
      </x:c>
      <x:c r="L863" s="26" t="str">
        <x:v>1. 负责每日食材验收，确保所使用的原材料新鲜合格，符合食品安全标准。 2. 根据公司制定的食谱和流程规范，进行高效准确的烹饪操作，保证出品质量稳定。 3. 定期参与新产品研发会议，结合市场需求提出创意建议，协助完成新品…</x:v>
      </x:c>
    </x:row>
    <x:row r="864" ht="72" customHeight="1">
      <x:c r="A864" s="25" t="n">
        <x:v>11756</x:v>
      </x:c>
      <x:c r="B864" s="25" t="str">
        <x:v>IC-L3-1013</x:v>
      </x:c>
      <x:c r="C864" s="25" t="str">
        <x:v>珠宝销售顾问</x:v>
      </x:c>
      <x:c r="D864" s="25" t="str">
        <x:v>4-01-02-01</x:v>
      </x:c>
      <x:c r="E864" s="25" t="str">
        <x:v>营销员</x:v>
      </x:c>
      <x:c r="F864" s="28" t="n">
        <x:f>COUNTIF('岗位-产业节点关系'!$C$4:$C$709,B864)</x:f>
        <x:v>0</x:v>
      </x:c>
      <x:c r="G864" s="26" t="str">
        <x:f>IF(F864=0,"未匹配（现有产业链范围未覆盖或证据不足）",IF(COUNTIFS('岗位-产业节点关系'!$C$4:$C$709,B864,'岗位-产业节点关系'!$M$4:$M$709,"低")&gt;0,"已匹配，建议复核","已匹配"))</x:f>
        <x:v>未匹配（现有产业链范围未覆盖或证据不足）</x:v>
      </x:c>
      <x:c r="H864" s="26" t="str">
        <x:v>-</x:v>
      </x:c>
      <x:c r="I864" s="26" t="str"/>
      <x:c r="J864" s="26" t="str"/>
      <x:c r="K864" s="26" t="str">
        <x:v>珠宝销售顾问是生活服务/零售行业中不可或缺的角色，负责通过专业的销售技巧和服务意识，提升顾客购物体验并推动销售额的增长。作为与客户直接接触的一线员工，珠宝销售顾问不仅是商品的推销者，更是品牌形象的传递者，他们通过提供个性…</x:v>
      </x:c>
      <x:c r="L864" s="26" t="str">
        <x:v>1. 了解客户需求，运用专业知识为顾客提供个性化推荐服务，确保顾客满意度达到90%以上。 2. 掌握公司各类珠宝产品的特点及卖点，能够清晰地向顾客介绍产品优势，促成交易。 3. 定期参与培训学习，不断提升个人销售技能和服…</x:v>
      </x:c>
    </x:row>
    <x:row r="865" ht="72" customHeight="1">
      <x:c r="A865" s="25" t="n">
        <x:v>11757</x:v>
      </x:c>
      <x:c r="B865" s="25" t="str">
        <x:v>IC-L3-1014</x:v>
      </x:c>
      <x:c r="C865" s="25" t="str">
        <x:v>生鲜食品加工/处理</x:v>
      </x:c>
      <x:c r="D865" s="25" t="str">
        <x:v>4-01-02-03</x:v>
      </x:c>
      <x:c r="E865" s="25" t="str">
        <x:v>商品营业员</x:v>
      </x:c>
      <x:c r="F865" s="28" t="n">
        <x:f>COUNTIF('岗位-产业节点关系'!$C$4:$C$709,B865)</x:f>
        <x:v>1</x:v>
      </x:c>
      <x:c r="G865" s="26" t="str">
        <x:f>IF(F865=0,"未匹配（现有产业链范围未覆盖或证据不足）",IF(COUNTIFS('岗位-产业节点关系'!$C$4:$C$709,B865,'岗位-产业节点关系'!$M$4:$M$709,"低")&gt;0,"已匹配，建议复核","已匹配"))</x:f>
        <x:v>已匹配</x:v>
      </x:c>
      <x:c r="H865" s="26" t="str">
        <x:v>中</x:v>
      </x:c>
      <x:c r="I865" s="26" t="str">
        <x:v>ICN026</x:v>
      </x:c>
      <x:c r="J865" s="26" t="str">
        <x:v>食品饮料产业链/中游/食品饮料加工制造</x:v>
      </x:c>
      <x:c r="K865" s="26" t="str">
        <x:v>生鲜食品加工/处理是生活服务/零售行业中至关重要的环节之一，该职位直接关系到食品的新鲜度、安全性及最终品质，对于提升顾客满意度和维护品牌形象具有不可替代的作用。作为公司与消费者之间的桥梁，该职位通过确保所有生鲜食品从采购…</x:v>
      </x:c>
      <x:c r="L865" s="26" t="str">
        <x:v>1. 负责接收并检查供应商提供的生鲜食材，确保其新鲜度、卫生状况及规格符合公司要求。 2. 根据不同产品特性制定相应的加工方案，包括清洗、切割、包装等步骤，保证食品在运输过程中的安全与完好。 3. 定期检查库存情况，合理…</x:v>
      </x:c>
    </x:row>
    <x:row r="866" ht="72" customHeight="1">
      <x:c r="A866" s="25" t="n">
        <x:v>11758</x:v>
      </x:c>
      <x:c r="B866" s="25" t="str">
        <x:v>IC-L3-1015</x:v>
      </x:c>
      <x:c r="C866" s="25" t="str">
        <x:v>门店经理/店长</x:v>
      </x:c>
      <x:c r="D866" s="25" t="str">
        <x:v>4-01-02-03</x:v>
      </x:c>
      <x:c r="E866" s="25" t="str">
        <x:v>商品营业员</x:v>
      </x:c>
      <x:c r="F866" s="28" t="n">
        <x:f>COUNTIF('岗位-产业节点关系'!$C$4:$C$709,B866)</x:f>
        <x:v>0</x:v>
      </x:c>
      <x:c r="G866" s="26" t="str">
        <x:f>IF(F866=0,"未匹配（现有产业链范围未覆盖或证据不足）",IF(COUNTIFS('岗位-产业节点关系'!$C$4:$C$709,B866,'岗位-产业节点关系'!$M$4:$M$709,"低")&gt;0,"已匹配，建议复核","已匹配"))</x:f>
        <x:v>未匹配（现有产业链范围未覆盖或证据不足）</x:v>
      </x:c>
      <x:c r="H866" s="26" t="str">
        <x:v>-</x:v>
      </x:c>
      <x:c r="I866" s="26" t="str"/>
      <x:c r="J866" s="26" t="str"/>
      <x:c r="K866" s="26" t="str">
        <x:v>门店经理/店长是零售行业中不可或缺的角色，负责门店的整体运营与管理，确保提供卓越的顾客体验，同时实现销售目标和利润最大化。作为公司前线的领导者，门店经理/店长通过有效的人力资源管理、库存控制及销售策略的制定与执行，对公司…</x:v>
      </x:c>
      <x:c r="L866" s="26" t="str">
        <x:v>1. 负责门店日常运营管理，包括但不限于员工排班、客户服务、商品陈列等工作，以确保店铺高效运转并维持良好的顾客满意度。 2. 制定并实施销售计划，通过分析市场趋势和消费者需求来调整商品结构和服务方式，以达成乃至超越预定的…</x:v>
      </x:c>
    </x:row>
    <x:row r="867" ht="72" customHeight="1">
      <x:c r="A867" s="25" t="n">
        <x:v>11759</x:v>
      </x:c>
      <x:c r="B867" s="25" t="str">
        <x:v>IC-L3-1016</x:v>
      </x:c>
      <x:c r="C867" s="25" t="str">
        <x:v>防损员/内保</x:v>
      </x:c>
      <x:c r="D867" s="25" t="str">
        <x:v>4-01-02-03</x:v>
      </x:c>
      <x:c r="E867" s="25" t="str">
        <x:v>商品营业员</x:v>
      </x:c>
      <x:c r="F867" s="28" t="n">
        <x:f>COUNTIF('岗位-产业节点关系'!$C$4:$C$709,B867)</x:f>
        <x:v>0</x:v>
      </x:c>
      <x:c r="G867" s="26" t="str">
        <x:f>IF(F867=0,"未匹配（现有产业链范围未覆盖或证据不足）",IF(COUNTIFS('岗位-产业节点关系'!$C$4:$C$709,B867,'岗位-产业节点关系'!$M$4:$M$709,"低")&gt;0,"已匹配，建议复核","已匹配"))</x:f>
        <x:v>未匹配（现有产业链范围未覆盖或证据不足）</x:v>
      </x:c>
      <x:c r="H867" s="26" t="str">
        <x:v>-</x:v>
      </x:c>
      <x:c r="I867" s="26" t="str"/>
      <x:c r="J867" s="26" t="str"/>
      <x:c r="K867" s="26" t="str">
        <x:v>防损员/内保是生活服务与零售行业中不可或缺的角色之一。他们主要负责维护店铺的安全环境，防止商品被盗和损失，确保顾客和员工的人身安全。通过有效预防和应对各种安全隐患，防损员不仅能够减少公司的经济损失，还能提升品牌形象，增强…</x:v>
      </x:c>
      <x:c r="L867" s="26" t="str">
        <x:v>1. 负责监控店内各区域的安全状况，及时发现并处理潜在风险，保障营业场所秩序良好。 2. 定期检查防盗设备（如摄像头、报警系统）运行状态，确保其正常运作，提高防范水平。 3. 对可疑行为进行观察与跟踪，必要时采取措施制止…</x:v>
      </x:c>
    </x:row>
    <x:row r="868" ht="72" customHeight="1">
      <x:c r="A868" s="25" t="n">
        <x:v>11760</x:v>
      </x:c>
      <x:c r="B868" s="25" t="str">
        <x:v>IC-L3-1017</x:v>
      </x:c>
      <x:c r="C868" s="25" t="str">
        <x:v>陈列管理</x:v>
      </x:c>
      <x:c r="D868" s="25" t="str">
        <x:v>4-01-02-03</x:v>
      </x:c>
      <x:c r="E868" s="25" t="str">
        <x:v>商品营业员</x:v>
      </x:c>
      <x:c r="F868" s="28" t="n">
        <x:f>COUNTIF('岗位-产业节点关系'!$C$4:$C$709,B868)</x:f>
        <x:v>0</x:v>
      </x:c>
      <x:c r="G868" s="26" t="str">
        <x:f>IF(F868=0,"未匹配（现有产业链范围未覆盖或证据不足）",IF(COUNTIFS('岗位-产业节点关系'!$C$4:$C$709,B868,'岗位-产业节点关系'!$M$4:$M$709,"低")&gt;0,"已匹配，建议复核","已匹配"))</x:f>
        <x:v>未匹配（现有产业链范围未覆盖或证据不足）</x:v>
      </x:c>
      <x:c r="H868" s="26" t="str">
        <x:v>-</x:v>
      </x:c>
      <x:c r="I868" s="26" t="str"/>
      <x:c r="J868" s="26" t="str"/>
      <x:c r="K868" s="26" t="str">
        <x:v>陈列管理是生活服务与零售行业中不可或缺的角色，负责创造吸引顾客的视觉展示，通过精心设计的商品布局提升品牌形象和销售业绩。该职位不仅需要具备良好的审美观，还需要深入了解消费者心理及市场趋势，以确保商品能够有效地传达其价值并…</x:v>
      </x:c>
      <x:c r="L868" s="26" t="str">
        <x:v>1. 负责店铺内商品的陈列设计与实施，确保符合品牌形象及季节主题，吸引顾客注意并促进销售。 2. 定期评估现有陈列效果，收集顾客反馈，及时调整优化方案，提高顾客满意度和购物体验。 3. 与销售团队密切配合，分析销售数据，…</x:v>
      </x:c>
    </x:row>
    <x:row r="869" ht="72" customHeight="1">
      <x:c r="A869" s="25" t="n">
        <x:v>11761</x:v>
      </x:c>
      <x:c r="B869" s="25" t="str">
        <x:v>IC-L3-1018</x:v>
      </x:c>
      <x:c r="C869" s="25" t="str">
        <x:v>培训产品开发</x:v>
      </x:c>
      <x:c r="D869" s="25" t="str">
        <x:v>4-07-03-05</x:v>
      </x:c>
      <x:c r="E869" s="25" t="str">
        <x:v>职业培训师</x:v>
      </x:c>
      <x:c r="F869" s="28" t="n">
        <x:f>COUNTIF('岗位-产业节点关系'!$C$4:$C$709,B869)</x:f>
        <x:v>0</x:v>
      </x:c>
      <x:c r="G869" s="26" t="str">
        <x:f>IF(F869=0,"未匹配（现有产业链范围未覆盖或证据不足）",IF(COUNTIFS('岗位-产业节点关系'!$C$4:$C$709,B869,'岗位-产业节点关系'!$M$4:$M$709,"低")&gt;0,"已匹配，建议复核","已匹配"))</x:f>
        <x:v>未匹配（现有产业链范围未覆盖或证据不足）</x:v>
      </x:c>
      <x:c r="H869" s="26" t="str">
        <x:v>-</x:v>
      </x:c>
      <x:c r="I869" s="26" t="str"/>
      <x:c r="J869" s="26" t="str"/>
      <x:c r="K869" s="26" t="str">
        <x:v>培训产品开发是科研/教育/培训行业中不可或缺的一环，它负责将理论知识转化为实践技能，帮助学员或客户实现个人成长与职业发展。作为培训产品开发人员，不仅需要具备深厚的专业背景，还需要有敏锐的市场洞察力，以确保所开发的产品能够…</x:v>
      </x:c>
      <x:c r="L869" s="26" t="str">
        <x:v>1. 负责调研分析目标市场及潜在客户需求，制定符合公司战略目标的培训产品开发计划。 2. 组织跨部门团队会议，协调资源完成课程内容的设计、制作与审核工作，确保产品质量达到预期标准。 3. 定期评估现有培训项目的执行效果，…</x:v>
      </x:c>
    </x:row>
    <x:row r="870" ht="72" customHeight="1">
      <x:c r="A870" s="25" t="n">
        <x:v>11762</x:v>
      </x:c>
      <x:c r="B870" s="25" t="str">
        <x:v>IC-L3-1019</x:v>
      </x:c>
      <x:c r="C870" s="25" t="str">
        <x:v>培训策划</x:v>
      </x:c>
      <x:c r="D870" s="25" t="str">
        <x:v>4-07-03-05</x:v>
      </x:c>
      <x:c r="E870" s="25" t="str">
        <x:v>职业培训师</x:v>
      </x:c>
      <x:c r="F870" s="28" t="n">
        <x:f>COUNTIF('岗位-产业节点关系'!$C$4:$C$709,B870)</x:f>
        <x:v>0</x:v>
      </x:c>
      <x:c r="G870" s="26" t="str">
        <x:f>IF(F870=0,"未匹配（现有产业链范围未覆盖或证据不足）",IF(COUNTIFS('岗位-产业节点关系'!$C$4:$C$709,B870,'岗位-产业节点关系'!$M$4:$M$709,"低")&gt;0,"已匹配，建议复核","已匹配"))</x:f>
        <x:v>未匹配（现有产业链范围未覆盖或证据不足）</x:v>
      </x:c>
      <x:c r="H870" s="26" t="str">
        <x:v>-</x:v>
      </x:c>
      <x:c r="I870" s="26" t="str"/>
      <x:c r="J870" s="26" t="str"/>
      <x:c r="K870" s="26" t="str">
        <x:v>培训策划在科研、教育与培训行业中扮演着至关重要的角色。作为连接理论知识与实践技能的桥梁，培训策划不仅负责设计和实施各类培训项目，还致力于提升学员的专业素养及职业技能，以满足市场对高素质人才的需求。通过精准分析组织需求、制…</x:v>
      </x:c>
      <x:c r="L870" s="26" t="str">
        <x:v>1. 负责调研分析公司内外部培训需求，结合市场动态及公司战略规划，制定年度培训计划，确保培训内容符合实际需要。 2. 设计开发多样化的培训课程，涵盖新员工入职培训、在职员工技能提升以及管理层领导力培养等多个方面，提高培训…</x:v>
      </x:c>
    </x:row>
    <x:row r="871" ht="72" customHeight="1">
      <x:c r="A871" s="25" t="n">
        <x:v>11763</x:v>
      </x:c>
      <x:c r="B871" s="25" t="str">
        <x:v>IC-L3-1020</x:v>
      </x:c>
      <x:c r="C871" s="25" t="str">
        <x:v>培训督导</x:v>
      </x:c>
      <x:c r="D871" s="25" t="str">
        <x:v>4-07-03-05</x:v>
      </x:c>
      <x:c r="E871" s="25" t="str">
        <x:v>职业培训师</x:v>
      </x:c>
      <x:c r="F871" s="28" t="n">
        <x:f>COUNTIF('岗位-产业节点关系'!$C$4:$C$709,B871)</x:f>
        <x:v>0</x:v>
      </x:c>
      <x:c r="G871" s="26" t="str">
        <x:f>IF(F871=0,"未匹配（现有产业链范围未覆盖或证据不足）",IF(COUNTIFS('岗位-产业节点关系'!$C$4:$C$709,B871,'岗位-产业节点关系'!$M$4:$M$709,"低")&gt;0,"已匹配，建议复核","已匹配"))</x:f>
        <x:v>未匹配（现有产业链范围未覆盖或证据不足）</x:v>
      </x:c>
      <x:c r="H871" s="26" t="str">
        <x:v>-</x:v>
      </x:c>
      <x:c r="I871" s="26" t="str"/>
      <x:c r="J871" s="26" t="str"/>
      <x:c r="K871" s="26" t="str">
        <x:v>培训督导是专门从事培训质量监控与效果评估的专业人员。该职位的核心目标是通过监督培训实施过程，确保培训项目高效达成预期目标。在日常工作中，需要进行培训现场督导、教学质量评估、培训效果跟踪及改进建议反馈等工作。</x:v>
      </x:c>
      <x:c r="L871" s="26" t="str">
        <x:v>1. 制定培训计划 2. 监督培训实施 3. 评估培训效果 4. 优化培训流程 5. 指导讲师工作 6. 管理培训档案</x:v>
      </x:c>
    </x:row>
    <x:row r="872" ht="72" customHeight="1">
      <x:c r="A872" s="25" t="n">
        <x:v>11764</x:v>
      </x:c>
      <x:c r="B872" s="25" t="str">
        <x:v>IC-L3-1021</x:v>
      </x:c>
      <x:c r="C872" s="25" t="str">
        <x:v>体育老师</x:v>
      </x:c>
      <x:c r="D872" s="25" t="str">
        <x:v>2-09-07-01</x:v>
      </x:c>
      <x:c r="E872" s="25" t="str">
        <x:v>教练员</x:v>
      </x:c>
      <x:c r="F872" s="28" t="n">
        <x:f>COUNTIF('岗位-产业节点关系'!$C$4:$C$709,B872)</x:f>
        <x:v>0</x:v>
      </x:c>
      <x:c r="G872" s="26" t="str">
        <x:f>IF(F872=0,"未匹配（现有产业链范围未覆盖或证据不足）",IF(COUNTIFS('岗位-产业节点关系'!$C$4:$C$709,B872,'岗位-产业节点关系'!$M$4:$M$709,"低")&gt;0,"已匹配，建议复核","已匹配"))</x:f>
        <x:v>未匹配（现有产业链范围未覆盖或证据不足）</x:v>
      </x:c>
      <x:c r="H872" s="26" t="str">
        <x:v>-</x:v>
      </x:c>
      <x:c r="I872" s="26" t="str"/>
      <x:c r="J872" s="26" t="str"/>
      <x:c r="K872" s="26" t="str">
        <x:v>体育老师是科研、教育及培训行业中不可或缺的角色之一，他们不仅肩负着传授体育知识与技能的责任，还承担着培养学生健康体魄、塑造良好性格的重要使命。通过组织丰富多彩的体育活动，体育老师能够激发学生对运动的兴趣，促进其身心健康发…</x:v>
      </x:c>
      <x:c r="L872" s="26" t="str">
        <x:v>1. 负责制定并实施学年体育教学计划，确保每位学生都能掌握基本的体育技能，增强体质。 2. 组织开展校内外各类体育赛事，选拔训练优秀运动员，代表学校参加各级比赛，提高学校知名度。 3. 定期评估学生的身体素质状况，针对不…</x:v>
      </x:c>
    </x:row>
    <x:row r="873" ht="72" customHeight="1">
      <x:c r="A873" s="25" t="n">
        <x:v>11765</x:v>
      </x:c>
      <x:c r="B873" s="25" t="str">
        <x:v>IC-L3-1022</x:v>
      </x:c>
      <x:c r="C873" s="25" t="str">
        <x:v>其他外语老师</x:v>
      </x:c>
      <x:c r="D873" s="25" t="str">
        <x:v>2-08-02-01</x:v>
      </x:c>
      <x:c r="E873" s="25" t="str">
        <x:v>高级中学教师</x:v>
      </x:c>
      <x:c r="F873" s="28" t="n">
        <x:f>COUNTIF('岗位-产业节点关系'!$C$4:$C$709,B873)</x:f>
        <x:v>0</x:v>
      </x:c>
      <x:c r="G873" s="26" t="str">
        <x:f>IF(F873=0,"未匹配（现有产业链范围未覆盖或证据不足）",IF(COUNTIFS('岗位-产业节点关系'!$C$4:$C$709,B873,'岗位-产业节点关系'!$M$4:$M$709,"低")&gt;0,"已匹配，建议复核","已匹配"))</x:f>
        <x:v>未匹配（现有产业链范围未覆盖或证据不足）</x:v>
      </x:c>
      <x:c r="H873" s="26" t="str">
        <x:v>-</x:v>
      </x:c>
      <x:c r="I873" s="26" t="str"/>
      <x:c r="J873" s="26" t="str"/>
      <x:c r="K873" s="26" t="str">
        <x:v>其他外语老师在科研/教育/培训行业中扮演着至关重要的角色，他们不仅是语言知识的传播者，更是文化交流的桥梁。通过教授非英语的其他外语课程，如法语、德语、日语等，帮助学生开拓国际视野，增强跨文化沟通能力。该职位的核心目标是提…</x:v>
      </x:c>
      <x:c r="L873" s="26" t="str">
        <x:v>1. 设计并实施符合学生年龄特点及认知水平的其他外语课程，确保教学质量达到预期标准。 2. 采用多种教学方法激发学生的学习兴趣，鼓励学生积极参与课堂讨论，提高其口语表达能力和听力理解能力。 3. 定期对学生的学习进度进行…</x:v>
      </x:c>
    </x:row>
    <x:row r="874" ht="72" customHeight="1">
      <x:c r="A874" s="25" t="n">
        <x:v>11766</x:v>
      </x:c>
      <x:c r="B874" s="25" t="str">
        <x:v>IC-L3-1023</x:v>
      </x:c>
      <x:c r="C874" s="25" t="str">
        <x:v>兼职老师</x:v>
      </x:c>
      <x:c r="D874" s="25" t="str">
        <x:v>2-08-02-01</x:v>
      </x:c>
      <x:c r="E874" s="25" t="str">
        <x:v>高级中学教师</x:v>
      </x:c>
      <x:c r="F874" s="28" t="n">
        <x:f>COUNTIF('岗位-产业节点关系'!$C$4:$C$709,B874)</x:f>
        <x:v>0</x:v>
      </x:c>
      <x:c r="G874" s="26" t="str">
        <x:f>IF(F874=0,"未匹配（现有产业链范围未覆盖或证据不足）",IF(COUNTIFS('岗位-产业节点关系'!$C$4:$C$709,B874,'岗位-产业节点关系'!$M$4:$M$709,"低")&gt;0,"已匹配，建议复核","已匹配"))</x:f>
        <x:v>未匹配（现有产业链范围未覆盖或证据不足）</x:v>
      </x:c>
      <x:c r="H874" s="26" t="str">
        <x:v>-</x:v>
      </x:c>
      <x:c r="I874" s="26" t="str"/>
      <x:c r="J874" s="26" t="str"/>
      <x:c r="K874" s="26" t="str">
        <x:v>兼职老师在科研/教育/培训行业中扮演着不可或缺的角色，他们不仅能够灵活地支持学校或培训机构的教学需求，还能够为学生提供高质量的个性化指导。通过他们的专业知识和教学技能，兼职老师能够帮助机构实现教育目标，提高教学质量，同时…</x:v>
      </x:c>
      <x:c r="L874" s="26" t="str">
        <x:v>1. 根据教学大纲要求，设计并实施有效的课程方案，确保学生能够掌握所需知识与技能。 2. 采用多样化的教学方法和技术手段，激发学生学习兴趣，提升课堂参与度。 3. 定期对学生进行学业评估，及时反馈成绩情况，指导学生改进学…</x:v>
      </x:c>
    </x:row>
    <x:row r="875" ht="72" customHeight="1">
      <x:c r="A875" s="25" t="n">
        <x:v>11767</x:v>
      </x:c>
      <x:c r="B875" s="25" t="str">
        <x:v>IC-L3-1024</x:v>
      </x:c>
      <x:c r="C875" s="25" t="str">
        <x:v>初中教师</x:v>
      </x:c>
      <x:c r="D875" s="25" t="str">
        <x:v>2-08-02-01</x:v>
      </x:c>
      <x:c r="E875" s="25" t="str">
        <x:v>高级中学教师</x:v>
      </x:c>
      <x:c r="F875" s="28" t="n">
        <x:f>COUNTIF('岗位-产业节点关系'!$C$4:$C$709,B875)</x:f>
        <x:v>0</x:v>
      </x:c>
      <x:c r="G875" s="26" t="str">
        <x:f>IF(F875=0,"未匹配（现有产业链范围未覆盖或证据不足）",IF(COUNTIFS('岗位-产业节点关系'!$C$4:$C$709,B875,'岗位-产业节点关系'!$M$4:$M$709,"低")&gt;0,"已匹配，建议复核","已匹配"))</x:f>
        <x:v>未匹配（现有产业链范围未覆盖或证据不足）</x:v>
      </x:c>
      <x:c r="H875" s="26" t="str">
        <x:v>-</x:v>
      </x:c>
      <x:c r="I875" s="26" t="str"/>
      <x:c r="J875" s="26" t="str"/>
      <x:c r="K875" s="26" t="str">
        <x:v>初中教师是科研/教育/培训行业中不可或缺的一部分，他们不仅是学生学习过程中的引导者，也是学生成长道路上的重要导师。作为连接小学生与高中生之间的桥梁，初中教师在学生形成稳定的学习习惯和价值观方面发挥着至关重要的作用。 初中…</x:v>
      </x:c>
      <x:c r="L875" s="26" t="str">
        <x:v>1. 负责所教授科目的日常授课工作，确保教学质量达到或超过国家规定的标准。 2. 定期组织课堂讨论和实践活动，鼓励学生积极参与，以增强他们的实际操作能力和创新意识。 3. 根据学生的学习情况制定个性化辅导计划，及时发现并…</x:v>
      </x:c>
    </x:row>
    <x:row r="876" ht="72" customHeight="1">
      <x:c r="A876" s="25" t="n">
        <x:v>11768</x:v>
      </x:c>
      <x:c r="B876" s="25" t="str">
        <x:v>IC-L3-1025</x:v>
      </x:c>
      <x:c r="C876" s="25" t="str">
        <x:v>化学老师</x:v>
      </x:c>
      <x:c r="D876" s="25" t="str">
        <x:v>2-08-02-01</x:v>
      </x:c>
      <x:c r="E876" s="25" t="str">
        <x:v>高级中学教师</x:v>
      </x:c>
      <x:c r="F876" s="28" t="n">
        <x:f>COUNTIF('岗位-产业节点关系'!$C$4:$C$709,B876)</x:f>
        <x:v>0</x:v>
      </x:c>
      <x:c r="G876" s="26" t="str">
        <x:f>IF(F876=0,"未匹配（现有产业链范围未覆盖或证据不足）",IF(COUNTIFS('岗位-产业节点关系'!$C$4:$C$709,B876,'岗位-产业节点关系'!$M$4:$M$709,"低")&gt;0,"已匹配，建议复核","已匹配"))</x:f>
        <x:v>未匹配（现有产业链范围未覆盖或证据不足）</x:v>
      </x:c>
      <x:c r="H876" s="26" t="str">
        <x:v>-</x:v>
      </x:c>
      <x:c r="I876" s="26" t="str"/>
      <x:c r="J876" s="26" t="str"/>
      <x:c r="K876" s="26" t="str">
        <x:v>化学老师是科研/教育/培训行业中不可或缺的角色之一，他们通过传授化学知识，激发学生对科学的兴趣，培养学生的探索精神与实践能力，为国家和社会培养未来的科学家和技术人才。化学老师不仅是学科知识的传播者，更是学生成长道路上的引…</x:v>
      </x:c>
      <x:c r="L876" s="26" t="str">
        <x:v>1. 制定并执行化学课程的教学计划，确保所有学生都能理解并掌握关键概念，达到预期的学习成果。 2. 设计并实施安全有效的实验室操作，指导学生进行化学实验，培养学生的动手能力和科学探究意识。 3. 定期评估学生的学习进度，…</x:v>
      </x:c>
    </x:row>
    <x:row r="877" ht="72" customHeight="1">
      <x:c r="A877" s="25" t="n">
        <x:v>11769</x:v>
      </x:c>
      <x:c r="B877" s="25" t="str">
        <x:v>IC-L3-1026</x:v>
      </x:c>
      <x:c r="C877" s="25" t="str">
        <x:v>在线辅导老师</x:v>
      </x:c>
      <x:c r="D877" s="25" t="str">
        <x:v>2-08-02-01</x:v>
      </x:c>
      <x:c r="E877" s="25" t="str">
        <x:v>高级中学教师</x:v>
      </x:c>
      <x:c r="F877" s="28" t="n">
        <x:f>COUNTIF('岗位-产业节点关系'!$C$4:$C$709,B877)</x:f>
        <x:v>0</x:v>
      </x:c>
      <x:c r="G877" s="26" t="str">
        <x:f>IF(F877=0,"未匹配（现有产业链范围未覆盖或证据不足）",IF(COUNTIFS('岗位-产业节点关系'!$C$4:$C$709,B877,'岗位-产业节点关系'!$M$4:$M$709,"低")&gt;0,"已匹配，建议复核","已匹配"))</x:f>
        <x:v>未匹配（现有产业链范围未覆盖或证据不足）</x:v>
      </x:c>
      <x:c r="H877" s="26" t="str">
        <x:v>-</x:v>
      </x:c>
      <x:c r="I877" s="26" t="str"/>
      <x:c r="J877" s="26" t="str"/>
      <x:c r="K877" s="26" t="str">
        <x:v>在线辅导老师是科研/教育/培训行业中不可或缺的角色之一，随着互联网技术的发展，在线教育已成为一种新的趋势。在线辅导老师通过网络平台提供个性化的教学服务，满足了学生多样化的学习需求，对于推动教育资源公平分配具有重要意义。 …</x:v>
      </x:c>
      <x:c r="L877" s="26" t="str">
        <x:v>1. 依据学生实际情况，设计个性化辅导方案，确保每个学生都能获得最适合自己的学习路径。 2. 利用视频会议软件进行一对一或小组授课，保证课堂氛围活跃有序，使学生积极参与到学习过程中。 3. 定期与家长沟通，反馈学生的学习…</x:v>
      </x:c>
    </x:row>
    <x:row r="878" ht="72" customHeight="1">
      <x:c r="A878" s="25" t="n">
        <x:v>11770</x:v>
      </x:c>
      <x:c r="B878" s="25" t="str">
        <x:v>IC-L3-1027</x:v>
      </x:c>
      <x:c r="C878" s="25" t="str">
        <x:v>大学教授</x:v>
      </x:c>
      <x:c r="D878" s="25" t="str">
        <x:v>2-08-01-01</x:v>
      </x:c>
      <x:c r="E878" s="25" t="str">
        <x:v>普通高等学校教师</x:v>
      </x:c>
      <x:c r="F878" s="28" t="n">
        <x:f>COUNTIF('岗位-产业节点关系'!$C$4:$C$709,B878)</x:f>
        <x:v>0</x:v>
      </x:c>
      <x:c r="G878" s="26" t="str">
        <x:f>IF(F878=0,"未匹配（现有产业链范围未覆盖或证据不足）",IF(COUNTIFS('岗位-产业节点关系'!$C$4:$C$709,B878,'岗位-产业节点关系'!$M$4:$M$709,"低")&gt;0,"已匹配，建议复核","已匹配"))</x:f>
        <x:v>未匹配（现有产业链范围未覆盖或证据不足）</x:v>
      </x:c>
      <x:c r="H878" s="26" t="str">
        <x:v>-</x:v>
      </x:c>
      <x:c r="I878" s="26" t="str"/>
      <x:c r="J878" s="26" t="str"/>
      <x:c r="K878" s="26" t="str">
        <x:v>大学教授在科研/教育/培训行业中扮演着至关重要的角色，他们是学术研究的领导者，也是学生知识与技能成长的重要引导者。通过高质量的教学和前沿的研究成果，他们不仅能够激发学生的创新思维和实践能力，还能够促进学科领域的发展，提升…</x:v>
      </x:c>
      <x:c r="L878" s="26" t="str">
        <x:v>1. 负责相关课程的教学设计与实施，确保教学质量达到甚至超过预期标准。 2. 开展原创性的科学研究，定期发表高水平论文，争取并有效管理各类科研基金。 3. 积极参与国内外学术会议，建立广泛的合作网络，提高自身及所在机构的…</x:v>
      </x:c>
    </x:row>
    <x:row r="879" ht="72" customHeight="1">
      <x:c r="A879" s="25" t="n">
        <x:v>11771</x:v>
      </x:c>
      <x:c r="B879" s="25" t="str">
        <x:v>IC-L3-1028</x:v>
      </x:c>
      <x:c r="C879" s="25" t="str">
        <x:v>家教</x:v>
      </x:c>
      <x:c r="D879" s="25" t="str">
        <x:v>2-08-03-00</x:v>
      </x:c>
      <x:c r="E879" s="25" t="str">
        <x:v>幼儿园教师</x:v>
      </x:c>
      <x:c r="F879" s="28" t="n">
        <x:f>COUNTIF('岗位-产业节点关系'!$C$4:$C$709,B879)</x:f>
        <x:v>0</x:v>
      </x:c>
      <x:c r="G879" s="26" t="str">
        <x:f>IF(F879=0,"未匹配（现有产业链范围未覆盖或证据不足）",IF(COUNTIFS('岗位-产业节点关系'!$C$4:$C$709,B879,'岗位-产业节点关系'!$M$4:$M$709,"低")&gt;0,"已匹配，建议复核","已匹配"))</x:f>
        <x:v>未匹配（现有产业链范围未覆盖或证据不足）</x:v>
      </x:c>
      <x:c r="H879" s="26" t="str">
        <x:v>-</x:v>
      </x:c>
      <x:c r="I879" s="26" t="str"/>
      <x:c r="J879" s="26" t="str"/>
      <x:c r="K879" s="26" t="str">
        <x:v>在家教这一职位上，个人将扮演着学生学习道路上的重要指导者和支持者的角色。随着社会对教育质量要求的提高，家教不仅能够帮助学生巩固课堂知识，还能激发他们的学习兴趣，培养良好的学习习惯，是现代教育体系中不可或缺的一部分。 家教…</x:v>
      </x:c>
      <x:c r="L879" s="26" t="str">
        <x:v>1. 根据学生具体情况制定个性化的教学方案，涵盖知识点梳理、解题技巧训练等内容，旨在提高学生的学习效率和成绩。 2. 定期与学生及家长进行沟通，反馈学习进展，调整教学策略，确保教学活动符合家庭期望。 3. 利用专业知识解…</x:v>
      </x:c>
    </x:row>
    <x:row r="880" ht="72" customHeight="1">
      <x:c r="A880" s="25" t="n">
        <x:v>11772</x:v>
      </x:c>
      <x:c r="B880" s="25" t="str">
        <x:v>IC-L3-1029</x:v>
      </x:c>
      <x:c r="C880" s="25" t="str">
        <x:v>小学教师</x:v>
      </x:c>
      <x:c r="D880" s="25" t="str">
        <x:v>2-08-02-01</x:v>
      </x:c>
      <x:c r="E880" s="25" t="str">
        <x:v>高级中学教师</x:v>
      </x:c>
      <x:c r="F880" s="28" t="n">
        <x:f>COUNTIF('岗位-产业节点关系'!$C$4:$C$709,B880)</x:f>
        <x:v>0</x:v>
      </x:c>
      <x:c r="G880" s="26" t="str">
        <x:f>IF(F880=0,"未匹配（现有产业链范围未覆盖或证据不足）",IF(COUNTIFS('岗位-产业节点关系'!$C$4:$C$709,B880,'岗位-产业节点关系'!$M$4:$M$709,"低")&gt;0,"已匹配，建议复核","已匹配"))</x:f>
        <x:v>未匹配（现有产业链范围未覆盖或证据不足）</x:v>
      </x:c>
      <x:c r="H880" s="26" t="str">
        <x:v>-</x:v>
      </x:c>
      <x:c r="I880" s="26" t="str"/>
      <x:c r="J880" s="26" t="str"/>
      <x:c r="K880" s="26" t="str">
        <x:v>小学教师是教育领域中不可或缺的角色，承担着培养学生基础学科知识与社会技能的重要任务。他们不仅传授知识，更肩负着塑造学生人格、激发学生潜能的责任，是学生成长道路上的第一位导师。 该职位的核心目标在于通过有效的教学方法，确保…</x:v>
      </x:c>
      <x:c r="L880" s="26" t="str">
        <x:v>1. 制定并执行符合国家课程标准的教学计划，确保课堂教学活动有序开展。 2. 采用多样化的教学方法，激发学生的学习兴趣，提升学生的学习效率。 3. 定期评估学生的学习成果，及时反馈给学生及家长，指导学生改进学习方法。 4…</x:v>
      </x:c>
    </x:row>
    <x:row r="881" ht="72" customHeight="1">
      <x:c r="A881" s="25" t="n">
        <x:v>11773</x:v>
      </x:c>
      <x:c r="B881" s="25" t="str">
        <x:v>IC-L3-1030</x:v>
      </x:c>
      <x:c r="C881" s="25" t="str">
        <x:v>幼教</x:v>
      </x:c>
      <x:c r="D881" s="25" t="str">
        <x:v>2-08-03-00</x:v>
      </x:c>
      <x:c r="E881" s="25" t="str">
        <x:v>幼儿园教师</x:v>
      </x:c>
      <x:c r="F881" s="28" t="n">
        <x:f>COUNTIF('岗位-产业节点关系'!$C$4:$C$709,B881)</x:f>
        <x:v>0</x:v>
      </x:c>
      <x:c r="G881" s="26" t="str">
        <x:f>IF(F881=0,"未匹配（现有产业链范围未覆盖或证据不足）",IF(COUNTIFS('岗位-产业节点关系'!$C$4:$C$709,B881,'岗位-产业节点关系'!$M$4:$M$709,"低")&gt;0,"已匹配，建议复核","已匹配"))</x:f>
        <x:v>未匹配（现有产业链范围未覆盖或证据不足）</x:v>
      </x:c>
      <x:c r="H881" s="26" t="str">
        <x:v>-</x:v>
      </x:c>
      <x:c r="I881" s="26" t="str"/>
      <x:c r="J881" s="26" t="str"/>
      <x:c r="K881" s="26" t="str">
        <x:v>幼儿教师是科研/教育/培训行业中不可或缺的一部分，他们不仅是孩子们的第一任老师，更是孩子成长道路上的重要引路人。在孩子性格形成的关键时期，幼儿教师通过科学的方法和丰富的经验，帮助孩子们建立正确的价值观和世界观，促进其全面…</x:v>
      </x:c>
      <x:c r="L881" s="26" t="str">
        <x:v>1. 根据幼儿身心发展特点设计并组织丰富多彩的教学活动，如游戏、绘画、音乐等，激发学生学习兴趣。 2. 观察记录幼儿在日常生活中的表现，定期向家长反馈孩子的发展状况，提出合理建议。 3. 与同事配合完成班级管理工作，维护…</x:v>
      </x:c>
    </x:row>
    <x:row r="882" ht="72" customHeight="1">
      <x:c r="A882" s="25" t="n">
        <x:v>11774</x:v>
      </x:c>
      <x:c r="B882" s="25" t="str">
        <x:v>IC-L3-1031</x:v>
      </x:c>
      <x:c r="C882" s="25" t="str">
        <x:v>数学老师</x:v>
      </x:c>
      <x:c r="D882" s="25" t="str">
        <x:v>2-08-02-01</x:v>
      </x:c>
      <x:c r="E882" s="25" t="str">
        <x:v>高级中学教师</x:v>
      </x:c>
      <x:c r="F882" s="28" t="n">
        <x:f>COUNTIF('岗位-产业节点关系'!$C$4:$C$709,B882)</x:f>
        <x:v>0</x:v>
      </x:c>
      <x:c r="G882" s="26" t="str">
        <x:f>IF(F882=0,"未匹配（现有产业链范围未覆盖或证据不足）",IF(COUNTIFS('岗位-产业节点关系'!$C$4:$C$709,B882,'岗位-产业节点关系'!$M$4:$M$709,"低")&gt;0,"已匹配，建议复核","已匹配"))</x:f>
        <x:v>未匹配（现有产业链范围未覆盖或证据不足）</x:v>
      </x:c>
      <x:c r="H882" s="26" t="str">
        <x:v>-</x:v>
      </x:c>
      <x:c r="I882" s="26" t="str"/>
      <x:c r="J882" s="26" t="str"/>
      <x:c r="K882" s="26" t="str">
        <x:v>数学老师是科研、教育与培训行业中不可或缺的专业人才，他们不仅承担着传授知识的重要使命，还肩负着激发学生学习兴趣、培养逻辑思维能力的责任。作为连接理论与实践的桥梁，优秀的数学老师能够通过创新的教学方法提高教学质量，帮助学生…</x:v>
      </x:c>
      <x:c r="L882" s="26" t="str">
        <x:v>1. 制定并实施符合课程标准的数学教学计划，确保学生能够系统地学习和理解数学概念及原理。 2. 采用多样化的教学手段和评价方式，如小组讨论、案例分析等，激发学生的学习兴趣，提高课堂互动性和有效性。 3. 定期组织测验和考…</x:v>
      </x:c>
    </x:row>
    <x:row r="883" ht="72" customHeight="1">
      <x:c r="A883" s="25" t="n">
        <x:v>11775</x:v>
      </x:c>
      <x:c r="B883" s="25" t="str">
        <x:v>IC-L3-1032</x:v>
      </x:c>
      <x:c r="C883" s="25" t="str">
        <x:v>日语老师</x:v>
      </x:c>
      <x:c r="D883" s="25" t="str">
        <x:v>2-08-02-01</x:v>
      </x:c>
      <x:c r="E883" s="25" t="str">
        <x:v>高级中学教师</x:v>
      </x:c>
      <x:c r="F883" s="28" t="n">
        <x:f>COUNTIF('岗位-产业节点关系'!$C$4:$C$709,B883)</x:f>
        <x:v>0</x:v>
      </x:c>
      <x:c r="G883" s="26" t="str">
        <x:f>IF(F883=0,"未匹配（现有产业链范围未覆盖或证据不足）",IF(COUNTIFS('岗位-产业节点关系'!$C$4:$C$709,B883,'岗位-产业节点关系'!$M$4:$M$709,"低")&gt;0,"已匹配，建议复核","已匹配"))</x:f>
        <x:v>未匹配（现有产业链范围未覆盖或证据不足）</x:v>
      </x:c>
      <x:c r="H883" s="26" t="str">
        <x:v>-</x:v>
      </x:c>
      <x:c r="I883" s="26" t="str"/>
      <x:c r="J883" s="26" t="str"/>
      <x:c r="K883" s="26" t="str">
        <x:v>日语老师是科研/教育/培训行业中不可或缺的专业人才，他们不仅承担着传授语言知识的责任，更是文化桥梁的建设者。通过他们的教学，学生能够更好地理解日本的语言与文化，从而促进国际间的交流与合作。此外，优秀的日语教师还能够激发学…</x:v>
      </x:c>
      <x:c r="L883" s="26" t="str">
        <x:v>1. 负责初中至高中阶段的日语课程讲授，确保课堂教学质量达到预期标准。 2. 定期组织并指导学生进行听说读写等方面的训练，帮助其掌握正确的学习方法和技巧。 3. 参与学校组织的教学研究会议，与其他教师分享经验，探讨改进教…</x:v>
      </x:c>
    </x:row>
    <x:row r="884" ht="72" customHeight="1">
      <x:c r="A884" s="25" t="n">
        <x:v>11776</x:v>
      </x:c>
      <x:c r="B884" s="25" t="str">
        <x:v>IC-L3-1033</x:v>
      </x:c>
      <x:c r="C884" s="25" t="str">
        <x:v>早教老师</x:v>
      </x:c>
      <x:c r="D884" s="25" t="str">
        <x:v>2-08-03-00</x:v>
      </x:c>
      <x:c r="E884" s="25" t="str">
        <x:v>幼儿园教师</x:v>
      </x:c>
      <x:c r="F884" s="28" t="n">
        <x:f>COUNTIF('岗位-产业节点关系'!$C$4:$C$709,B884)</x:f>
        <x:v>0</x:v>
      </x:c>
      <x:c r="G884" s="26" t="str">
        <x:f>IF(F884=0,"未匹配（现有产业链范围未覆盖或证据不足）",IF(COUNTIFS('岗位-产业节点关系'!$C$4:$C$709,B884,'岗位-产业节点关系'!$M$4:$M$709,"低")&gt;0,"已匹配，建议复核","已匹配"))</x:f>
        <x:v>未匹配（现有产业链范围未覆盖或证据不足）</x:v>
      </x:c>
      <x:c r="H884" s="26" t="str">
        <x:v>-</x:v>
      </x:c>
      <x:c r="I884" s="26" t="str"/>
      <x:c r="J884" s="26" t="str"/>
      <x:c r="K884" s="26" t="str">
        <x:v>早教老师是科研、教育与培训行业中不可或缺的专业人才，他们不仅承担着启蒙教育的责任，还肩负着塑造儿童早期性格和习惯的重要使命。作为连接家庭和社会的桥梁，早教老师通过科学的方法和创新的教学理念，帮助孩子们在认知、情感、社会交…</x:v>
      </x:c>
      <x:c r="L884" s="26" t="str">
        <x:v>1. 设计并实施符合0-6岁幼儿身心发展特点的课程活动，激发孩子的好奇心和探索欲，促进其全面发展。 2. 观察记录儿童日常行为表现，定期评估其学习进展，及时向家长反馈并提供科学合理的育儿建议。 3. 与家长建立良好沟通机…</x:v>
      </x:c>
    </x:row>
    <x:row r="885" ht="72" customHeight="1">
      <x:c r="A885" s="25" t="n">
        <x:v>11777</x:v>
      </x:c>
      <x:c r="B885" s="25" t="str">
        <x:v>IC-L3-1034</x:v>
      </x:c>
      <x:c r="C885" s="25" t="str">
        <x:v>物理老师</x:v>
      </x:c>
      <x:c r="D885" s="25" t="str">
        <x:v>2-08-02-01</x:v>
      </x:c>
      <x:c r="E885" s="25" t="str">
        <x:v>高级中学教师</x:v>
      </x:c>
      <x:c r="F885" s="28" t="n">
        <x:f>COUNTIF('岗位-产业节点关系'!$C$4:$C$709,B885)</x:f>
        <x:v>0</x:v>
      </x:c>
      <x:c r="G885" s="26" t="str">
        <x:f>IF(F885=0,"未匹配（现有产业链范围未覆盖或证据不足）",IF(COUNTIFS('岗位-产业节点关系'!$C$4:$C$709,B885,'岗位-产业节点关系'!$M$4:$M$709,"低")&gt;0,"已匹配，建议复核","已匹配"))</x:f>
        <x:v>未匹配（现有产业链范围未覆盖或证据不足）</x:v>
      </x:c>
      <x:c r="H885" s="26" t="str">
        <x:v>-</x:v>
      </x:c>
      <x:c r="I885" s="26" t="str"/>
      <x:c r="J885" s="26" t="str"/>
      <x:c r="K885" s="26" t="str">
        <x:v>物理老师是科研、教育与培训行业中不可或缺的角色之一，他们通过专业的知识传授，激发学生对物理学的兴趣，培养学生的科学思维能力和解决问题的能力，对于提高国家整体科学素养具有重要意义。作为学校或培训机构的关键成员，物理老师的主…</x:v>
      </x:c>
      <x:c r="L885" s="26" t="str">
        <x:v>1. 负责教授中学或大学阶段的物理课程，确保所有学生都能达到或超过既定的学习目标。 2. 根据教学大纲制定详细的授课计划，包括实验操作、课堂讨论及课外辅导等环节，旨在全面提升学生的物理水平。 3. 定期评估学生的学习进度…</x:v>
      </x:c>
    </x:row>
    <x:row r="886" ht="72" customHeight="1">
      <x:c r="A886" s="25" t="n">
        <x:v>11778</x:v>
      </x:c>
      <x:c r="B886" s="25" t="str">
        <x:v>IC-L3-1035</x:v>
      </x:c>
      <x:c r="C886" s="25" t="str">
        <x:v>留学考试老师</x:v>
      </x:c>
      <x:c r="D886" s="25" t="str">
        <x:v>2-08-02-01</x:v>
      </x:c>
      <x:c r="E886" s="25" t="str">
        <x:v>高级中学教师</x:v>
      </x:c>
      <x:c r="F886" s="28" t="n">
        <x:f>COUNTIF('岗位-产业节点关系'!$C$4:$C$709,B886)</x:f>
        <x:v>0</x:v>
      </x:c>
      <x:c r="G886" s="26" t="str">
        <x:f>IF(F886=0,"未匹配（现有产业链范围未覆盖或证据不足）",IF(COUNTIFS('岗位-产业节点关系'!$C$4:$C$709,B886,'岗位-产业节点关系'!$M$4:$M$709,"低")&gt;0,"已匹配，建议复核","已匹配"))</x:f>
        <x:v>未匹配（现有产业链范围未覆盖或证据不足）</x:v>
      </x:c>
      <x:c r="H886" s="26" t="str">
        <x:v>-</x:v>
      </x:c>
      <x:c r="I886" s="26" t="str"/>
      <x:c r="J886" s="26" t="str"/>
      <x:c r="K886" s="26" t="str">
        <x:v>留学考试老师在科研/教育/培训行业中扮演着至关重要的角色，他们是学生通往国际高等教育之路的引路人。通过专业的教学与指导，帮助学生克服语言障碍，掌握考试技巧，提高成绩，从而顺利实现留学梦想。 该职位的核心目标是确保每位学生…</x:v>
      </x:c>
      <x:c r="L886" s="26" t="str">
        <x:v>1. 制定并执行个性化教学计划，针对不同学生的需求进行定制化辅导，以达到最佳的学习效果。 2. 定期评估学生的学习进度，及时调整教学策略，确保学生能够稳步提升考试成绩。 3. 参与教研活动，不断更新和完善教学资料，保证课…</x:v>
      </x:c>
    </x:row>
    <x:row r="887" ht="72" customHeight="1">
      <x:c r="A887" s="25" t="n">
        <x:v>11779</x:v>
      </x:c>
      <x:c r="B887" s="25" t="str">
        <x:v>IC-L3-1036</x:v>
      </x:c>
      <x:c r="C887" s="25" t="str">
        <x:v>编程老师</x:v>
      </x:c>
      <x:c r="D887" s="25" t="str">
        <x:v>2-02-10-03</x:v>
      </x:c>
      <x:c r="E887" s="25" t="str">
        <x:v>计算机软件工程技术人员</x:v>
      </x:c>
      <x:c r="F887" s="28" t="n">
        <x:f>COUNTIF('岗位-产业节点关系'!$C$4:$C$709,B887)</x:f>
        <x:v>0</x:v>
      </x:c>
      <x:c r="G887" s="26" t="str">
        <x:f>IF(F887=0,"未匹配（现有产业链范围未覆盖或证据不足）",IF(COUNTIFS('岗位-产业节点关系'!$C$4:$C$709,B887,'岗位-产业节点关系'!$M$4:$M$709,"低")&gt;0,"已匹配，建议复核","已匹配"))</x:f>
        <x:v>未匹配（现有产业链范围未覆盖或证据不足）</x:v>
      </x:c>
      <x:c r="H887" s="26" t="str">
        <x:v>-</x:v>
      </x:c>
      <x:c r="I887" s="26" t="str"/>
      <x:c r="J887" s="26" t="str"/>
      <x:c r="K887" s="26" t="str">
        <x:v>编程老师是科研、教育与培训行业中不可或缺的角色，他们通过专业的知识传授和技能训练，帮助学生掌握编程技术，培养其逻辑思维能力和解决问题的能力。作为编程老师，核心目标是设计并实施有效的教学计划，确保每个学生都能获得高质量的学…</x:v>
      </x:c>
      <x:c r="L887" s="26" t="str">
        <x:v>1. 制定详细的学期教学计划，选择合适的教材和教学资源，确保教学内容符合学生的需求和教育目标。 2. 采用互动式教学方法，如项目制学习、案例分析等，激发学生的学习兴趣，提高课堂参与度和实践能力。 3. 定期对学生进行评估…</x:v>
      </x:c>
    </x:row>
    <x:row r="888" ht="72" customHeight="1">
      <x:c r="A888" s="25" t="n">
        <x:v>11780</x:v>
      </x:c>
      <x:c r="B888" s="25" t="str">
        <x:v>IC-L3-1037</x:v>
      </x:c>
      <x:c r="C888" s="25" t="str">
        <x:v>美术老师</x:v>
      </x:c>
      <x:c r="D888" s="25" t="str">
        <x:v>2-09-06-01</x:v>
      </x:c>
      <x:c r="E888" s="25" t="str">
        <x:v>视觉传达设计人员</x:v>
      </x:c>
      <x:c r="F888" s="28" t="n">
        <x:f>COUNTIF('岗位-产业节点关系'!$C$4:$C$709,B888)</x:f>
        <x:v>1</x:v>
      </x:c>
      <x:c r="G888" s="26" t="str">
        <x:f>IF(F888=0,"未匹配（现有产业链范围未覆盖或证据不足）",IF(COUNTIFS('岗位-产业节点关系'!$C$4:$C$709,B888,'岗位-产业节点关系'!$M$4:$M$709,"低")&gt;0,"已匹配，建议复核","已匹配"))</x:f>
        <x:v>已匹配，建议复核</x:v>
      </x:c>
      <x:c r="H888" s="26" t="str">
        <x:v>低</x:v>
      </x:c>
      <x:c r="I888" s="26" t="str">
        <x:v>ICN002</x:v>
      </x:c>
      <x:c r="J888" s="26" t="str">
        <x:v>数据要素与数字经济产业链/中游/数据治理、流通与服务</x:v>
      </x:c>
      <x:c r="K888" s="26" t="str">
        <x:v>美术老师是科研、教育与培训行业中不可或缺的角色之一，他们通过艺术教育激发学生的创造力和审美能力，帮助学生建立全面的艺术视角，促进其个性发展。美术老师的教育质量直接影响到学生的艺术素养及未来的发展潜力，因此他们在学校教育体…</x:v>
      </x:c>
      <x:c r="L888" s="26" t="str">
        <x:v>1. 负责制定并执行美术课程计划，确保教学内容符合国家教育标准及学校要求。 2. 采用多种教学方法和手段，激发学生学习兴趣，提高课堂互动效果，实现良好的教学成果。 3. 定期评估学生的学习进度，及时反馈家长关于孩子在美术…</x:v>
      </x:c>
    </x:row>
    <x:row r="889" ht="72" customHeight="1">
      <x:c r="A889" s="25" t="n">
        <x:v>11781</x:v>
      </x:c>
      <x:c r="B889" s="25" t="str">
        <x:v>IC-L3-1038</x:v>
      </x:c>
      <x:c r="C889" s="25" t="str">
        <x:v>职业技术教师</x:v>
      </x:c>
      <x:c r="D889" s="25" t="str">
        <x:v>2-08-02-01</x:v>
      </x:c>
      <x:c r="E889" s="25" t="str">
        <x:v>高级中学教师</x:v>
      </x:c>
      <x:c r="F889" s="28" t="n">
        <x:f>COUNTIF('岗位-产业节点关系'!$C$4:$C$709,B889)</x:f>
        <x:v>0</x:v>
      </x:c>
      <x:c r="G889" s="26" t="str">
        <x:f>IF(F889=0,"未匹配（现有产业链范围未覆盖或证据不足）",IF(COUNTIFS('岗位-产业节点关系'!$C$4:$C$709,B889,'岗位-产业节点关系'!$M$4:$M$709,"低")&gt;0,"已匹配，建议复核","已匹配"))</x:f>
        <x:v>未匹配（现有产业链范围未覆盖或证据不足）</x:v>
      </x:c>
      <x:c r="H889" s="26" t="str">
        <x:v>-</x:v>
      </x:c>
      <x:c r="I889" s="26" t="str"/>
      <x:c r="J889" s="26" t="str"/>
      <x:c r="K889" s="26" t="str">
        <x:v>职业技术教师是科研、教育与培训行业中不可或缺的专业人才，他们不仅承担着传授专业知识和技能的责任，还肩负着培养学生成长为社会所需实用型人才的重要使命。通过创新教学方法、优化课程设置以及加强实践环节的设计，职业技术教师能够有…</x:v>
      </x:c>
      <x:c r="L889" s="26" t="str">
        <x:v>1. 根据教学大纲要求，制定并实施有效的教学计划，确保学生掌握相关专业知识和技能。 2. 组织并指导学生进行实验实训操作，提高其动手能力和解决实际问题的能力。 3. 定期评估学生的学习进度与成果，及时调整教学策略以满足不…</x:v>
      </x:c>
    </x:row>
    <x:row r="890" ht="72" customHeight="1">
      <x:c r="A890" s="25" t="n">
        <x:v>11782</x:v>
      </x:c>
      <x:c r="B890" s="25" t="str">
        <x:v>IC-L3-1039</x:v>
      </x:c>
      <x:c r="C890" s="25" t="str">
        <x:v>英语老师</x:v>
      </x:c>
      <x:c r="D890" s="25" t="str">
        <x:v>2-08-02-01</x:v>
      </x:c>
      <x:c r="E890" s="25" t="str">
        <x:v>高级中学教师</x:v>
      </x:c>
      <x:c r="F890" s="28" t="n">
        <x:f>COUNTIF('岗位-产业节点关系'!$C$4:$C$709,B890)</x:f>
        <x:v>0</x:v>
      </x:c>
      <x:c r="G890" s="26" t="str">
        <x:f>IF(F890=0,"未匹配（现有产业链范围未覆盖或证据不足）",IF(COUNTIFS('岗位-产业节点关系'!$C$4:$C$709,B890,'岗位-产业节点关系'!$M$4:$M$709,"低")&gt;0,"已匹配，建议复核","已匹配"))</x:f>
        <x:v>未匹配（现有产业链范围未覆盖或证据不足）</x:v>
      </x:c>
      <x:c r="H890" s="26" t="str">
        <x:v>-</x:v>
      </x:c>
      <x:c r="I890" s="26" t="str"/>
      <x:c r="J890" s="26" t="str"/>
      <x:c r="K890" s="26" t="str">
        <x:v>英语老师是科研、教育与培训行业中不可或缺的一部分，通过专业的教学活动帮助学生提高英语水平，不仅能够促进学生的个人发展，还能增强其国际竞争力。作为连接学生与知识的桥梁，英语老师承担着传授语言技能、培养跨文化交际能力的重要使…</x:v>
      </x:c>
      <x:c r="L890" s="26" t="str">
        <x:v>1. 负责设计并执行适合不同年龄段及水平学生的英语课程，确保教学质量达到预期标准。 2. 采用多样化的教学方法激发学生的学习兴趣，定期评估学生的学习进度并提供个性化辅导建议。 3. 参加学校组织的教学研讨会和工作坊，分享…</x:v>
      </x:c>
    </x:row>
    <x:row r="891" ht="72" customHeight="1">
      <x:c r="A891" s="25" t="n">
        <x:v>11783</x:v>
      </x:c>
      <x:c r="B891" s="25" t="str">
        <x:v>IC-L3-1040</x:v>
      </x:c>
      <x:c r="C891" s="25" t="str">
        <x:v>讲师/助教</x:v>
      </x:c>
      <x:c r="D891" s="25" t="str">
        <x:v>2-08-02-01</x:v>
      </x:c>
      <x:c r="E891" s="25" t="str">
        <x:v>高级中学教师</x:v>
      </x:c>
      <x:c r="F891" s="28" t="n">
        <x:f>COUNTIF('岗位-产业节点关系'!$C$4:$C$709,B891)</x:f>
        <x:v>0</x:v>
      </x:c>
      <x:c r="G891" s="26" t="str">
        <x:f>IF(F891=0,"未匹配（现有产业链范围未覆盖或证据不足）",IF(COUNTIFS('岗位-产业节点关系'!$C$4:$C$709,B891,'岗位-产业节点关系'!$M$4:$M$709,"低")&gt;0,"已匹配，建议复核","已匹配"))</x:f>
        <x:v>未匹配（现有产业链范围未覆盖或证据不足）</x:v>
      </x:c>
      <x:c r="H891" s="26" t="str">
        <x:v>-</x:v>
      </x:c>
      <x:c r="I891" s="26" t="str"/>
      <x:c r="J891" s="26" t="str"/>
      <x:c r="K891" s="26" t="str">
        <x:v>讲师/助教是科研、教育与培训行业中不可或缺的角色，他们不仅承担着知识传授的任务，还是学生学习道路上的重要指导者和支持者。作为连接理论与实践的桥梁，讲师/助教通过精心设计课程内容、教学方法及评估体系，激发学生的学习兴趣，培…</x:v>
      </x:c>
      <x:c r="L891" s="26" t="str">
        <x:v>1. 负责制定并实施所教授课程的教学计划，确保课程内容符合教学大纲要求，能够有效促进学生理解和掌握相关知识。 2. 采用多元化的教学手段，如案例分析、小组讨论等，以提高课堂互动性和学生参与度，帮助学生建立正确的学习态度和…</x:v>
      </x:c>
    </x:row>
    <x:row r="892" ht="72" customHeight="1">
      <x:c r="A892" s="25" t="n">
        <x:v>11784</x:v>
      </x:c>
      <x:c r="B892" s="25" t="str">
        <x:v>IC-L3-1041</x:v>
      </x:c>
      <x:c r="C892" s="25" t="str">
        <x:v>语文老师</x:v>
      </x:c>
      <x:c r="D892" s="25" t="str">
        <x:v>2-08-02-01</x:v>
      </x:c>
      <x:c r="E892" s="25" t="str">
        <x:v>高级中学教师</x:v>
      </x:c>
      <x:c r="F892" s="28" t="n">
        <x:f>COUNTIF('岗位-产业节点关系'!$C$4:$C$709,B892)</x:f>
        <x:v>0</x:v>
      </x:c>
      <x:c r="G892" s="26" t="str">
        <x:f>IF(F892=0,"未匹配（现有产业链范围未覆盖或证据不足）",IF(COUNTIFS('岗位-产业节点关系'!$C$4:$C$709,B892,'岗位-产业节点关系'!$M$4:$M$709,"低")&gt;0,"已匹配，建议复核","已匹配"))</x:f>
        <x:v>未匹配（现有产业链范围未覆盖或证据不足）</x:v>
      </x:c>
      <x:c r="H892" s="26" t="str">
        <x:v>-</x:v>
      </x:c>
      <x:c r="I892" s="26" t="str"/>
      <x:c r="J892" s="26" t="str"/>
      <x:c r="K892" s="26" t="str">
        <x:v>语文老师是科研/教育/培训行业中不可或缺的角色，他们不仅承担着传授知识的责任，还肩负着培养学生人文素养和语言表达能力的重要使命。作为学校或培训机构中的核心成员之一，语文老师通过高质量的教学活动，激发学生的学习兴趣，帮助他…</x:v>
      </x:c>
      <x:c r="L892" s="26" t="str">
        <x:v>1. 负责教授初中至高中阶段的语文课程，确保每位学生都能理解并掌握所学内容，提高他们的语文水平。 2. 根据课程标准设计教案，采用多样化的教学方法和手段，激发学生的学习兴趣，提高课堂效率。 3. 定期组织测验和考试，准确…</x:v>
      </x:c>
    </x:row>
    <x:row r="893" ht="72" customHeight="1">
      <x:c r="A893" s="25" t="n">
        <x:v>11785</x:v>
      </x:c>
      <x:c r="B893" s="25" t="str">
        <x:v>IC-L3-1042</x:v>
      </x:c>
      <x:c r="C893" s="25" t="str">
        <x:v>配班老师</x:v>
      </x:c>
      <x:c r="D893" s="25" t="str">
        <x:v>2-08-02-01</x:v>
      </x:c>
      <x:c r="E893" s="25" t="str">
        <x:v>高级中学教师</x:v>
      </x:c>
      <x:c r="F893" s="28" t="n">
        <x:f>COUNTIF('岗位-产业节点关系'!$C$4:$C$709,B893)</x:f>
        <x:v>0</x:v>
      </x:c>
      <x:c r="G893" s="26" t="str">
        <x:f>IF(F893=0,"未匹配（现有产业链范围未覆盖或证据不足）",IF(COUNTIFS('岗位-产业节点关系'!$C$4:$C$709,B893,'岗位-产业节点关系'!$M$4:$M$709,"低")&gt;0,"已匹配，建议复核","已匹配"))</x:f>
        <x:v>未匹配（现有产业链范围未覆盖或证据不足）</x:v>
      </x:c>
      <x:c r="H893" s="26" t="str">
        <x:v>-</x:v>
      </x:c>
      <x:c r="I893" s="26" t="str"/>
      <x:c r="J893" s="26" t="str"/>
      <x:c r="K893" s="26" t="str">
        <x:v>配班老师是教育领域中不可或缺的角色，他们不仅是主班老师的得力助手，也是学生日常学习与生活的引导者。通过与主班老师紧密合作，配班老师能够确保班级管理的有效性，同时关注每一位学生的个性化发展需求，促进其全面成长。此外，配班老…</x:v>
      </x:c>
      <x:c r="L893" s="26" t="str">
        <x:v>1. 协助主班老师制定并执行教学计划，参与课程设计与教材准备，确保教学活动顺利进行。 2. 负责班级日常管理工作，包括维护教室卫生、管理学生行为规范等，营造良好的学习氛围。 3. 定期与学生及家长进行交流，了解学生的学习…</x:v>
      </x:c>
    </x:row>
    <x:row r="894" ht="72" customHeight="1">
      <x:c r="A894" s="25" t="n">
        <x:v>11786</x:v>
      </x:c>
      <x:c r="B894" s="25" t="str">
        <x:v>IC-L3-1043</x:v>
      </x:c>
      <x:c r="C894" s="25" t="str">
        <x:v>钢琴老师</x:v>
      </x:c>
      <x:c r="D894" s="25" t="str">
        <x:v>2-09-07-01</x:v>
      </x:c>
      <x:c r="E894" s="25" t="str">
        <x:v>教练员</x:v>
      </x:c>
      <x:c r="F894" s="28" t="n">
        <x:f>COUNTIF('岗位-产业节点关系'!$C$4:$C$709,B894)</x:f>
        <x:v>0</x:v>
      </x:c>
      <x:c r="G894" s="26" t="str">
        <x:f>IF(F894=0,"未匹配（现有产业链范围未覆盖或证据不足）",IF(COUNTIFS('岗位-产业节点关系'!$C$4:$C$709,B894,'岗位-产业节点关系'!$M$4:$M$709,"低")&gt;0,"已匹配，建议复核","已匹配"))</x:f>
        <x:v>未匹配（现有产业链范围未覆盖或证据不足）</x:v>
      </x:c>
      <x:c r="H894" s="26" t="str">
        <x:v>-</x:v>
      </x:c>
      <x:c r="I894" s="26" t="str"/>
      <x:c r="J894" s="26" t="str"/>
      <x:c r="K894" s="26" t="str">
        <x:v>钢琴老师在科研/教育/培训行业中扮演着至关重要的角色，他们不仅教授学生音乐理论与实践技能，还激发学生的艺术创造力和个人情感表达能力，为培养全面发展的音乐人才做出贡献。该职位的核心目标是通过高质量的教学活动，帮助学生掌握正…</x:v>
      </x:c>
      <x:c r="L894" s="26" t="str">
        <x:v>1. 根据学生的年龄、兴趣及学习进度，设计并实施个性化的钢琴教学方案，确保每位学员都能获得适合自己的指导。 2. 定期组织学生参加音乐会、比赛等公开表演，以检验学习成果并增强自信心。 3. 与家长保持良好沟通，定期反馈学…</x:v>
      </x:c>
    </x:row>
    <x:row r="895" ht="72" customHeight="1">
      <x:c r="A895" s="25" t="n">
        <x:v>11787</x:v>
      </x:c>
      <x:c r="B895" s="25" t="str">
        <x:v>IC-L3-1044</x:v>
      </x:c>
      <x:c r="C895" s="25" t="str">
        <x:v>音乐老师</x:v>
      </x:c>
      <x:c r="D895" s="25" t="str">
        <x:v>2-09-07-01</x:v>
      </x:c>
      <x:c r="E895" s="25" t="str">
        <x:v>教练员</x:v>
      </x:c>
      <x:c r="F895" s="28" t="n">
        <x:f>COUNTIF('岗位-产业节点关系'!$C$4:$C$709,B895)</x:f>
        <x:v>0</x:v>
      </x:c>
      <x:c r="G895" s="26" t="str">
        <x:f>IF(F895=0,"未匹配（现有产业链范围未覆盖或证据不足）",IF(COUNTIFS('岗位-产业节点关系'!$C$4:$C$709,B895,'岗位-产业节点关系'!$M$4:$M$709,"低")&gt;0,"已匹配，建议复核","已匹配"))</x:f>
        <x:v>未匹配（现有产业链范围未覆盖或证据不足）</x:v>
      </x:c>
      <x:c r="H895" s="26" t="str">
        <x:v>-</x:v>
      </x:c>
      <x:c r="I895" s="26" t="str"/>
      <x:c r="J895" s="26" t="str"/>
      <x:c r="K895" s="26" t="str">
        <x:v>音乐老师是科研/教育/培训行业中不可或缺的专业人才，他们不仅负责传授音乐知识与技能，还肩负着培养学生艺术修养及审美情趣的重要使命。音乐老师的教学活动对于丰富学生的精神世界、促进个性发展具有不可替代的作用，同时也有助于传承…</x:v>
      </x:c>
      <x:c r="L895" s="26" t="str">
        <x:v>1. 负责音乐课程的教学工作，包括声乐、器乐等多个领域，确保教学质量达到学校要求。 2. 组织并指导各类音乐活动，如校内外演出、比赛等，提高学生的实践能力和舞台表现力。 3. 定期评估学生的学习进度，及时调整教学计划，满…</x:v>
      </x:c>
    </x:row>
    <x:row r="896" ht="72" customHeight="1">
      <x:c r="A896" s="25" t="n">
        <x:v>11788</x:v>
      </x:c>
      <x:c r="B896" s="25" t="str">
        <x:v>IC-L3-1045</x:v>
      </x:c>
      <x:c r="C896" s="25" t="str">
        <x:v>高中教师</x:v>
      </x:c>
      <x:c r="D896" s="25" t="str">
        <x:v>2-08-02-01</x:v>
      </x:c>
      <x:c r="E896" s="25" t="str">
        <x:v>高级中学教师</x:v>
      </x:c>
      <x:c r="F896" s="28" t="n">
        <x:f>COUNTIF('岗位-产业节点关系'!$C$4:$C$709,B896)</x:f>
        <x:v>0</x:v>
      </x:c>
      <x:c r="G896" s="26" t="str">
        <x:f>IF(F896=0,"未匹配（现有产业链范围未覆盖或证据不足）",IF(COUNTIFS('岗位-产业节点关系'!$C$4:$C$709,B896,'岗位-产业节点关系'!$M$4:$M$709,"低")&gt;0,"已匹配，建议复核","已匹配"))</x:f>
        <x:v>未匹配（现有产业链范围未覆盖或证据不足）</x:v>
      </x:c>
      <x:c r="H896" s="26" t="str">
        <x:v>-</x:v>
      </x:c>
      <x:c r="I896" s="26" t="str"/>
      <x:c r="J896" s="26" t="str"/>
      <x:c r="K896" s="26" t="str">
        <x:v>高中教师是科研、教育与培训行业中不可或缺的角色之一，他们不仅承担着传授知识的责任，还肩负着引导学生形成正确价值观和世界观的重要使命。作为学生成长道路上的关键指导者，高中教师通过其专业知识和教学技能，帮助学生建立扎实的基础…</x:v>
      </x:c>
      <x:c r="L896" s="26" t="str">
        <x:v>1. 根据课程大纲设计并执行教学方案，确保教学质量达到预期标准。 2. 运用多样化的教学手段激发学生兴趣，鼓励自主探究学习，提升课堂互动效果。 3. 定期组织考试和测验，客观公正地评价学生表现，并及时反馈给学生及家长。 …</x:v>
      </x:c>
    </x:row>
    <x:row r="897" ht="72" customHeight="1">
      <x:c r="A897" s="25" t="n">
        <x:v>11789</x:v>
      </x:c>
      <x:c r="B897" s="25" t="str">
        <x:v>IC-L3-1046</x:v>
      </x:c>
      <x:c r="C897" s="25" t="str">
        <x:v>培训讲师</x:v>
      </x:c>
      <x:c r="D897" s="25" t="str">
        <x:v>4-07-03-05</x:v>
      </x:c>
      <x:c r="E897" s="25" t="str">
        <x:v>职业培训师</x:v>
      </x:c>
      <x:c r="F897" s="28" t="n">
        <x:f>COUNTIF('岗位-产业节点关系'!$C$4:$C$709,B897)</x:f>
        <x:v>0</x:v>
      </x:c>
      <x:c r="G897" s="26" t="str">
        <x:f>IF(F897=0,"未匹配（现有产业链范围未覆盖或证据不足）",IF(COUNTIFS('岗位-产业节点关系'!$C$4:$C$709,B897,'岗位-产业节点关系'!$M$4:$M$709,"低")&gt;0,"已匹配，建议复核","已匹配"))</x:f>
        <x:v>未匹配（现有产业链范围未覆盖或证据不足）</x:v>
      </x:c>
      <x:c r="H897" s="26" t="str">
        <x:v>-</x:v>
      </x:c>
      <x:c r="I897" s="26" t="str"/>
      <x:c r="J897" s="26" t="str"/>
      <x:c r="K897" s="26" t="str">
        <x:v>培训讲师是专门从事教师培训与发展的专业人员。该职位的核心目标是通过设计并实施高质量的培训课程，提升教师队伍的专业能力和教学水平。在日常工作中，需要进行需求分析、课程开发、教学实施及培训效果评估等工作。</x:v>
      </x:c>
      <x:c r="L897" s="26" t="str">
        <x:v>1. 设计培训课程体系 2. 开发专业培训教材 3. 实施课堂教学活动 4. 评估学员学习效果 5. 改进教学方法内容 6. 维护教学设备资源</x:v>
      </x:c>
    </x:row>
    <x:row r="898" ht="72" customHeight="1">
      <x:c r="A898" s="25" t="n">
        <x:v>11790</x:v>
      </x:c>
      <x:c r="B898" s="25" t="str">
        <x:v>IC-L3-1047</x:v>
      </x:c>
      <x:c r="C898" s="25" t="str">
        <x:v>历史学专业教师</x:v>
      </x:c>
      <x:c r="D898" s="25" t="str">
        <x:v>2-08-02-01</x:v>
      </x:c>
      <x:c r="E898" s="25" t="str">
        <x:v>高级中学教师</x:v>
      </x:c>
      <x:c r="F898" s="28" t="n">
        <x:f>COUNTIF('岗位-产业节点关系'!$C$4:$C$709,B898)</x:f>
        <x:v>0</x:v>
      </x:c>
      <x:c r="G898" s="26" t="str">
        <x:f>IF(F898=0,"未匹配（现有产业链范围未覆盖或证据不足）",IF(COUNTIFS('岗位-产业节点关系'!$C$4:$C$709,B898,'岗位-产业节点关系'!$M$4:$M$709,"低")&gt;0,"已匹配，建议复核","已匹配"))</x:f>
        <x:v>未匹配（现有产业链范围未覆盖或证据不足）</x:v>
      </x:c>
      <x:c r="H898" s="26" t="str">
        <x:v>-</x:v>
      </x:c>
      <x:c r="I898" s="26" t="str"/>
      <x:c r="J898" s="26" t="str"/>
      <x:c r="K898" s="26" t="str">
        <x:v>历史学专业教师是专门从事历史学科教学与研究的专业人员。该职位的核心目标是通过系统传授历史知识和培养历史思维，实现学生人文素养的提升。在日常工作中，需要进行课程设计、课堂教学、学术研究、学生指导以及历史学科相关活动的组织等…</x:v>
      </x:c>
      <x:c r="L898" s="26" t="str">
        <x:v>1. 讲授专业历史课程 2. 编写历史教学材料 3. 指导学生学术研究 4. 组织历史实践活动 5. 参与学术交流研讨 6. 评估学生学习成果</x:v>
      </x:c>
    </x:row>
    <x:row r="899" ht="72" customHeight="1">
      <x:c r="A899" s="25" t="n">
        <x:v>11791</x:v>
      </x:c>
      <x:c r="B899" s="25" t="str">
        <x:v>IC-L3-1048</x:v>
      </x:c>
      <x:c r="C899" s="25" t="str">
        <x:v>地理教师</x:v>
      </x:c>
      <x:c r="D899" s="25" t="str">
        <x:v>2-08-02-01</x:v>
      </x:c>
      <x:c r="E899" s="25" t="str">
        <x:v>高级中学教师</x:v>
      </x:c>
      <x:c r="F899" s="28" t="n">
        <x:f>COUNTIF('岗位-产业节点关系'!$C$4:$C$709,B899)</x:f>
        <x:v>0</x:v>
      </x:c>
      <x:c r="G899" s="26" t="str">
        <x:f>IF(F899=0,"未匹配（现有产业链范围未覆盖或证据不足）",IF(COUNTIFS('岗位-产业节点关系'!$C$4:$C$709,B899,'岗位-产业节点关系'!$M$4:$M$709,"低")&gt;0,"已匹配，建议复核","已匹配"))</x:f>
        <x:v>未匹配（现有产业链范围未覆盖或证据不足）</x:v>
      </x:c>
      <x:c r="H899" s="26" t="str">
        <x:v>-</x:v>
      </x:c>
      <x:c r="I899" s="26" t="str"/>
      <x:c r="J899" s="26" t="str"/>
      <x:c r="K899" s="26" t="str">
        <x:v>地理教师是专门从事地理学科教学的专业人员。该职位的核心目标是通过系统化地理知识传授，培养学生空间思维能力和环境认知能力。在日常工作中，需要进行课程设计、课堂教学、学业评估及课外实践活动指导等工作。</x:v>
      </x:c>
      <x:c r="L899" s="26" t="str">
        <x:v>1. 讲授地理课程 2. 设计教学方案 3. 编制考试试题 4. 组织实践活动 5. 评估学生表现 6. 参与教研活动</x:v>
      </x:c>
    </x:row>
    <x:row r="900" ht="72" customHeight="1">
      <x:c r="A900" s="25" t="n">
        <x:v>11792</x:v>
      </x:c>
      <x:c r="B900" s="25" t="str">
        <x:v>IC-L3-1049</x:v>
      </x:c>
      <x:c r="C900" s="25" t="str">
        <x:v>学习规划师</x:v>
      </x:c>
      <x:c r="D900" s="25" t="str">
        <x:v>2-06-07-08</x:v>
      </x:c>
      <x:c r="E900" s="25" t="str">
        <x:v>管理咨询专业人员</x:v>
      </x:c>
      <x:c r="F900" s="28" t="n">
        <x:f>COUNTIF('岗位-产业节点关系'!$C$4:$C$709,B900)</x:f>
        <x:v>0</x:v>
      </x:c>
      <x:c r="G900" s="26" t="str">
        <x:f>IF(F900=0,"未匹配（现有产业链范围未覆盖或证据不足）",IF(COUNTIFS('岗位-产业节点关系'!$C$4:$C$709,B900,'岗位-产业节点关系'!$M$4:$M$709,"低")&gt;0,"已匹配，建议复核","已匹配"))</x:f>
        <x:v>未匹配（现有产业链范围未覆盖或证据不足）</x:v>
      </x:c>
      <x:c r="H900" s="26" t="str">
        <x:v>-</x:v>
      </x:c>
      <x:c r="I900" s="26" t="str"/>
      <x:c r="J900" s="26" t="str"/>
      <x:c r="K900" s="26" t="str">
        <x:v>学习规划师是科研/教育/培训行业中不可或缺的专业人才，他们专注于学生的职业生涯规划和个人发展指导，通过科学的方法帮助学生发现自身兴趣与潜能，制定合理的学习计划，以实现个人成长和职业发展目标。这一角色不仅能够促进学生的全面…</x:v>
      </x:c>
      <x:c r="L900" s="26" t="str">
        <x:v>1. 通过面谈、问卷调查等方式收集学员基本信息，分析其性格特点、兴趣爱好、优势劣势等，为其量身定制个性化学习规划。 2. 定期组织家长会、讲座等活动，向家长介绍最新教育政策、行业发展动态以及如何支持孩子成长的相关知识，增…</x:v>
      </x:c>
    </x:row>
    <x:row r="901" ht="72" customHeight="1">
      <x:c r="A901" s="25" t="n">
        <x:v>11793</x:v>
      </x:c>
      <x:c r="B901" s="25" t="str">
        <x:v>IC-L3-1050</x:v>
      </x:c>
      <x:c r="C901" s="25" t="str">
        <x:v>招生老师</x:v>
      </x:c>
      <x:c r="D901" s="25" t="str">
        <x:v>2-08-01-01</x:v>
      </x:c>
      <x:c r="E901" s="25" t="str">
        <x:v>普通高等学校教师</x:v>
      </x:c>
      <x:c r="F901" s="28" t="n">
        <x:f>COUNTIF('岗位-产业节点关系'!$C$4:$C$709,B901)</x:f>
        <x:v>0</x:v>
      </x:c>
      <x:c r="G901" s="26" t="str">
        <x:f>IF(F901=0,"未匹配（现有产业链范围未覆盖或证据不足）",IF(COUNTIFS('岗位-产业节点关系'!$C$4:$C$709,B901,'岗位-产业节点关系'!$M$4:$M$709,"低")&gt;0,"已匹配，建议复核","已匹配"))</x:f>
        <x:v>未匹配（现有产业链范围未覆盖或证据不足）</x:v>
      </x:c>
      <x:c r="H901" s="26" t="str">
        <x:v>-</x:v>
      </x:c>
      <x:c r="I901" s="26" t="str"/>
      <x:c r="J901" s="26" t="str"/>
      <x:c r="K901" s="26" t="str">
        <x:v>招生老师是科研/教育/培训行业中不可或缺的角色，主要负责吸引并选拔合适的学生加入教育机构或项目。作为学校与学生之间的桥梁，招生老师不仅代表着学校的形象，还肩负着为学生提供准确、全面的信息服务的责任，以帮助他们做出明智的选…</x:v>
      </x:c>
      <x:c r="L901" s="26" t="str">
        <x:v>1. 主动联系并接待来访学生及家长，耐心解答关于学校概况、专业设置、就业前景等方面的问题，提供专业咨询，引导其完成入学申请流程。 2. 定期参加各类招生宣讲会、开放日等活动，积极展示学校特色，收集意向客户信息，建立并维护…</x:v>
      </x:c>
    </x:row>
    <x:row r="902" ht="72" customHeight="1">
      <x:c r="A902" s="25" t="n">
        <x:v>11794</x:v>
      </x:c>
      <x:c r="B902" s="25" t="str">
        <x:v>IC-L3-1051</x:v>
      </x:c>
      <x:c r="C902" s="25" t="str">
        <x:v>留学顾问</x:v>
      </x:c>
      <x:c r="D902" s="25" t="str">
        <x:v>2-08-01-01</x:v>
      </x:c>
      <x:c r="E902" s="25" t="str">
        <x:v>普通高等学校教师</x:v>
      </x:c>
      <x:c r="F902" s="28" t="n">
        <x:f>COUNTIF('岗位-产业节点关系'!$C$4:$C$709,B902)</x:f>
        <x:v>0</x:v>
      </x:c>
      <x:c r="G902" s="26" t="str">
        <x:f>IF(F902=0,"未匹配（现有产业链范围未覆盖或证据不足）",IF(COUNTIFS('岗位-产业节点关系'!$C$4:$C$709,B902,'岗位-产业节点关系'!$M$4:$M$709,"低")&gt;0,"已匹配，建议复核","已匹配"))</x:f>
        <x:v>未匹配（现有产业链范围未覆盖或证据不足）</x:v>
      </x:c>
      <x:c r="H902" s="26" t="str">
        <x:v>-</x:v>
      </x:c>
      <x:c r="I902" s="26" t="str"/>
      <x:c r="J902" s="26" t="str"/>
      <x:c r="K902" s="26" t="str">
        <x:v>**岗位简介** 留学顾问是科研、教育与培训行业中不可或缺的角色之一，他们不仅为有意向出国深造的学生提供专业的指导和支持，还架起了学生与海外教育资源之间的桥梁。通过深入了解学生的背景、兴趣及职业规划，留学顾问能够帮助学生…</x:v>
      </x:c>
      <x:c r="L902" s="26" t="str">
        <x:v>留学顾问的主要职责包括：为学生提供留学规划咨询服务，包括选校、专业选择、申请材料准备等；协助学生完成留学申请流程，包括推荐信撰写、面试辅导等；跟踪学生申请进度，提供必要的支持和指导；为学生提供签证申请指导，协助解决申请过…</x:v>
      </x:c>
    </x:row>
    <x:row r="903" ht="72" customHeight="1">
      <x:c r="A903" s="25" t="n">
        <x:v>11795</x:v>
      </x:c>
      <x:c r="B903" s="25" t="str">
        <x:v>IC-L3-1052</x:v>
      </x:c>
      <x:c r="C903" s="25" t="str">
        <x:v>课程顾问</x:v>
      </x:c>
      <x:c r="D903" s="25" t="str">
        <x:v>2-08-01-01</x:v>
      </x:c>
      <x:c r="E903" s="25" t="str">
        <x:v>普通高等学校教师</x:v>
      </x:c>
      <x:c r="F903" s="28" t="n">
        <x:f>COUNTIF('岗位-产业节点关系'!$C$4:$C$709,B903)</x:f>
        <x:v>0</x:v>
      </x:c>
      <x:c r="G903" s="26" t="str">
        <x:f>IF(F903=0,"未匹配（现有产业链范围未覆盖或证据不足）",IF(COUNTIFS('岗位-产业节点关系'!$C$4:$C$709,B903,'岗位-产业节点关系'!$M$4:$M$709,"低")&gt;0,"已匹配，建议复核","已匹配"))</x:f>
        <x:v>未匹配（现有产业链范围未覆盖或证据不足）</x:v>
      </x:c>
      <x:c r="H903" s="26" t="str">
        <x:v>-</x:v>
      </x:c>
      <x:c r="I903" s="26" t="str"/>
      <x:c r="J903" s="26" t="str"/>
      <x:c r="K903" s="26" t="str">
        <x:v>课程顾问是科研、教育与培训行业中不可或缺的角色，他们通过专业的教育咨询服务，帮助客户了解并选择最适合自己的课程或学习路径，从而促进个人成长与职业发展。作为教育咨询领域的专家，课程顾问不仅能够洞察市场趋势，还能准确把握学员…</x:v>
      </x:c>
      <x:c r="L903" s="26" t="str">
        <x:v>1. 通过电话、面谈等方式与潜在客户沟通，了解其学习背景及职业发展目标，为其推荐合适的课程方案。 2. 跟踪记录客户的学习进展，定期收集反馈信息，及时调整辅导计划以确保达到预期效果。 3. 协助组织各类线上线下活动，如讲…</x:v>
      </x:c>
    </x:row>
    <x:row r="904" ht="72" customHeight="1">
      <x:c r="A904" s="25" t="n">
        <x:v>11796</x:v>
      </x:c>
      <x:c r="B904" s="25" t="str">
        <x:v>IC-L3-1053</x:v>
      </x:c>
      <x:c r="C904" s="25" t="str">
        <x:v>园长</x:v>
      </x:c>
      <x:c r="D904" s="25" t="str">
        <x:v>2-08-01-01</x:v>
      </x:c>
      <x:c r="E904" s="25" t="str">
        <x:v>普通高等学校教师</x:v>
      </x:c>
      <x:c r="F904" s="28" t="n">
        <x:f>COUNTIF('岗位-产业节点关系'!$C$4:$C$709,B904)</x:f>
        <x:v>0</x:v>
      </x:c>
      <x:c r="G904" s="26" t="str">
        <x:f>IF(F904=0,"未匹配（现有产业链范围未覆盖或证据不足）",IF(COUNTIFS('岗位-产业节点关系'!$C$4:$C$709,B904,'岗位-产业节点关系'!$M$4:$M$709,"低")&gt;0,"已匹配，建议复核","已匹配"))</x:f>
        <x:v>未匹配（现有产业链范围未覆盖或证据不足）</x:v>
      </x:c>
      <x:c r="H904" s="26" t="str">
        <x:v>-</x:v>
      </x:c>
      <x:c r="I904" s="26" t="str"/>
      <x:c r="J904" s="26" t="str"/>
      <x:c r="K904" s="26" t="str">
        <x:v>园长作为教育管理领域的核心人物，在推动幼儿教育发展、提升教育质量方面发挥着至关重要的作用。他们不仅是幼儿园日常运营的负责人，更是教师团队的精神领袖与家长沟通的桥梁。通过制定并执行科学合理的教学计划、管理策略及安全措施，园…</x:v>
      </x:c>
      <x:c r="L904" s="26" t="str">
        <x:v>1. 负责制定和完善幼儿园各项规章制度，指导各部门工作开展，确保幼儿园各项工作顺利进行。 2. 组织实施教师专业发展计划，定期开展教学研讨活动，提升教师队伍的整体素质。 3. 定期召开家长会，建立良好的家园沟通机制，及时…</x:v>
      </x:c>
    </x:row>
    <x:row r="905" ht="72" customHeight="1">
      <x:c r="A905" s="25" t="n">
        <x:v>11797</x:v>
      </x:c>
      <x:c r="B905" s="25" t="str">
        <x:v>IC-L3-1054</x:v>
      </x:c>
      <x:c r="C905" s="25" t="str">
        <x:v>教师培训/师训</x:v>
      </x:c>
      <x:c r="D905" s="25" t="str">
        <x:v>4-07-03-05</x:v>
      </x:c>
      <x:c r="E905" s="25" t="str">
        <x:v>职业培训师</x:v>
      </x:c>
      <x:c r="F905" s="28" t="n">
        <x:f>COUNTIF('岗位-产业节点关系'!$C$4:$C$709,B905)</x:f>
        <x:v>0</x:v>
      </x:c>
      <x:c r="G905" s="26" t="str">
        <x:f>IF(F905=0,"未匹配（现有产业链范围未覆盖或证据不足）",IF(COUNTIFS('岗位-产业节点关系'!$C$4:$C$709,B905,'岗位-产业节点关系'!$M$4:$M$709,"低")&gt;0,"已匹配，建议复核","已匹配"))</x:f>
        <x:v>未匹配（现有产业链范围未覆盖或证据不足）</x:v>
      </x:c>
      <x:c r="H905" s="26" t="str">
        <x:v>-</x:v>
      </x:c>
      <x:c r="I905" s="26" t="str"/>
      <x:c r="J905" s="26" t="str"/>
      <x:c r="K905" s="26" t="str">
        <x:v>教师培训/师训是教育行业中至关重要的环节之一，它不仅关系到教师个人能力的提升，更直接影响着教育质量的整体提高。作为教师培训的专业人员，您将扮演着推动教育创新与改革的关键角色，通过科学的方法和技术手段，帮助教师掌握最新的教…</x:v>
      </x:c>
      <x:c r="L905" s="26" t="str">
        <x:v>1. 负责分析当前教师队伍的需求，结合最新教育趋势，制定出针对性强、操作性强的教师培训计划。 2. 组织并开展各类线上线下相结合的教师培训活动，确保每位参与教师都能充分理解和应用所学知识。 3. 与教研组密切配合，不断优…</x:v>
      </x:c>
    </x:row>
    <x:row r="906" ht="72" customHeight="1">
      <x:c r="A906" s="25" t="n">
        <x:v>11798</x:v>
      </x:c>
      <x:c r="B906" s="25" t="str">
        <x:v>IC-L3-1055</x:v>
      </x:c>
      <x:c r="C906" s="25" t="str">
        <x:v>教研员</x:v>
      </x:c>
      <x:c r="D906" s="25" t="str">
        <x:v>2-08-01-01</x:v>
      </x:c>
      <x:c r="E906" s="25" t="str">
        <x:v>普通高等学校教师</x:v>
      </x:c>
      <x:c r="F906" s="28" t="n">
        <x:f>COUNTIF('岗位-产业节点关系'!$C$4:$C$709,B906)</x:f>
        <x:v>0</x:v>
      </x:c>
      <x:c r="G906" s="26" t="str">
        <x:f>IF(F906=0,"未匹配（现有产业链范围未覆盖或证据不足）",IF(COUNTIFS('岗位-产业节点关系'!$C$4:$C$709,B906,'岗位-产业节点关系'!$M$4:$M$709,"低")&gt;0,"已匹配，建议复核","已匹配"))</x:f>
        <x:v>未匹配（现有产业链范围未覆盖或证据不足）</x:v>
      </x:c>
      <x:c r="H906" s="26" t="str">
        <x:v>-</x:v>
      </x:c>
      <x:c r="I906" s="26" t="str"/>
      <x:c r="J906" s="26" t="str"/>
      <x:c r="K906" s="26" t="str">
        <x:v>教研员是科研/教育/培训行业中不可或缺的专业人才，他们负责教学研究与开发工作，推动教学质量的持续改进。作为连接教师与管理层的关键桥梁，教研员不仅能够影响一线教学的实际效果，还能促进学校或培训机构的整体发展水平提升，从而确…</x:v>
      </x:c>
      <x:c r="L906" s="26" t="str">
        <x:v>1. 负责制定和完善教学大纲和课程标准，确保课程内容符合国家教育方针及市场需求。 2. 组织开展各类教研活动，包括公开课、研讨会等，促进教师间的经验分享和技术交流。 3. 定期收集并分析学生反馈信息，及时调整教学策略，提…</x:v>
      </x:c>
    </x:row>
    <x:row r="907" ht="72" customHeight="1">
      <x:c r="A907" s="25" t="n">
        <x:v>11799</x:v>
      </x:c>
      <x:c r="B907" s="25" t="str">
        <x:v>IC-L3-1056</x:v>
      </x:c>
      <x:c r="C907" s="25" t="str">
        <x:v>教研组长/主管</x:v>
      </x:c>
      <x:c r="D907" s="25" t="str">
        <x:v>2-08-01-01</x:v>
      </x:c>
      <x:c r="E907" s="25" t="str">
        <x:v>普通高等学校教师</x:v>
      </x:c>
      <x:c r="F907" s="28" t="n">
        <x:f>COUNTIF('岗位-产业节点关系'!$C$4:$C$709,B907)</x:f>
        <x:v>0</x:v>
      </x:c>
      <x:c r="G907" s="26" t="str">
        <x:f>IF(F907=0,"未匹配（现有产业链范围未覆盖或证据不足）",IF(COUNTIFS('岗位-产业节点关系'!$C$4:$C$709,B907,'岗位-产业节点关系'!$M$4:$M$709,"低")&gt;0,"已匹配，建议复核","已匹配"))</x:f>
        <x:v>未匹配（现有产业链范围未覆盖或证据不足）</x:v>
      </x:c>
      <x:c r="H907" s="26" t="str">
        <x:v>-</x:v>
      </x:c>
      <x:c r="I907" s="26" t="str"/>
      <x:c r="J907" s="26" t="str"/>
      <x:c r="K907" s="26" t="str">
        <x:v>教研组长/主管是教育管理领域中不可或缺的角色，负责领导和协调教学研究活动，推动教学质量的持续改进。通过有效的团队管理和项目执行，该职位不仅能够确保教育内容的创新与实践相结合，还能促进教师个人能力的发展，为学生提供更加优质…</x:v>
      </x:c>
      <x:c r="L907" s="26" t="str">
        <x:v>1. 组织开展教研活动，制定年度教研计划，指导教师开展课题研究，提高教育教学水平。 2. 监督并参与课程开发与教材编写工作，确保课程内容与时俱进，满足学生需求。 3. 定期组织教师培训，分享最新教育理念和技术应用，促进教…</x:v>
      </x:c>
    </x:row>
    <x:row r="908" ht="72" customHeight="1">
      <x:c r="A908" s="25" t="n">
        <x:v>11800</x:v>
      </x:c>
      <x:c r="B908" s="25" t="str">
        <x:v>IC-L3-1057</x:v>
      </x:c>
      <x:c r="C908" s="25" t="str">
        <x:v>校长</x:v>
      </x:c>
      <x:c r="D908" s="25" t="str">
        <x:v>2-08-01-01</x:v>
      </x:c>
      <x:c r="E908" s="25" t="str">
        <x:v>普通高等学校教师</x:v>
      </x:c>
      <x:c r="F908" s="28" t="n">
        <x:f>COUNTIF('岗位-产业节点关系'!$C$4:$C$709,B908)</x:f>
        <x:v>0</x:v>
      </x:c>
      <x:c r="G908" s="26" t="str">
        <x:f>IF(F908=0,"未匹配（现有产业链范围未覆盖或证据不足）",IF(COUNTIFS('岗位-产业节点关系'!$C$4:$C$709,B908,'岗位-产业节点关系'!$M$4:$M$709,"低")&gt;0,"已匹配，建议复核","已匹配"))</x:f>
        <x:v>未匹配（现有产业链范围未覆盖或证据不足）</x:v>
      </x:c>
      <x:c r="H908" s="26" t="str">
        <x:v>-</x:v>
      </x:c>
      <x:c r="I908" s="26" t="str"/>
      <x:c r="J908" s="26" t="str"/>
      <x:c r="K908" s="26" t="str">
        <x:v>校长是科研/教育/培训行业中极为重要的领导角色，负责引领学校或教育机构的发展方向与战略规划，确保其能够高效运作并达成既定的教育目标。作为教育管理者，校长不仅需要具备卓越的管理能力，还需拥有深厚的教育理论基础和实践经验，以…</x:v>
      </x:c>
      <x:c r="L908" s="26" t="str">
        <x:v>1. 制定并实施学校长期发展规划，确保教育方针政策得到有效贯彻执行，提高教育教学质量和科研水平。 2. 组织开展教师队伍建设工作，通过招聘、培训等方式吸引优秀师资力量加入，构建一支业务精湛、结构合理、充满活力的教师队伍。…</x:v>
      </x:c>
    </x:row>
    <x:row r="909" ht="72" customHeight="1">
      <x:c r="A909" s="25" t="n">
        <x:v>11801</x:v>
      </x:c>
      <x:c r="B909" s="25" t="str">
        <x:v>IC-L3-1058</x:v>
      </x:c>
      <x:c r="C909" s="25" t="str">
        <x:v>班主任/辅导员</x:v>
      </x:c>
      <x:c r="D909" s="25" t="str">
        <x:v>2-08-01-01</x:v>
      </x:c>
      <x:c r="E909" s="25" t="str">
        <x:v>普通高等学校教师</x:v>
      </x:c>
      <x:c r="F909" s="28" t="n">
        <x:f>COUNTIF('岗位-产业节点关系'!$C$4:$C$709,B909)</x:f>
        <x:v>0</x:v>
      </x:c>
      <x:c r="G909" s="26" t="str">
        <x:f>IF(F909=0,"未匹配（现有产业链范围未覆盖或证据不足）",IF(COUNTIFS('岗位-产业节点关系'!$C$4:$C$709,B909,'岗位-产业节点关系'!$M$4:$M$709,"低")&gt;0,"已匹配，建议复核","已匹配"))</x:f>
        <x:v>未匹配（现有产业链范围未覆盖或证据不足）</x:v>
      </x:c>
      <x:c r="H909" s="26" t="str">
        <x:v>-</x:v>
      </x:c>
      <x:c r="I909" s="26" t="str"/>
      <x:c r="J909" s="26" t="str"/>
      <x:c r="K909" s="26" t="str">
        <x:v>班主任/辅导员是科研/教育/培训行业中不可或缺的角色之一，其主要职责在于引导学生健康成长，促进学生的全面发展。作为连接学生与学校的桥梁，班主任/辅导员不仅能够及时发现并解决学生在学习生活中遇到的问题，还能有效推动家校沟通…</x:v>
      </x:c>
      <x:c r="L909" s="26" t="str">
        <x:v>1. 负责组织班会活动，制定班级规章制度，维护良好的班级秩序，营造积极向上的集体氛围。 2. 定期与学生进行个别谈话，了解他们的思想动态和生活情况，及时给予必要的指导和支持，帮助学生解决学习上遇到的困难。 3. 与任课老…</x:v>
      </x:c>
    </x:row>
    <x:row r="910" ht="72" customHeight="1">
      <x:c r="A910" s="25" t="n">
        <x:v>11802</x:v>
      </x:c>
      <x:c r="B910" s="25" t="str">
        <x:v>IC-L3-1059</x:v>
      </x:c>
      <x:c r="C910" s="25" t="str">
        <x:v>院校教务管理人员</x:v>
      </x:c>
      <x:c r="D910" s="25" t="str">
        <x:v>2-08-01-01</x:v>
      </x:c>
      <x:c r="E910" s="25" t="str">
        <x:v>普通高等学校教师</x:v>
      </x:c>
      <x:c r="F910" s="28" t="n">
        <x:f>COUNTIF('岗位-产业节点关系'!$C$4:$C$709,B910)</x:f>
        <x:v>0</x:v>
      </x:c>
      <x:c r="G910" s="26" t="str">
        <x:f>IF(F910=0,"未匹配（现有产业链范围未覆盖或证据不足）",IF(COUNTIFS('岗位-产业节点关系'!$C$4:$C$709,B910,'岗位-产业节点关系'!$M$4:$M$709,"低")&gt;0,"已匹配，建议复核","已匹配"))</x:f>
        <x:v>未匹配（现有产业链范围未覆盖或证据不足）</x:v>
      </x:c>
      <x:c r="H910" s="26" t="str">
        <x:v>-</x:v>
      </x:c>
      <x:c r="I910" s="26" t="str"/>
      <x:c r="J910" s="26" t="str"/>
      <x:c r="K910" s="26" t="str">
        <x:v>院校教务管理人员是科研与教育领域中不可或缺的专业人才，他们负责确保学校教学活动的顺利进行，维护良好的学术环境，对于提升教学质量、促进学生全面发展具有重要意义。作为教育机构内部的重要支柱，教务管理人员以提高学校管理水平为核…</x:v>
      </x:c>
      <x:c r="L910" s="26" t="str">
        <x:v>1. 负责制定并实施学校教学计划，确保各项教学活动有序开展，达到预期的教学效果。 2. 组织协调各类考试工作，从命题、监考到阅卷、成绩公布，确保考试公平公正，保障学生成绩真实有效。 3. 监督检查教师教学情况，定期开展听…</x:v>
      </x:c>
    </x:row>
    <x:row r="911" ht="72" customHeight="1">
      <x:c r="A911" s="25" t="n">
        <x:v>11803</x:v>
      </x:c>
      <x:c r="B911" s="25" t="str">
        <x:v>IC-L3-1060</x:v>
      </x:c>
      <x:c r="C911" s="25" t="str">
        <x:v>培训助理</x:v>
      </x:c>
      <x:c r="D911" s="25" t="str">
        <x:v>4-07-03-05</x:v>
      </x:c>
      <x:c r="E911" s="25" t="str">
        <x:v>职业培训师</x:v>
      </x:c>
      <x:c r="F911" s="28" t="n">
        <x:f>COUNTIF('岗位-产业节点关系'!$C$4:$C$709,B911)</x:f>
        <x:v>0</x:v>
      </x:c>
      <x:c r="G911" s="26" t="str">
        <x:f>IF(F911=0,"未匹配（现有产业链范围未覆盖或证据不足）",IF(COUNTIFS('岗位-产业节点关系'!$C$4:$C$709,B911,'岗位-产业节点关系'!$M$4:$M$709,"低")&gt;0,"已匹配，建议复核","已匹配"))</x:f>
        <x:v>未匹配（现有产业链范围未覆盖或证据不足）</x:v>
      </x:c>
      <x:c r="H911" s="26" t="str">
        <x:v>-</x:v>
      </x:c>
      <x:c r="I911" s="26" t="str"/>
      <x:c r="J911" s="26" t="str"/>
      <x:c r="K911" s="26" t="str">
        <x:v>培训助理是科研、教育及培训行业中不可或缺的角色，主要负责协助培训师完成日常教学工作，确保培训课程顺利进行。作为培训团队与学员之间的桥梁，培训助理能够及时反馈学员的学习情况，为课程改进提供参考依据，从而提升整体教学质量。 …</x:v>
      </x:c>
      <x:c r="L911" s="26" t="str">
        <x:v>1. 协助培训师准备教学资料，包括但不限于课件制作、案例收集，确保每次授课内容准确无误，满足不同年龄段或水平学员的需求。 2. 负责组织和管理各类培训活动，如报名登记、场地布置、设备调试等，保证活动有序开展，营造积极向上…</x:v>
      </x:c>
    </x:row>
    <x:row r="912" ht="72" customHeight="1">
      <x:c r="A912" s="25" t="n">
        <x:v>11804</x:v>
      </x:c>
      <x:c r="B912" s="25" t="str">
        <x:v>IC-L3-1061</x:v>
      </x:c>
      <x:c r="C912" s="25" t="str">
        <x:v>培训督导</x:v>
      </x:c>
      <x:c r="D912" s="25" t="str">
        <x:v>4-07-03-05</x:v>
      </x:c>
      <x:c r="E912" s="25" t="str">
        <x:v>职业培训师</x:v>
      </x:c>
      <x:c r="F912" s="28" t="n">
        <x:f>COUNTIF('岗位-产业节点关系'!$C$4:$C$709,B912)</x:f>
        <x:v>0</x:v>
      </x:c>
      <x:c r="G912" s="26" t="str">
        <x:f>IF(F912=0,"未匹配（现有产业链范围未覆盖或证据不足）",IF(COUNTIFS('岗位-产业节点关系'!$C$4:$C$709,B912,'岗位-产业节点关系'!$M$4:$M$709,"低")&gt;0,"已匹配，建议复核","已匹配"))</x:f>
        <x:v>未匹配（现有产业链范围未覆盖或证据不足）</x:v>
      </x:c>
      <x:c r="H912" s="26" t="str">
        <x:v>-</x:v>
      </x:c>
      <x:c r="I912" s="26" t="str"/>
      <x:c r="J912" s="26" t="str"/>
      <x:c r="K912" s="26" t="str">
        <x:v>培训督导是科研/教育/培训行业中一个至关重要的角色，主要负责监督和指导特长教育培训项目的实施过程，确保教学质量达到预期标准。作为连接管理层与一线教师之间的桥梁，该职位不仅能够促进内部沟通，还能有效推动教育理念的落地执行。…</x:v>
      </x:c>
      <x:c r="L912" s="26" t="str">
        <x:v>1. 负责制定并执行特长教育培训项目的质量监控计划，确保所有课程符合既定的教学目标和质量要求。 2. 定期组织教师培训活动，提高教师的专业技能和服务意识，激发其教学创新潜能。 3. 监督教学现场，及时发现并解决学员在学习…</x:v>
      </x:c>
    </x:row>
    <x:row r="913" ht="72" customHeight="1">
      <x:c r="A913" s="25" t="n">
        <x:v>11805</x:v>
      </x:c>
      <x:c r="B913" s="25" t="str">
        <x:v>IC-L3-1062</x:v>
      </x:c>
      <x:c r="C913" s="25" t="str">
        <x:v>培训讲师</x:v>
      </x:c>
      <x:c r="D913" s="25" t="str">
        <x:v>4-07-03-05</x:v>
      </x:c>
      <x:c r="E913" s="25" t="str">
        <x:v>职业培训师</x:v>
      </x:c>
      <x:c r="F913" s="28" t="n">
        <x:f>COUNTIF('岗位-产业节点关系'!$C$4:$C$709,B913)</x:f>
        <x:v>0</x:v>
      </x:c>
      <x:c r="G913" s="26" t="str">
        <x:f>IF(F913=0,"未匹配（现有产业链范围未覆盖或证据不足）",IF(COUNTIFS('岗位-产业节点关系'!$C$4:$C$709,B913,'岗位-产业节点关系'!$M$4:$M$709,"低")&gt;0,"已匹配，建议复核","已匹配"))</x:f>
        <x:v>未匹配（现有产业链范围未覆盖或证据不足）</x:v>
      </x:c>
      <x:c r="H913" s="26" t="str">
        <x:v>-</x:v>
      </x:c>
      <x:c r="I913" s="26" t="str"/>
      <x:c r="J913" s="26" t="str"/>
      <x:c r="K913" s="26" t="str">
        <x:v>培训讲师是科研/教育/培训行业中不可或缺的角色之一，特别是在特长教育领域。他们不仅是知识的传播者，更是学生潜能的挖掘者和引导者，对于激发学生的兴趣、培养其专长具有重要作用。通过制定并实施有效的教学计划，培训讲师能够帮助学…</x:v>
      </x:c>
      <x:c r="L913" s="26" t="str">
        <x:v>1. 设计和开发针对不同年龄段和能力水平学生的特长教育培训课程，确保课程内容科学合理、富有吸引力。 2. 采用多样化的教学方法和手段进行授课，如互动式学习、案例分析等，以提高课堂效率和学生参与度。 3. 定期评估学生的学…</x:v>
      </x:c>
    </x:row>
    <x:row r="914" ht="72" customHeight="1">
      <x:c r="A914" s="25" t="n">
        <x:v>11806</x:v>
      </x:c>
      <x:c r="B914" s="25" t="str">
        <x:v>IC-L3-1063</x:v>
      </x:c>
      <x:c r="C914" s="25" t="str">
        <x:v>拓展培训</x:v>
      </x:c>
      <x:c r="D914" s="25" t="str">
        <x:v>4-07-03-05</x:v>
      </x:c>
      <x:c r="E914" s="25" t="str">
        <x:v>职业培训师</x:v>
      </x:c>
      <x:c r="F914" s="28" t="n">
        <x:f>COUNTIF('岗位-产业节点关系'!$C$4:$C$709,B914)</x:f>
        <x:v>0</x:v>
      </x:c>
      <x:c r="G914" s="26" t="str">
        <x:f>IF(F914=0,"未匹配（现有产业链范围未覆盖或证据不足）",IF(COUNTIFS('岗位-产业节点关系'!$C$4:$C$709,B914,'岗位-产业节点关系'!$M$4:$M$709,"低")&gt;0,"已匹配，建议复核","已匹配"))</x:f>
        <x:v>未匹配（现有产业链范围未覆盖或证据不足）</x:v>
      </x:c>
      <x:c r="H914" s="26" t="str">
        <x:v>-</x:v>
      </x:c>
      <x:c r="I914" s="26" t="str"/>
      <x:c r="J914" s="26" t="str"/>
      <x:c r="K914" s="26" t="str">
        <x:v>拓展培训师在科研、教育与培训行业中扮演着至关重要的角色。他们通过组织并实施一系列户外活动来提升学员的个人能力和社会适应力，帮助其建立积极向上的人生态度，培养良好的团队合作精神。同时，作为特长教育的重要组成部分，拓展训练对…</x:v>
      </x:c>
      <x:c r="L914" s="26" t="str">
        <x:v>1. 根据客户需求及学员特点，设计并实施多样化的拓展训练课程，旨在提高团队协作能力和个人综合素质。 2. 在活动中担任引导者和观察者双重角色，运用专业知识指导参与者完成各项任务，同时关注他们的心理变化，及时给予支持与鼓励…</x:v>
      </x:c>
    </x:row>
    <x:row r="915" ht="72" customHeight="1">
      <x:c r="A915" s="25" t="n">
        <x:v>11807</x:v>
      </x:c>
      <x:c r="B915" s="25" t="str">
        <x:v>IC-L3-1064</x:v>
      </x:c>
      <x:c r="C915" s="25" t="str">
        <x:v>日语翻译</x:v>
      </x:c>
      <x:c r="D915" s="25" t="str">
        <x:v>2-08-02-01</x:v>
      </x:c>
      <x:c r="E915" s="25" t="str">
        <x:v>高级中学教师</x:v>
      </x:c>
      <x:c r="F915" s="28" t="n">
        <x:f>COUNTIF('岗位-产业节点关系'!$C$4:$C$709,B915)</x:f>
        <x:v>0</x:v>
      </x:c>
      <x:c r="G915" s="26" t="str">
        <x:f>IF(F915=0,"未匹配（现有产业链范围未覆盖或证据不足）",IF(COUNTIFS('岗位-产业节点关系'!$C$4:$C$709,B915,'岗位-产业节点关系'!$M$4:$M$709,"低")&gt;0,"已匹配，建议复核","已匹配"))</x:f>
        <x:v>未匹配（现有产业链范围未覆盖或证据不足）</x:v>
      </x:c>
      <x:c r="H915" s="26" t="str">
        <x:v>-</x:v>
      </x:c>
      <x:c r="I915" s="26" t="str"/>
      <x:c r="J915" s="26" t="str"/>
      <x:c r="K915" s="26" t="str">
        <x:v>日语翻译是专门从事日语与中文互译的专业人员。该职位的核心目标是通过精准的语言转换，实现中日教育内容的无缝对接。在日常工作中，需要进行教材翻译、课程资料本地化、实时口译及跨文化沟通协调等工作。</x:v>
      </x:c>
      <x:c r="L915" s="26" t="str">
        <x:v>1. 翻译日语教学资料 2. 校对课程翻译内容 3. 协助制定日语课程 4. 参与教材本地化 5. 翻译学员沟通内容 6. 维护术语一致性</x:v>
      </x:c>
    </x:row>
    <x:row r="916" ht="72" customHeight="1">
      <x:c r="A916" s="25" t="n">
        <x:v>11808</x:v>
      </x:c>
      <x:c r="B916" s="25" t="str">
        <x:v>IC-L3-1065</x:v>
      </x:c>
      <x:c r="C916" s="25" t="str">
        <x:v>其他语种翻译</x:v>
      </x:c>
      <x:c r="D916" s="25" t="str">
        <x:v>2-08-02-01</x:v>
      </x:c>
      <x:c r="E916" s="25" t="str">
        <x:v>高级中学教师</x:v>
      </x:c>
      <x:c r="F916" s="28" t="n">
        <x:f>COUNTIF('岗位-产业节点关系'!$C$4:$C$709,B916)</x:f>
        <x:v>0</x:v>
      </x:c>
      <x:c r="G916" s="26" t="str">
        <x:f>IF(F916=0,"未匹配（现有产业链范围未覆盖或证据不足）",IF(COUNTIFS('岗位-产业节点关系'!$C$4:$C$709,B916,'岗位-产业节点关系'!$M$4:$M$709,"低")&gt;0,"已匹配，建议复核","已匹配"))</x:f>
        <x:v>未匹配（现有产业链范围未覆盖或证据不足）</x:v>
      </x:c>
      <x:c r="H916" s="26" t="str">
        <x:v>-</x:v>
      </x:c>
      <x:c r="I916" s="26" t="str"/>
      <x:c r="J916" s="26" t="str"/>
      <x:c r="K916" s="26" t="str">
        <x:v>其他语种翻译是专门从事多语言转换与跨文化沟通的专业人员。该职位的核心目标是通过精准的翻译服务，确保教育内容在不同语言文化背景下的准确传达。在日常工作中，需要进行教材翻译、教学辅助材料本地化、跨文化沟通协调等工作。</x:v>
      </x:c>
      <x:c r="L916" s="26" t="str">
        <x:v>1. 翻译教学资料 2. 本地化课程内容 3. 口译培训活动 4. 审核翻译质量 5. 整理术语库 6. 沟通文化差异</x:v>
      </x:c>
    </x:row>
    <x:row r="917" ht="72" customHeight="1">
      <x:c r="A917" s="25" t="n">
        <x:v>11809</x:v>
      </x:c>
      <x:c r="B917" s="25" t="str">
        <x:v>IC-L3-1066</x:v>
      </x:c>
      <x:c r="C917" s="25" t="str">
        <x:v>家教</x:v>
      </x:c>
      <x:c r="D917" s="25" t="str">
        <x:v>2-08-03-00</x:v>
      </x:c>
      <x:c r="E917" s="25" t="str">
        <x:v>幼儿园教师</x:v>
      </x:c>
      <x:c r="F917" s="28" t="n">
        <x:f>COUNTIF('岗位-产业节点关系'!$C$4:$C$709,B917)</x:f>
        <x:v>0</x:v>
      </x:c>
      <x:c r="G917" s="26" t="str">
        <x:f>IF(F917=0,"未匹配（现有产业链范围未覆盖或证据不足）",IF(COUNTIFS('岗位-产业节点关系'!$C$4:$C$709,B917,'岗位-产业节点关系'!$M$4:$M$709,"低")&gt;0,"已匹配，建议复核","已匹配"))</x:f>
        <x:v>未匹配（现有产业链范围未覆盖或证据不足）</x:v>
      </x:c>
      <x:c r="H917" s="26" t="str">
        <x:v>-</x:v>
      </x:c>
      <x:c r="I917" s="26" t="str"/>
      <x:c r="J917" s="26" t="str"/>
      <x:c r="K917" s="26" t="str">
        <x:v>家教是专门从事个性化学科辅导的专业人员。该职位的核心目标是通过定制化教学方案，帮助学生提升学业成绩和培养学习能力。在日常工作中，需要进行课程设计、知识点讲解、作业辅导以及学习进度跟踪等工作。</x:v>
      </x:c>
      <x:c r="L917" s="26" t="str">
        <x:v>1. 制定教学计划 2. 个性化辅导学生 3. 评估学习效果 4. 培养特长技能 5. 激发学习兴趣 6. 沟通家长反馈</x:v>
      </x:c>
    </x:row>
    <x:row r="918" ht="72" customHeight="1">
      <x:c r="A918" s="25" t="n">
        <x:v>11810</x:v>
      </x:c>
      <x:c r="B918" s="25" t="str">
        <x:v>IC-L3-1067</x:v>
      </x:c>
      <x:c r="C918" s="25" t="str">
        <x:v>幼教</x:v>
      </x:c>
      <x:c r="D918" s="25" t="str">
        <x:v>2-08-03-00</x:v>
      </x:c>
      <x:c r="E918" s="25" t="str">
        <x:v>幼儿园教师</x:v>
      </x:c>
      <x:c r="F918" s="28" t="n">
        <x:f>COUNTIF('岗位-产业节点关系'!$C$4:$C$709,B918)</x:f>
        <x:v>0</x:v>
      </x:c>
      <x:c r="G918" s="26" t="str">
        <x:f>IF(F918=0,"未匹配（现有产业链范围未覆盖或证据不足）",IF(COUNTIFS('岗位-产业节点关系'!$C$4:$C$709,B918,'岗位-产业节点关系'!$M$4:$M$709,"低")&gt;0,"已匹配，建议复核","已匹配"))</x:f>
        <x:v>未匹配（现有产业链范围未覆盖或证据不足）</x:v>
      </x:c>
      <x:c r="H918" s="26" t="str">
        <x:v>-</x:v>
      </x:c>
      <x:c r="I918" s="26" t="str"/>
      <x:c r="J918" s="26" t="str"/>
      <x:c r="K918" s="26" t="str">
        <x:v>幼教是专门从事幼儿早期教育与特长培养的专业人员。该职位的核心目标是通过科学的教学方法和个性化培养方案，促进幼儿全面发展并激发其特长潜能。在日常工作中，需要进行课程设计与实施、幼儿行为观察与评估、家长沟通与指导等工作。</x:v>
      </x:c>
      <x:c r="L918" s="26" t="str">
        <x:v>1. 设计特色课程 2. 实施教学活动 3. 观察评估幼儿 4. 培养特长能力 5. 沟通家长需求 6. 维护教学环境</x:v>
      </x:c>
    </x:row>
    <x:row r="919" ht="72" customHeight="1">
      <x:c r="A919" s="25" t="n">
        <x:v>11811</x:v>
      </x:c>
      <x:c r="B919" s="25" t="str">
        <x:v>IC-L3-1068</x:v>
      </x:c>
      <x:c r="C919" s="25" t="str">
        <x:v>科研人员</x:v>
      </x:c>
      <x:c r="D919" s="25" t="str">
        <x:v>2-01-06-03</x:v>
      </x:c>
      <x:c r="E919" s="25" t="str">
        <x:v>化学研究人员</x:v>
      </x:c>
      <x:c r="F919" s="28" t="n">
        <x:f>COUNTIF('岗位-产业节点关系'!$C$4:$C$709,B919)</x:f>
        <x:v>0</x:v>
      </x:c>
      <x:c r="G919" s="26" t="str">
        <x:f>IF(F919=0,"未匹配（现有产业链范围未覆盖或证据不足）",IF(COUNTIFS('岗位-产业节点关系'!$C$4:$C$709,B919,'岗位-产业节点关系'!$M$4:$M$709,"低")&gt;0,"已匹配，建议复核","已匹配"))</x:f>
        <x:v>未匹配（现有产业链范围未覆盖或证据不足）</x:v>
      </x:c>
      <x:c r="H919" s="26" t="str">
        <x:v>-</x:v>
      </x:c>
      <x:c r="I919" s="26" t="str"/>
      <x:c r="J919" s="26" t="str"/>
      <x:c r="K919" s="26" t="str">
        <x:v>科研人员是科研/教育/培训行业中不可或缺的角色，他们通过创新研究推动科学技术的发展，为企业和社会带来持续的进步与变革。科研人员不仅负责探索未知领域，还承担着将研究成果转化为实际应用的责任，这使得他们在促进公司技术升级、产…</x:v>
      </x:c>
      <x:c r="L919" s="26" t="str">
        <x:v>科研人员的主要职责包括：负责科研项目的规划与实施，进行实验设计与数据分析；撰写科研报告与论文，申请科研基金；参与学术交流与合作，推动科研成果的转化应用；指导研究生或实验助理，培养科研团队。</x:v>
      </x:c>
    </x:row>
    <x:row r="920" ht="72" customHeight="1">
      <x:c r="A920" s="25" t="n">
        <x:v>11812</x:v>
      </x:c>
      <x:c r="B920" s="25" t="str">
        <x:v>IC-L3-1069</x:v>
      </x:c>
      <x:c r="C920" s="25" t="str">
        <x:v>科研管理人员</x:v>
      </x:c>
      <x:c r="D920" s="25" t="str">
        <x:v>2-01-06-03</x:v>
      </x:c>
      <x:c r="E920" s="25" t="str">
        <x:v>化学研究人员</x:v>
      </x:c>
      <x:c r="F920" s="28" t="n">
        <x:f>COUNTIF('岗位-产业节点关系'!$C$4:$C$709,B920)</x:f>
        <x:v>0</x:v>
      </x:c>
      <x:c r="G920" s="26" t="str">
        <x:f>IF(F920=0,"未匹配（现有产业链范围未覆盖或证据不足）",IF(COUNTIFS('岗位-产业节点关系'!$C$4:$C$709,B920,'岗位-产业节点关系'!$M$4:$M$709,"低")&gt;0,"已匹配，建议复核","已匹配"))</x:f>
        <x:v>未匹配（现有产业链范围未覆盖或证据不足）</x:v>
      </x:c>
      <x:c r="H920" s="26" t="str">
        <x:v>-</x:v>
      </x:c>
      <x:c r="I920" s="26" t="str"/>
      <x:c r="J920" s="26" t="str"/>
      <x:c r="K920" s="26" t="str">
        <x:v>科研管理人员是科研/教育/培训行业中不可或缺的角色，他们负责确保科研项目的顺利进行，从项目启动到完成的每一个环节都离不开他们的精心组织与管理。作为连接科研人员与管理层之间的桥梁，科研管理人员不仅需要具备扎实的专业背景，还…</x:v>
      </x:c>
      <x:c r="L920" s="26" t="str">
        <x:v>1. 负责制定并执行科研项目的整体计划，包括确定项目目标、分配任务、设定里程碑及监控进度，确保项目按时按质完成。 2. 协调内外部资源，解决项目实施过程中遇到的问题，保障科研工作顺利开展。 3. 定期评估科研成果的质量与…</x:v>
      </x:c>
    </x:row>
    <x:row r="921" ht="72" customHeight="1">
      <x:c r="A921" s="25" t="n">
        <x:v>11813</x:v>
      </x:c>
      <x:c r="B921" s="25" t="str">
        <x:v>IC-L3-1070</x:v>
      </x:c>
      <x:c r="C921" s="25" t="str">
        <x:v>化妆品研发</x:v>
      </x:c>
      <x:c r="D921" s="25" t="str">
        <x:v>6-11-10-03</x:v>
      </x:c>
      <x:c r="E921" s="25" t="str">
        <x:v>化妆品配方师</x:v>
      </x:c>
      <x:c r="F921" s="28" t="n">
        <x:f>COUNTIF('岗位-产业节点关系'!$C$4:$C$709,B921)</x:f>
        <x:v>0</x:v>
      </x:c>
      <x:c r="G921" s="26" t="str">
        <x:f>IF(F921=0,"未匹配（现有产业链范围未覆盖或证据不足）",IF(COUNTIFS('岗位-产业节点关系'!$C$4:$C$709,B921,'岗位-产业节点关系'!$M$4:$M$709,"低")&gt;0,"已匹配，建议复核","已匹配"))</x:f>
        <x:v>未匹配（现有产业链范围未覆盖或证据不足）</x:v>
      </x:c>
      <x:c r="H921" s="26" t="str">
        <x:v>-</x:v>
      </x:c>
      <x:c r="I921" s="26" t="str"/>
      <x:c r="J921" s="26" t="str"/>
      <x:c r="K921" s="26" t="str">
        <x:v>化妆品研发工程师在能源/环保/化工行业中扮演着至关重要的角色，尤其是在追求天然、绿色与高效化妆品的开发过程中。这一职位不仅要求具备扎实的化学理论基础，还需要对市场趋势有敏锐的洞察力，能够将消费者需求转化为创新的产品。 该…</x:v>
      </x:c>
      <x:c r="L921" s="26" t="str">
        <x:v>1. 负责新产品的配方设计与优化，确保产品性能达到预期效果并符合相关法规要求。 2. 参与市场调研，收集用户反馈，结合最新科研成果调整产品线，满足消费者多样化需求。 3. 与供应商建立良好合作关系，评估原料质量，控制成本…</x:v>
      </x:c>
    </x:row>
    <x:row r="922" ht="72" customHeight="1">
      <x:c r="A922" s="25" t="n">
        <x:v>11814</x:v>
      </x:c>
      <x:c r="B922" s="25" t="str">
        <x:v>IC-L3-1071</x:v>
      </x:c>
      <x:c r="C922" s="25" t="str">
        <x:v>化工实验室研究员/技术员</x:v>
      </x:c>
      <x:c r="D922" s="25" t="str">
        <x:v>2-01-06-03</x:v>
      </x:c>
      <x:c r="E922" s="25" t="str">
        <x:v>化学研究人员</x:v>
      </x:c>
      <x:c r="F922" s="28" t="n">
        <x:f>COUNTIF('岗位-产业节点关系'!$C$4:$C$709,B922)</x:f>
        <x:v>1</x:v>
      </x:c>
      <x:c r="G922" s="26" t="str">
        <x:f>IF(F922=0,"未匹配（现有产业链范围未覆盖或证据不足）",IF(COUNTIFS('岗位-产业节点关系'!$C$4:$C$709,B922,'岗位-产业节点关系'!$M$4:$M$709,"低")&gt;0,"已匹配，建议复核","已匹配"))</x:f>
        <x:v>已匹配</x:v>
      </x:c>
      <x:c r="H922" s="26" t="str">
        <x:v>中</x:v>
      </x:c>
      <x:c r="I922" s="26" t="str">
        <x:v>ICN019</x:v>
      </x:c>
      <x:c r="J922" s="26" t="str">
        <x:v>石油化工产业链/上游/油气资源与基础化工原料</x:v>
      </x:c>
      <x:c r="K922" s="26" t="str">
        <x:v>化工实验室研究员/技术员是能源/环保/化工行业中不可或缺的专业人才，他们负责在实验室环境中进行化学物质的研究与开发，对于推动新技术的应用及产品的创新起着至关重要的作用。通过运用先进的实验设备和技术手段，该职位人员能够准确…</x:v>
      </x:c>
      <x:c r="L922" s="26" t="str">
        <x:v>1. 负责执行化学实验操作，包括但不限于样品制备、反应条件设定以及数据记录等工作，确保实验过程符合安全规范要求。 2. 运用专业知识对实验结果进行科学解读，撰写详尽的技术报告，为新产品开发提供有力的数据支持。 3. 参与…</x:v>
      </x:c>
    </x:row>
    <x:row r="923" ht="72" customHeight="1">
      <x:c r="A923" s="25" t="n">
        <x:v>11815</x:v>
      </x:c>
      <x:c r="B923" s="25" t="str">
        <x:v>IC-L3-1072</x:v>
      </x:c>
      <x:c r="C923" s="25" t="str">
        <x:v>化工技术应用/化工工程师</x:v>
      </x:c>
      <x:c r="D923" s="25" t="str">
        <x:v>2-02-06-01</x:v>
      </x:c>
      <x:c r="E923" s="25" t="str">
        <x:v>化工实验工程技术人员</x:v>
      </x:c>
      <x:c r="F923" s="28" t="n">
        <x:f>COUNTIF('岗位-产业节点关系'!$C$4:$C$709,B923)</x:f>
        <x:v>1</x:v>
      </x:c>
      <x:c r="G923" s="26" t="str">
        <x:f>IF(F923=0,"未匹配（现有产业链范围未覆盖或证据不足）",IF(COUNTIFS('岗位-产业节点关系'!$C$4:$C$709,B923,'岗位-产业节点关系'!$M$4:$M$709,"低")&gt;0,"已匹配，建议复核","已匹配"))</x:f>
        <x:v>已匹配</x:v>
      </x:c>
      <x:c r="H923" s="26" t="str">
        <x:v>中</x:v>
      </x:c>
      <x:c r="I923" s="26" t="str">
        <x:v>ICN021</x:v>
      </x:c>
      <x:c r="J923" s="26" t="str">
        <x:v>石油化工产业链/下游/化工制品与终端应用</x:v>
      </x:c>
      <x:c r="K923" s="26" t="str">
        <x:v>化工工程师是能源/环保/化工行业中不可或缺的专业人才，他们利用化学原理和技术解决实际生产中的问题，推动化工产品的研发与优化。在技术创新和环境保护日益受到重视的今天，化工工程师的角色显得尤为重要，他们是实现绿色可持续发展的…</x:v>
      </x:c>
      <x:c r="L923" s="26" t="str">
        <x:v>1. 负责化工产品的设计、开发及优化工作，确保产品符合安全标准和环保要求。 2. 分析现有生产工艺流程，提出改进建议，降低能耗，提高资源利用率。 3. 参与项目实施过程中的技术指导和支持，解决现场出现的技术难题。 4. …</x:v>
      </x:c>
    </x:row>
    <x:row r="924" ht="72" customHeight="1">
      <x:c r="A924" s="25" t="n">
        <x:v>11816</x:v>
      </x:c>
      <x:c r="B924" s="25" t="str">
        <x:v>IC-L3-1073</x:v>
      </x:c>
      <x:c r="C924" s="25" t="str">
        <x:v>塑料工程师</x:v>
      </x:c>
      <x:c r="D924" s="25" t="str">
        <x:v>2-02-06-03</x:v>
      </x:c>
      <x:c r="E924" s="25" t="str">
        <x:v>化工生产工程技术人员</x:v>
      </x:c>
      <x:c r="F924" s="28" t="n">
        <x:f>COUNTIF('岗位-产业节点关系'!$C$4:$C$709,B924)</x:f>
        <x:v>1</x:v>
      </x:c>
      <x:c r="G924" s="26" t="str">
        <x:f>IF(F924=0,"未匹配（现有产业链范围未覆盖或证据不足）",IF(COUNTIFS('岗位-产业节点关系'!$C$4:$C$709,B924,'岗位-产业节点关系'!$M$4:$M$709,"低")&gt;0,"已匹配，建议复核","已匹配"))</x:f>
        <x:v>已匹配</x:v>
      </x:c>
      <x:c r="H924" s="26" t="str">
        <x:v>中</x:v>
      </x:c>
      <x:c r="I924" s="26" t="str">
        <x:v>ICN020</x:v>
      </x:c>
      <x:c r="J924" s="26" t="str">
        <x:v>石油化工产业链/中游/炼化加工与化工材料制造</x:v>
      </x:c>
      <x:c r="K924" s="26" t="str">
        <x:v>塑料工程师在能源/环保/化工行业中扮演着至关重要的角色，他们负责开发和改进塑料材料及其制造工艺，确保产品既满足性能要求又符合环保标准。作为公司研发团队的核心成员之一，塑料工程师的主要目标是通过创新材料解决方案提高产品的竞…</x:v>
      </x:c>
      <x:c r="L924" s="26" t="str">
        <x:v>1. 负责新型塑料材料的研究与开发工作，确保新材料能够满足客户的需求及行业标准。 2. 对现有塑料制品进行性能测试和分析，提出改进建议以优化生产工艺流程，提高产品质量。 3. 与生产部门密切配合，指导现场操作人员正确使用…</x:v>
      </x:c>
    </x:row>
    <x:row r="925" ht="72" customHeight="1">
      <x:c r="A925" s="25" t="n">
        <x:v>11817</x:v>
      </x:c>
      <x:c r="B925" s="25" t="str">
        <x:v>IC-L3-1074</x:v>
      </x:c>
      <x:c r="C925" s="25" t="str">
        <x:v>有机合成研究员</x:v>
      </x:c>
      <x:c r="D925" s="25" t="str">
        <x:v>2-01-06-03</x:v>
      </x:c>
      <x:c r="E925" s="25" t="str">
        <x:v>化学研究人员</x:v>
      </x:c>
      <x:c r="F925" s="28" t="n">
        <x:f>COUNTIF('岗位-产业节点关系'!$C$4:$C$709,B925)</x:f>
        <x:v>0</x:v>
      </x:c>
      <x:c r="G925" s="26" t="str">
        <x:f>IF(F925=0,"未匹配（现有产业链范围未覆盖或证据不足）",IF(COUNTIFS('岗位-产业节点关系'!$C$4:$C$709,B925,'岗位-产业节点关系'!$M$4:$M$709,"低")&gt;0,"已匹配，建议复核","已匹配"))</x:f>
        <x:v>未匹配（现有产业链范围未覆盖或证据不足）</x:v>
      </x:c>
      <x:c r="H925" s="26" t="str">
        <x:v>-</x:v>
      </x:c>
      <x:c r="I925" s="26" t="str"/>
      <x:c r="J925" s="26" t="str"/>
      <x:c r="K925" s="26" t="str">
        <x:v>有机合成研究员是能源/环保/化工行业中不可或缺的专业人才，尤其在化工领域，他们通过研究和开发新的化学物质，推动了新材料、新产品的诞生，对于提升产品质量、降低成本以及环境保护等方面起着至关重要的作用。作为公司研发团队的核心…</x:v>
      </x:c>
      <x:c r="L925" s="26" t="str">
        <x:v>1. 负责开展有机合成相关课题的研究工作，制定合理的实验方案并组织实施，确保按时高质量地完成科研任务。 2. 对现有生产工艺流程进行优化改进，降低能耗物耗，减少环境污染，提高经济效益和社会效益。 3. 针对客户提出的需求…</x:v>
      </x:c>
    </x:row>
    <x:row r="926" ht="72" customHeight="1">
      <x:c r="A926" s="25" t="n">
        <x:v>11818</x:v>
      </x:c>
      <x:c r="B926" s="25" t="str">
        <x:v>IC-L3-1075</x:v>
      </x:c>
      <x:c r="C926" s="25" t="str">
        <x:v>涂料研发工程师</x:v>
      </x:c>
      <x:c r="D926" s="25" t="str">
        <x:v>2-02-06-03</x:v>
      </x:c>
      <x:c r="E926" s="25" t="str">
        <x:v>化工生产工程技术人员</x:v>
      </x:c>
      <x:c r="F926" s="28" t="n">
        <x:f>COUNTIF('岗位-产业节点关系'!$C$4:$C$709,B926)</x:f>
        <x:v>1</x:v>
      </x:c>
      <x:c r="G926" s="26" t="str">
        <x:f>IF(F926=0,"未匹配（现有产业链范围未覆盖或证据不足）",IF(COUNTIFS('岗位-产业节点关系'!$C$4:$C$709,B926,'岗位-产业节点关系'!$M$4:$M$709,"低")&gt;0,"已匹配，建议复核","已匹配"))</x:f>
        <x:v>已匹配</x:v>
      </x:c>
      <x:c r="H926" s="26" t="str">
        <x:v>中</x:v>
      </x:c>
      <x:c r="I926" s="26" t="str">
        <x:v>ICN021</x:v>
      </x:c>
      <x:c r="J926" s="26" t="str">
        <x:v>石油化工产业链/下游/化工制品与终端应用</x:v>
      </x:c>
      <x:c r="K926" s="26" t="str">
        <x:v>涂料研发工程师在能源/环保/化工行业中扮演着至关重要的角色，他们负责新型涂料产品的开发与优化，以满足市场对高性能、环保型材料日益增长的需求。通过创新性的研究工作，涂料研发工程师能够帮助公司突破技术瓶颈，提高产品竞争力，同…</x:v>
      </x:c>
      <x:c r="L926" s="26" t="str">
        <x:v>1. 负责涂料新产品配方的设计与实验，确保最终产品的性能达到预期标准。 2. 对现有涂料产品进行持续改进，降低生产成本，提升产品质量和市场竞争力。 3. 与生产部门密切配合，解决生产过程中遇到的技术问题，保证新产品顺利投…</x:v>
      </x:c>
    </x:row>
    <x:row r="927" ht="72" customHeight="1">
      <x:c r="A927" s="25" t="n">
        <x:v>11819</x:v>
      </x:c>
      <x:c r="B927" s="25" t="str">
        <x:v>IC-L3-1076</x:v>
      </x:c>
      <x:c r="C927" s="25" t="str">
        <x:v>造纸研发</x:v>
      </x:c>
      <x:c r="D927" s="25" t="str">
        <x:v>2-02-06-03</x:v>
      </x:c>
      <x:c r="E927" s="25" t="str">
        <x:v>化工生产工程技术人员</x:v>
      </x:c>
      <x:c r="F927" s="28" t="n">
        <x:f>COUNTIF('岗位-产业节点关系'!$C$4:$C$709,B927)</x:f>
        <x:v>0</x:v>
      </x:c>
      <x:c r="G927" s="26" t="str">
        <x:f>IF(F927=0,"未匹配（现有产业链范围未覆盖或证据不足）",IF(COUNTIFS('岗位-产业节点关系'!$C$4:$C$709,B927,'岗位-产业节点关系'!$M$4:$M$709,"低")&gt;0,"已匹配，建议复核","已匹配"))</x:f>
        <x:v>未匹配（现有产业链范围未覆盖或证据不足）</x:v>
      </x:c>
      <x:c r="H927" s="26" t="str">
        <x:v>-</x:v>
      </x:c>
      <x:c r="I927" s="26" t="str"/>
      <x:c r="J927" s="26" t="str"/>
      <x:c r="K927" s="26" t="str">
        <x:v>在能源/环保/化工行业中，造纸研发工程师扮演着推动技术革新与可持续发展的关键角色。作为连接理论研究与实际应用的桥梁，他们负责将最新的科研成果转化为高效的生产工艺，以提高产品质量和生产效率。 该职位的核心目标在于通过持续的…</x:v>
      </x:c>
      <x:c r="L927" s="26" t="str">
        <x:v>1. 负责新产品的设计与开发工作，包括但不限于特种纸、环保型纸张等，以满足市场需求。 2. 对现有生产线进行技术改造，提升设备性能，减少资源消耗，实现节能减排的目标。 3. 定期分析国内外相关领域的最新动态和技术趋势，为…</x:v>
      </x:c>
    </x:row>
    <x:row r="928" ht="72" customHeight="1">
      <x:c r="A928" s="25" t="n">
        <x:v>11820</x:v>
      </x:c>
      <x:c r="B928" s="25" t="str">
        <x:v>IC-L3-1077</x:v>
      </x:c>
      <x:c r="C928" s="25" t="str">
        <x:v>酒体设计师</x:v>
      </x:c>
      <x:c r="D928" s="25" t="str">
        <x:v>2-02-06-03</x:v>
      </x:c>
      <x:c r="E928" s="25" t="str">
        <x:v>化工生产工程技术人员</x:v>
      </x:c>
      <x:c r="F928" s="28" t="n">
        <x:f>COUNTIF('岗位-产业节点关系'!$C$4:$C$709,B928)</x:f>
        <x:v>0</x:v>
      </x:c>
      <x:c r="G928" s="26" t="str">
        <x:f>IF(F928=0,"未匹配（现有产业链范围未覆盖或证据不足）",IF(COUNTIFS('岗位-产业节点关系'!$C$4:$C$709,B928,'岗位-产业节点关系'!$M$4:$M$709,"低")&gt;0,"已匹配，建议复核","已匹配"))</x:f>
        <x:v>未匹配（现有产业链范围未覆盖或证据不足）</x:v>
      </x:c>
      <x:c r="H928" s="26" t="str">
        <x:v>-</x:v>
      </x:c>
      <x:c r="I928" s="26" t="str"/>
      <x:c r="J928" s="26" t="str"/>
      <x:c r="K928" s="26" t="str">
        <x:v>酒体设计师是能源/环保/化工行业中一个独特而重要的角色，尤其在酿酒和饮料制造领域。他们负责设计和优化酒类产品的风味、口感及稳定性，确保产品符合市场需求和消费者偏好，从而在激烈的市场竞争中脱颖而出。 该职位的核心目标在于通…</x:v>
      </x:c>
      <x:c r="L928" s="26" t="str">
        <x:v>1. 负责酒类产品从概念到成品的全过程设计，包括但不限于原料选择、配方调配、感官评价等工作，确保最终产品质量达到预期标准。 2. 定期参与市场调研活动，收集并分析消费者需求信息，据此调整产品设计方案，增强产品的市场适应性…</x:v>
      </x:c>
    </x:row>
    <x:row r="929" ht="72" customHeight="1">
      <x:c r="A929" s="25" t="n">
        <x:v>11821</x:v>
      </x:c>
      <x:c r="B929" s="25" t="str">
        <x:v>IC-L3-1078</x:v>
      </x:c>
      <x:c r="C929" s="25" t="str">
        <x:v>食品/饮料研发</x:v>
      </x:c>
      <x:c r="D929" s="25" t="str">
        <x:v>2-02-36-01</x:v>
      </x:c>
      <x:c r="E929" s="25" t="str">
        <x:v>制浆造纸工程技术人员</x:v>
      </x:c>
      <x:c r="F929" s="28" t="n">
        <x:f>COUNTIF('岗位-产业节点关系'!$C$4:$C$709,B929)</x:f>
        <x:v>1</x:v>
      </x:c>
      <x:c r="G929" s="26" t="str">
        <x:f>IF(F929=0,"未匹配（现有产业链范围未覆盖或证据不足）",IF(COUNTIFS('岗位-产业节点关系'!$C$4:$C$709,B929,'岗位-产业节点关系'!$M$4:$M$709,"低")&gt;0,"已匹配，建议复核","已匹配"))</x:f>
        <x:v>已匹配</x:v>
      </x:c>
      <x:c r="H929" s="26" t="str">
        <x:v>高</x:v>
      </x:c>
      <x:c r="I929" s="26" t="str">
        <x:v>ICN026</x:v>
      </x:c>
      <x:c r="J929" s="26" t="str">
        <x:v>食品饮料产业链/中游/食品饮料加工制造</x:v>
      </x:c>
      <x:c r="K929" s="26" t="str">
        <x:v>食品/饮料研发工程师在能源/环保/化工行业中扮演着至关重要的角色，尤其是在推动可持续发展和创新方面。随着消费者对健康意识的增强以及对环保产品的追求，食品/饮料研发工程师通过开发既安全又环保的产品，满足市场需求的同时也促进…</x:v>
      </x:c>
      <x:c r="L929" s="26" t="str">
        <x:v>1. 负责新产品的配方设计及实验测试，确保最终产品的安全性、口感和营养价值达到最佳标准。 2. 与市场部沟通交流，收集消费者反馈信息，据此调整改进现有产品或开发新产品。 3. 遵循相关法律法规要求，参与制定和完善食品安全…</x:v>
      </x:c>
    </x:row>
    <x:row r="930" ht="72" customHeight="1">
      <x:c r="A930" s="25" t="n">
        <x:v>11822</x:v>
      </x:c>
      <x:c r="B930" s="25" t="str">
        <x:v>IC-L3-1079</x:v>
      </x:c>
      <x:c r="C930" s="25" t="str">
        <x:v>绿化工</x:v>
      </x:c>
      <x:c r="D930" s="25" t="str">
        <x:v>2-02-06-03</x:v>
      </x:c>
      <x:c r="E930" s="25" t="str">
        <x:v>化工生产工程技术人员</x:v>
      </x:c>
      <x:c r="F930" s="28" t="n">
        <x:f>COUNTIF('岗位-产业节点关系'!$C$4:$C$709,B930)</x:f>
        <x:v>0</x:v>
      </x:c>
      <x:c r="G930" s="26" t="str">
        <x:f>IF(F930=0,"未匹配（现有产业链范围未覆盖或证据不足）",IF(COUNTIFS('岗位-产业节点关系'!$C$4:$C$709,B930,'岗位-产业节点关系'!$M$4:$M$709,"低")&gt;0,"已匹配，建议复核","已匹配"))</x:f>
        <x:v>未匹配（现有产业链范围未覆盖或证据不足）</x:v>
      </x:c>
      <x:c r="H930" s="26" t="str">
        <x:v>-</x:v>
      </x:c>
      <x:c r="I930" s="26" t="str"/>
      <x:c r="J930" s="26" t="str"/>
      <x:c r="K930" s="26" t="str">
        <x:v>绿化工是专门从事化工企业绿化维护与管理的专业人员。该职位的核心目标是通过科学的植物养护和环境美化，实现厂区生态环境优化。在日常工作中，需要进行绿化区域规划、植物种植养护、病虫害防治以及绿化设施维护等工作。</x:v>
      </x:c>
      <x:c r="L930" s="26" t="str">
        <x:v>1. 维护绿化设施设备 2. 调配化工营养药剂 3. 修剪养护园区植被 4. 处理植物病虫害 5. 记录绿化养护数据 6. 执行环保安全规范</x:v>
      </x:c>
    </x:row>
    <x:row r="931" ht="72" customHeight="1">
      <x:c r="A931" s="25" t="n">
        <x:v>11823</x:v>
      </x:c>
      <x:c r="B931" s="25" t="str">
        <x:v>IC-L3-1080</x:v>
      </x:c>
      <x:c r="C931" s="25" t="str">
        <x:v>固废工程师</x:v>
      </x:c>
      <x:c r="D931" s="25" t="str">
        <x:v>2-02-27-06</x:v>
      </x:c>
      <x:c r="E931" s="25" t="str">
        <x:v>健康安全环境工程技术人员</x:v>
      </x:c>
      <x:c r="F931" s="28" t="n">
        <x:f>COUNTIF('岗位-产业节点关系'!$C$4:$C$709,B931)</x:f>
        <x:v>1</x:v>
      </x:c>
      <x:c r="G931" s="26" t="str">
        <x:f>IF(F931=0,"未匹配（现有产业链范围未覆盖或证据不足）",IF(COUNTIFS('岗位-产业节点关系'!$C$4:$C$709,B931,'岗位-产业节点关系'!$M$4:$M$709,"低")&gt;0,"已匹配，建议复核","已匹配"))</x:f>
        <x:v>已匹配</x:v>
      </x:c>
      <x:c r="H931" s="26" t="str">
        <x:v>中</x:v>
      </x:c>
      <x:c r="I931" s="26" t="str">
        <x:v>ICN031</x:v>
      </x:c>
      <x:c r="J931" s="26" t="str">
        <x:v>绿色环保与资源循环产业链/上游/环保装备、监测与资源回收基础</x:v>
      </x:c>
      <x:c r="K931" s="26" t="str">
        <x:v>固废工程师在能源与环保行业中扮演着至关重要的角色，他们专注于固体废物处理与资源化利用，致力于减少环境污染并提高资源利用率。作为环境保护的重要一环，固废工程师不仅需要具备扎实的专业知识，还需要不断创新解决方案以应对日益严峻…</x:v>
      </x:c>
      <x:c r="L931" s="26" t="str">
        <x:v>1. 负责制定并优化固废处理流程，确保符合环保标准，减少对环境的影响。 2. 对现有工艺进行定期审查，识别潜在问题点，提出并执行有效的改进措施，提高资源回收率。 3. 协调内外部资源，参与新项目的规划与实施，确保项目按时…</x:v>
      </x:c>
    </x:row>
    <x:row r="932" ht="72" customHeight="1">
      <x:c r="A932" s="25" t="n">
        <x:v>11824</x:v>
      </x:c>
      <x:c r="B932" s="25" t="str">
        <x:v>IC-L3-1081</x:v>
      </x:c>
      <x:c r="C932" s="25" t="str">
        <x:v>废气处理工程师</x:v>
      </x:c>
      <x:c r="D932" s="25" t="str">
        <x:v>2-02-27-06</x:v>
      </x:c>
      <x:c r="E932" s="25" t="str">
        <x:v>健康安全环境工程技术人员</x:v>
      </x:c>
      <x:c r="F932" s="28" t="n">
        <x:f>COUNTIF('岗位-产业节点关系'!$C$4:$C$709,B932)</x:f>
        <x:v>1</x:v>
      </x:c>
      <x:c r="G932" s="26" t="str">
        <x:f>IF(F932=0,"未匹配（现有产业链范围未覆盖或证据不足）",IF(COUNTIFS('岗位-产业节点关系'!$C$4:$C$709,B932,'岗位-产业节点关系'!$M$4:$M$709,"低")&gt;0,"已匹配，建议复核","已匹配"))</x:f>
        <x:v>已匹配</x:v>
      </x:c>
      <x:c r="H932" s="26" t="str">
        <x:v>中</x:v>
      </x:c>
      <x:c r="I932" s="26" t="str">
        <x:v>ICN032</x:v>
      </x:c>
      <x:c r="J932" s="26" t="str">
        <x:v>绿色环保与资源循环产业链/中游/污染治理与节能降碳服务</x:v>
      </x:c>
      <x:c r="K932" s="26" t="str">
        <x:v>废气处理工程师是环保领域中至关重要的技术岗位，负责设计和实施减少工业排放的技术方案，以确保企业遵守国家环保法规并促进可持续发展。作为废气处理工程师，其核心目标是通过优化现有系统或开发新的处理技术来降低污染物排放水平，提高…</x:v>
      </x:c>
      <x:c r="L932" s="26" t="str">
        <x:v>废气处理工程师的主要职责包括：负责废气处理系统的运行、维护和管理，确保废气排放符合国家环保标准；进行废气处理工艺的优化和改进，提高处理效率；定期检查废气处理设备，及时发现并解决设备故障；参与废气处理项目的规划和设计，提供…</x:v>
      </x:c>
    </x:row>
    <x:row r="933" ht="72" customHeight="1">
      <x:c r="A933" s="25" t="n">
        <x:v>11825</x:v>
      </x:c>
      <x:c r="B933" s="25" t="str">
        <x:v>IC-L3-1082</x:v>
      </x:c>
      <x:c r="C933" s="25" t="str">
        <x:v>水处理工程师</x:v>
      </x:c>
      <x:c r="D933" s="25" t="str">
        <x:v>2-02-27-06</x:v>
      </x:c>
      <x:c r="E933" s="25" t="str">
        <x:v>健康安全环境工程技术人员</x:v>
      </x:c>
      <x:c r="F933" s="28" t="n">
        <x:f>COUNTIF('岗位-产业节点关系'!$C$4:$C$709,B933)</x:f>
        <x:v>1</x:v>
      </x:c>
      <x:c r="G933" s="26" t="str">
        <x:f>IF(F933=0,"未匹配（现有产业链范围未覆盖或证据不足）",IF(COUNTIFS('岗位-产业节点关系'!$C$4:$C$709,B933,'岗位-产业节点关系'!$M$4:$M$709,"低")&gt;0,"已匹配，建议复核","已匹配"))</x:f>
        <x:v>已匹配，建议复核</x:v>
      </x:c>
      <x:c r="H933" s="26" t="str">
        <x:v>低</x:v>
      </x:c>
      <x:c r="I933" s="26" t="str">
        <x:v>ICN032</x:v>
      </x:c>
      <x:c r="J933" s="26" t="str">
        <x:v>绿色环保与资源循环产业链/中游/污染治理与节能降碳服务</x:v>
      </x:c>
      <x:c r="K933" s="26" t="str">
        <x:v>水处理工程师是能源/环保/化工行业中不可或缺的专业技术人才，负责解决水资源污染问题，确保水质安全，对于推动可持续发展具有重要意义。该职位不仅要求具备扎实的理论知识和丰富的实践经验，还应具备良好的创新能力和强烈的社会责任感…</x:v>
      </x:c>
      <x:c r="L933" s="26" t="str">
        <x:v>1. 负责水处理工艺的设计与优化，确保系统运行稳定可靠，达到预期处理效果。 2. 对现有水处理设施进行定期检查维护，及时发现并解决潜在问题，保证设备正常运转。 3. 开展新技术新方法的研究试验，探索更高效低耗的水处理方案…</x:v>
      </x:c>
    </x:row>
    <x:row r="934" ht="72" customHeight="1">
      <x:c r="A934" s="25" t="n">
        <x:v>11826</x:v>
      </x:c>
      <x:c r="B934" s="25" t="str">
        <x:v>IC-L3-1083</x:v>
      </x:c>
      <x:c r="C934" s="25" t="str">
        <x:v>水质检测员</x:v>
      </x:c>
      <x:c r="D934" s="25" t="str">
        <x:v>2-02-27-06</x:v>
      </x:c>
      <x:c r="E934" s="25" t="str">
        <x:v>健康安全环境工程技术人员</x:v>
      </x:c>
      <x:c r="F934" s="28" t="n">
        <x:f>COUNTIF('岗位-产业节点关系'!$C$4:$C$709,B934)</x:f>
        <x:v>1</x:v>
      </x:c>
      <x:c r="G934" s="26" t="str">
        <x:f>IF(F934=0,"未匹配（现有产业链范围未覆盖或证据不足）",IF(COUNTIFS('岗位-产业节点关系'!$C$4:$C$709,B934,'岗位-产业节点关系'!$M$4:$M$709,"低")&gt;0,"已匹配，建议复核","已匹配"))</x:f>
        <x:v>已匹配，建议复核</x:v>
      </x:c>
      <x:c r="H934" s="26" t="str">
        <x:v>低</x:v>
      </x:c>
      <x:c r="I934" s="26" t="str">
        <x:v>ICN032</x:v>
      </x:c>
      <x:c r="J934" s="26" t="str">
        <x:v>绿色环保与资源循环产业链/中游/污染治理与节能降碳服务</x:v>
      </x:c>
      <x:c r="K934" s="26" t="str">
        <x:v>水质检测员是环保行业中不可或缺的专业技术人才，负责监测水体质量，确保水资源的安全与健康。通过精准的数据分析和科学的方法，他们能够有效评估水质状况，对于预防水污染、保护生态环境具有重要意义。在企业内部，水质检测员承担着至关…</x:v>
      </x:c>
      <x:c r="L934" s="26" t="str">
        <x:v>1. 负责定期采集地表水、地下水及废水样本，确保样品的代表性和准确性，为后续检测打下良好基础。 2. 运用先进的仪器设备进行水质参数测定，包括但不限于pH值、溶解氧、重金属离子浓度等，保证数据的真实可靠。 3. 对检测结…</x:v>
      </x:c>
    </x:row>
    <x:row r="935" ht="72" customHeight="1">
      <x:c r="A935" s="25" t="n">
        <x:v>11827</x:v>
      </x:c>
      <x:c r="B935" s="25" t="str">
        <x:v>IC-L3-1084</x:v>
      </x:c>
      <x:c r="C935" s="25" t="str">
        <x:v>环保工程师</x:v>
      </x:c>
      <x:c r="D935" s="25" t="str">
        <x:v>2-02-27-06</x:v>
      </x:c>
      <x:c r="E935" s="25" t="str">
        <x:v>健康安全环境工程技术人员</x:v>
      </x:c>
      <x:c r="F935" s="28" t="n">
        <x:f>COUNTIF('岗位-产业节点关系'!$C$4:$C$709,B935)</x:f>
        <x:v>1</x:v>
      </x:c>
      <x:c r="G935" s="26" t="str">
        <x:f>IF(F935=0,"未匹配（现有产业链范围未覆盖或证据不足）",IF(COUNTIFS('岗位-产业节点关系'!$C$4:$C$709,B935,'岗位-产业节点关系'!$M$4:$M$709,"低")&gt;0,"已匹配，建议复核","已匹配"))</x:f>
        <x:v>已匹配</x:v>
      </x:c>
      <x:c r="H935" s="26" t="str">
        <x:v>中</x:v>
      </x:c>
      <x:c r="I935" s="26" t="str">
        <x:v>ICN032</x:v>
      </x:c>
      <x:c r="J935" s="26" t="str">
        <x:v>绿色环保与资源循环产业链/中游/污染治理与节能降碳服务</x:v>
      </x:c>
      <x:c r="K935" s="26" t="str">
        <x:v>环保工程师在能源、环保与化工行业中扮演着至关重要的角色。他们负责评估、设计并实施各种减少污染、提高资源利用效率的解决方案，确保企业活动符合国家法律法规及国际标准的要求，同时促进可持续发展。此外，环保工程师还致力于通过技术…</x:v>
      </x:c>
      <x:c r="L935" s="26" t="str">
        <x:v>1. 设计和执行环保方案，确保所有工程项目遵守相关的环保法规，减少对自然环境的影响。 2. 定期进行环境质量检测，分析数据并报告结果，及时发现并纠正不符合项，保障公司合法合规经营。 3. 与相关部门沟通协调，提出改进生产…</x:v>
      </x:c>
    </x:row>
    <x:row r="936" ht="72" customHeight="1">
      <x:c r="A936" s="25" t="n">
        <x:v>11828</x:v>
      </x:c>
      <x:c r="B936" s="25" t="str">
        <x:v>IC-L3-1085</x:v>
      </x:c>
      <x:c r="C936" s="25" t="str">
        <x:v>环保检测</x:v>
      </x:c>
      <x:c r="D936" s="25" t="str">
        <x:v>2-02-27-06</x:v>
      </x:c>
      <x:c r="E936" s="25" t="str">
        <x:v>健康安全环境工程技术人员</x:v>
      </x:c>
      <x:c r="F936" s="28" t="n">
        <x:f>COUNTIF('岗位-产业节点关系'!$C$4:$C$709,B936)</x:f>
        <x:v>1</x:v>
      </x:c>
      <x:c r="G936" s="26" t="str">
        <x:f>IF(F936=0,"未匹配（现有产业链范围未覆盖或证据不足）",IF(COUNTIFS('岗位-产业节点关系'!$C$4:$C$709,B936,'岗位-产业节点关系'!$M$4:$M$709,"低")&gt;0,"已匹配，建议复核","已匹配"))</x:f>
        <x:v>已匹配</x:v>
      </x:c>
      <x:c r="H936" s="26" t="str">
        <x:v>中</x:v>
      </x:c>
      <x:c r="I936" s="26" t="str">
        <x:v>ICN031</x:v>
      </x:c>
      <x:c r="J936" s="26" t="str">
        <x:v>绿色环保与资源循环产业链/上游/环保装备、监测与资源回收基础</x:v>
      </x:c>
      <x:c r="K936" s="26" t="str">
        <x:v>环保检测工程师是能源/环保/化工行业中不可或缺的专业技术人才，他们负责确保生产过程中的环境影响最小化，通过科学的方法和技术手段来监控和评估环境质量，对于推动企业可持续发展具有重要作用。该职位的核心目标在于建立和完善环境监…</x:v>
      </x:c>
      <x:c r="L936" s="26" t="str">
        <x:v>1. 负责制定并执行定期或不定期的环境监测计划，涵盖水、气、声、渣等多个方面，确保监测数据准确无误。 2. 运用先进的检测设备和技术手段，对污染物浓度进行精确测量，分析结果以判断是否超标，并提出改进建议。 3. 参与公司…</x:v>
      </x:c>
    </x:row>
    <x:row r="937" ht="72" customHeight="1">
      <x:c r="A937" s="25" t="n">
        <x:v>11829</x:v>
      </x:c>
      <x:c r="B937" s="25" t="str">
        <x:v>IC-L3-1086</x:v>
      </x:c>
      <x:c r="C937" s="25" t="str">
        <x:v>环境影响评价工程师</x:v>
      </x:c>
      <x:c r="D937" s="25" t="str">
        <x:v>2-02-27-06</x:v>
      </x:c>
      <x:c r="E937" s="25" t="str">
        <x:v>健康安全环境工程技术人员</x:v>
      </x:c>
      <x:c r="F937" s="28" t="n">
        <x:f>COUNTIF('岗位-产业节点关系'!$C$4:$C$709,B937)</x:f>
        <x:v>0</x:v>
      </x:c>
      <x:c r="G937" s="26" t="str">
        <x:f>IF(F937=0,"未匹配（现有产业链范围未覆盖或证据不足）",IF(COUNTIFS('岗位-产业节点关系'!$C$4:$C$709,B937,'岗位-产业节点关系'!$M$4:$M$709,"低")&gt;0,"已匹配，建议复核","已匹配"))</x:f>
        <x:v>未匹配（现有产业链范围未覆盖或证据不足）</x:v>
      </x:c>
      <x:c r="H937" s="26" t="str">
        <x:v>-</x:v>
      </x:c>
      <x:c r="I937" s="26" t="str"/>
      <x:c r="J937" s="26" t="str"/>
      <x:c r="K937" s="26" t="str">
        <x:v>环境影响评价工程师是环保领域中不可或缺的专业人才，主要负责评估项目对自然环境和社会的影响，确保开发活动符合国家法律法规及环境保护标准，对促进可持续发展起着至关重要的作用。该职位的核心目标在于通过科学严谨的方法论分析潜在风…</x:v>
      </x:c>
      <x:c r="L937" s="26" t="str">
        <x:v>1. 负责收集整理相关资料，开展现场踏勘调研，编写环境影响报告书（表），确保内容全面准确，满足审批要求。 2. 对拟建项目进行环境因素识别、预测和评价，制定切实可行的污染防治对策，指导项目顺利通过环评审批。 3. 协调内…</x:v>
      </x:c>
    </x:row>
    <x:row r="938" ht="72" customHeight="1">
      <x:c r="A938" s="25" t="n">
        <x:v>11830</x:v>
      </x:c>
      <x:c r="B938" s="25" t="str">
        <x:v>IC-L3-1087</x:v>
      </x:c>
      <x:c r="C938" s="25" t="str">
        <x:v>生态治理/规划</x:v>
      </x:c>
      <x:c r="D938" s="25" t="str">
        <x:v>2-02-27-06</x:v>
      </x:c>
      <x:c r="E938" s="25" t="str">
        <x:v>健康安全环境工程技术人员</x:v>
      </x:c>
      <x:c r="F938" s="28" t="n">
        <x:f>COUNTIF('岗位-产业节点关系'!$C$4:$C$709,B938)</x:f>
        <x:v>1</x:v>
      </x:c>
      <x:c r="G938" s="26" t="str">
        <x:f>IF(F938=0,"未匹配（现有产业链范围未覆盖或证据不足）",IF(COUNTIFS('岗位-产业节点关系'!$C$4:$C$709,B938,'岗位-产业节点关系'!$M$4:$M$709,"低")&gt;0,"已匹配，建议复核","已匹配"))</x:f>
        <x:v>已匹配，建议复核</x:v>
      </x:c>
      <x:c r="H938" s="26" t="str">
        <x:v>低</x:v>
      </x:c>
      <x:c r="I938" s="26" t="str">
        <x:v>ICN031</x:v>
      </x:c>
      <x:c r="J938" s="26" t="str">
        <x:v>绿色环保与资源循环产业链/上游/环保装备、监测与资源回收基础</x:v>
      </x:c>
      <x:c r="K938" s="26" t="str">
        <x:v>生态治理/规划师是环保领域中的关键角色，负责设计和实施生态系统恢复项目，确保自然环境的可持续发展。通过科学的方法评估生态系统的健康状况，制定合理的治理方案，以减少环境污染，保护生物多样性，促进人与自然和谐共生。 该职位的…</x:v>
      </x:c>
      <x:c r="L938" s="26" t="str">
        <x:v>1. 负责开展区域生态环境现状调查，分析数据，编写评估报告，为生态治理提供依据。 2. 根据项目需求，设计生态修复方案，包括但不限于植被重建、水体净化等方面，确保方案的科学性和可行性。 3. 协调内外部资源，监督施工过程…</x:v>
      </x:c>
    </x:row>
    <x:row r="939" ht="72" customHeight="1">
      <x:c r="A939" s="25" t="n">
        <x:v>11831</x:v>
      </x:c>
      <x:c r="B939" s="25" t="str">
        <x:v>IC-L3-1088</x:v>
      </x:c>
      <x:c r="C939" s="25" t="str">
        <x:v>碳排放管理员</x:v>
      </x:c>
      <x:c r="D939" s="25" t="str">
        <x:v>2-02-27-06</x:v>
      </x:c>
      <x:c r="E939" s="25" t="str">
        <x:v>健康安全环境工程技术人员</x:v>
      </x:c>
      <x:c r="F939" s="28" t="n">
        <x:f>COUNTIF('岗位-产业节点关系'!$C$4:$C$709,B939)</x:f>
        <x:v>1</x:v>
      </x:c>
      <x:c r="G939" s="26" t="str">
        <x:f>IF(F939=0,"未匹配（现有产业链范围未覆盖或证据不足）",IF(COUNTIFS('岗位-产业节点关系'!$C$4:$C$709,B939,'岗位-产业节点关系'!$M$4:$M$709,"低")&gt;0,"已匹配，建议复核","已匹配"))</x:f>
        <x:v>已匹配，建议复核</x:v>
      </x:c>
      <x:c r="H939" s="26" t="str">
        <x:v>低</x:v>
      </x:c>
      <x:c r="I939" s="26" t="str">
        <x:v>ICN032</x:v>
      </x:c>
      <x:c r="J939" s="26" t="str">
        <x:v>绿色环保与资源循环产业链/中游/污染治理与节能降碳服务</x:v>
      </x:c>
      <x:c r="K939" s="26" t="str">
        <x:v>碳排放管理员是环保领域中的关键角色，主要负责监督和管理企业或组织的碳排放情况，确保其符合国家和国际的相关法规标准。随着全球对气候变化问题的关注日益增加，这一职位对于推动可持续发展和环境保护具有不可替代的重要性。 该职位的…</x:v>
      </x:c>
      <x:c r="L939" s="26" t="str">
        <x:v>1. 负责建立和完善企业内部碳排放管理体系，确保所有操作流程均符合国内外相关法律法规要求。 2. 定期进行碳排放数据的收集、统计分析，编制月度/季度/年度报告，及时反映企业碳排放状况。 3. 结合企业实际情况，研究并提出…</x:v>
      </x:c>
    </x:row>
    <x:row r="940" ht="72" customHeight="1">
      <x:c r="A940" s="25" t="n">
        <x:v>11832</x:v>
      </x:c>
      <x:c r="B940" s="25" t="str">
        <x:v>IC-L3-1089</x:v>
      </x:c>
      <x:c r="C940" s="25" t="str">
        <x:v>畜牧师</x:v>
      </x:c>
      <x:c r="D940" s="25" t="str">
        <x:v>2-02-27-06</x:v>
      </x:c>
      <x:c r="E940" s="25" t="str">
        <x:v>健康安全环境工程技术人员</x:v>
      </x:c>
      <x:c r="F940" s="28" t="n">
        <x:f>COUNTIF('岗位-产业节点关系'!$C$4:$C$709,B940)</x:f>
        <x:v>1</x:v>
      </x:c>
      <x:c r="G940" s="26" t="str">
        <x:f>IF(F940=0,"未匹配（现有产业链范围未覆盖或证据不足）",IF(COUNTIFS('岗位-产业节点关系'!$C$4:$C$709,B940,'岗位-产业节点关系'!$M$4:$M$709,"低")&gt;0,"已匹配，建议复核","已匹配"))</x:f>
        <x:v>已匹配，建议复核</x:v>
      </x:c>
      <x:c r="H940" s="26" t="str">
        <x:v>低</x:v>
      </x:c>
      <x:c r="I940" s="26" t="str">
        <x:v>ICN031</x:v>
      </x:c>
      <x:c r="J940" s="26" t="str">
        <x:v>绿色环保与资源循环产业链/上游/环保装备、监测与资源回收基础</x:v>
      </x:c>
      <x:c r="K940" s="26" t="str">
        <x:v>畜牧师是专门从事畜禽养殖与环保管理的专业人员。该职位的核心目标是通过科学养殖和环保技术应用，实现畜牧业可持续发展与生态保护。在日常工作中，需要进行养殖场环境监测、废弃物处理方案设计、绿色养殖技术推广等工作。</x:v>
      </x:c>
      <x:c r="L940" s="26" t="str">
        <x:v>1. 制定养殖环保方案 2. 优化畜禽粪污处理 3. 监测养殖环境指标 4. 推广生态养殖技术 5. 评估环保措施效果 6. 培训养殖人员技能</x:v>
      </x:c>
    </x:row>
    <x:row r="941" ht="72" customHeight="1">
      <x:c r="A941" s="25" t="n">
        <x:v>11833</x:v>
      </x:c>
      <x:c r="B941" s="25" t="str">
        <x:v>IC-L3-1090</x:v>
      </x:c>
      <x:c r="C941" s="25" t="str">
        <x:v>材料工程师</x:v>
      </x:c>
      <x:c r="D941" s="25" t="str">
        <x:v>2-02-27-06</x:v>
      </x:c>
      <x:c r="E941" s="25" t="str">
        <x:v>健康安全环境工程技术人员</x:v>
      </x:c>
      <x:c r="F941" s="28" t="n">
        <x:f>COUNTIF('岗位-产业节点关系'!$C$4:$C$709,B941)</x:f>
        <x:v>1</x:v>
      </x:c>
      <x:c r="G941" s="26" t="str">
        <x:f>IF(F941=0,"未匹配（现有产业链范围未覆盖或证据不足）",IF(COUNTIFS('岗位-产业节点关系'!$C$4:$C$709,B941,'岗位-产业节点关系'!$M$4:$M$709,"低")&gt;0,"已匹配，建议复核","已匹配"))</x:f>
        <x:v>已匹配</x:v>
      </x:c>
      <x:c r="H941" s="26" t="str">
        <x:v>中</x:v>
      </x:c>
      <x:c r="I941" s="26" t="str">
        <x:v>ICN035</x:v>
      </x:c>
      <x:c r="J941" s="26" t="str">
        <x:v>新材料产业链/中游/先进材料制备与加工</x:v>
      </x:c>
      <x:c r="K941" s="26" t="str">
        <x:v>材料工程师是专门从事环保材料研发与应用的专业人员。该职位的核心目标是通过开发高性能环保材料，实现资源高效利用与污染减排。在日常工作中，需要进行新材料研发、性能测试、生产工艺优化以及环保材料应用方案设计等工作。</x:v>
      </x:c>
      <x:c r="L941" s="26" t="str">
        <x:v>1. 研发环保新材料 2. 优化材料生产工艺 3. 测试材料性能指标 4. 分析材料环保特性 5. 解决材料应用问题 6. 编制技术规范文档</x:v>
      </x:c>
    </x:row>
    <x:row r="942" ht="72" customHeight="1">
      <x:c r="A942" s="25" t="n">
        <x:v>11834</x:v>
      </x:c>
      <x:c r="B942" s="25" t="str">
        <x:v>IC-L3-1091</x:v>
      </x:c>
      <x:c r="C942" s="25" t="str">
        <x:v>总工程师/副总工程师</x:v>
      </x:c>
      <x:c r="D942" s="25" t="str">
        <x:v>2-02-27-06</x:v>
      </x:c>
      <x:c r="E942" s="25" t="str">
        <x:v>健康安全环境工程技术人员</x:v>
      </x:c>
      <x:c r="F942" s="28" t="n">
        <x:f>COUNTIF('岗位-产业节点关系'!$C$4:$C$709,B942)</x:f>
        <x:v>0</x:v>
      </x:c>
      <x:c r="G942" s="26" t="str">
        <x:f>IF(F942=0,"未匹配（现有产业链范围未覆盖或证据不足）",IF(COUNTIFS('岗位-产业节点关系'!$C$4:$C$709,B942,'岗位-产业节点关系'!$M$4:$M$709,"低")&gt;0,"已匹配，建议复核","已匹配"))</x:f>
        <x:v>未匹配（现有产业链范围未覆盖或证据不足）</x:v>
      </x:c>
      <x:c r="H942" s="26" t="str">
        <x:v>-</x:v>
      </x:c>
      <x:c r="I942" s="26" t="str"/>
      <x:c r="J942" s="26" t="str"/>
      <x:c r="K942" s="26" t="str">
        <x:v>总工程师/副总工程师是专门从事环保工程技术管理的专业人员。该职位的核心目标是通过优化技术方案和工程管理，实现环保项目的高效实施和质量达标。在日常工作中，需要进行技术方案评审、工程进度把控、质量安全管理以及团队技术指导等工…</x:v>
      </x:c>
      <x:c r="L942" s="26" t="str">
        <x:v>1. 制定环保技术方案 2. 监督工程实施质量 3. 优化环保工艺流程 4. 指导技术团队工作 5. 审核环保项目设计 6. 解决重大技术难题</x:v>
      </x:c>
    </x:row>
    <x:row r="943" ht="72" customHeight="1">
      <x:c r="A943" s="25" t="n">
        <x:v>11835</x:v>
      </x:c>
      <x:c r="B943" s="25" t="str">
        <x:v>IC-L3-1092</x:v>
      </x:c>
      <x:c r="C943" s="25" t="str">
        <x:v>给排水设计</x:v>
      </x:c>
      <x:c r="D943" s="25" t="str">
        <x:v>2-02-27-06</x:v>
      </x:c>
      <x:c r="E943" s="25" t="str">
        <x:v>健康安全环境工程技术人员</x:v>
      </x:c>
      <x:c r="F943" s="28" t="n">
        <x:f>COUNTIF('岗位-产业节点关系'!$C$4:$C$709,B943)</x:f>
        <x:v>1</x:v>
      </x:c>
      <x:c r="G943" s="26" t="str">
        <x:f>IF(F943=0,"未匹配（现有产业链范围未覆盖或证据不足）",IF(COUNTIFS('岗位-产业节点关系'!$C$4:$C$709,B943,'岗位-产业节点关系'!$M$4:$M$709,"低")&gt;0,"已匹配，建议复核","已匹配"))</x:f>
        <x:v>已匹配</x:v>
      </x:c>
      <x:c r="H943" s="26" t="str">
        <x:v>中</x:v>
      </x:c>
      <x:c r="I943" s="26" t="str">
        <x:v>ICN007</x:v>
      </x:c>
      <x:c r="J943" s="26" t="str">
        <x:v>基础设施与城市建设产业链/上游/规划设计、建材与工程准备</x:v>
      </x:c>
      <x:c r="K943" s="26" t="str">
        <x:v>给排水设计是专门从事水处理系统和管网规划设计的专业人员。该职位的核心目标是通过优化给排水系统设计，实现水资源高效利用和环保达标。在日常工作中，需要进行方案设计、水力计算、图纸绘制、技术评审及现场指导等工作。</x:v>
      </x:c>
      <x:c r="L943" s="26" t="str">
        <x:v>1. 编制给排水方案 2. 设计环保水处理系统 3. 优化管网布局设计 4. 审核施工图纸规范 5. 协调现场施工问题 6. 评估系统运行效果</x:v>
      </x:c>
    </x:row>
    <x:row r="944" ht="72" customHeight="1">
      <x:c r="A944" s="25" t="n">
        <x:v>11836</x:v>
      </x:c>
      <x:c r="B944" s="25" t="str">
        <x:v>IC-L3-1093</x:v>
      </x:c>
      <x:c r="C944" s="25" t="str">
        <x:v>资料员</x:v>
      </x:c>
      <x:c r="D944" s="25" t="str">
        <x:v>3-01-02-02</x:v>
      </x:c>
      <x:c r="E944" s="25" t="str">
        <x:v>秘书</x:v>
      </x:c>
      <x:c r="F944" s="28" t="n">
        <x:f>COUNTIF('岗位-产业节点关系'!$C$4:$C$709,B944)</x:f>
        <x:v>0</x:v>
      </x:c>
      <x:c r="G944" s="26" t="str">
        <x:f>IF(F944=0,"未匹配（现有产业链范围未覆盖或证据不足）",IF(COUNTIFS('岗位-产业节点关系'!$C$4:$C$709,B944,'岗位-产业节点关系'!$M$4:$M$709,"低")&gt;0,"已匹配，建议复核","已匹配"))</x:f>
        <x:v>未匹配（现有产业链范围未覆盖或证据不足）</x:v>
      </x:c>
      <x:c r="H944" s="26" t="str">
        <x:v>-</x:v>
      </x:c>
      <x:c r="I944" s="26" t="str"/>
      <x:c r="J944" s="26" t="str"/>
      <x:c r="K944" s="26" t="str">
        <x:v>资料员是专门从事环保项目资料管理的专业人员。该职位的核心目标是通过规范化的文档管理，确保项目资料的完整性和可追溯性。在日常工作中，需要进行项目资料收集、分类归档、编制台账以及配合监管部门检查等工作。</x:v>
      </x:c>
      <x:c r="L944" s="26" t="str">
        <x:v>1. 收集环保项目资料 2. 整理归档技术文件 3. 维护资料管理系统 4. 编制环保数据报表 5. 协助项目验收工作 6. 更新法规标准文件</x:v>
      </x:c>
    </x:row>
    <x:row r="945" ht="72" customHeight="1">
      <x:c r="A945" s="25" t="n">
        <x:v>11837</x:v>
      </x:c>
      <x:c r="B945" s="25" t="str">
        <x:v>IC-L3-1094</x:v>
      </x:c>
      <x:c r="C945" s="25" t="str">
        <x:v>质量工程师</x:v>
      </x:c>
      <x:c r="D945" s="25" t="str">
        <x:v>2-02-29-03</x:v>
      </x:c>
      <x:c r="E945" s="25" t="str">
        <x:v>质量管理工程技术人员</x:v>
      </x:c>
      <x:c r="F945" s="28" t="n">
        <x:f>COUNTIF('岗位-产业节点关系'!$C$4:$C$709,B945)</x:f>
        <x:v>0</x:v>
      </x:c>
      <x:c r="G945" s="26" t="str">
        <x:f>IF(F945=0,"未匹配（现有产业链范围未覆盖或证据不足）",IF(COUNTIFS('岗位-产业节点关系'!$C$4:$C$709,B945,'岗位-产业节点关系'!$M$4:$M$709,"低")&gt;0,"已匹配，建议复核","已匹配"))</x:f>
        <x:v>未匹配（现有产业链范围未覆盖或证据不足）</x:v>
      </x:c>
      <x:c r="H945" s="26" t="str">
        <x:v>-</x:v>
      </x:c>
      <x:c r="I945" s="26" t="str"/>
      <x:c r="J945" s="26" t="str"/>
      <x:c r="K945" s="26" t="str">
        <x:v>质量工程师是专门从事环保产品质量控制和过程改进的专业人员。该职位的核心目标是通过建立完善的质量管理体系，确保环保产品和服务符合行业标准及客户要求。在日常工作中，需要进行质量检验、数据分析、流程优化及供应商质量评估等工作。</x:v>
      </x:c>
      <x:c r="L945" s="26" t="str">
        <x:v>1. 制定质量标准 2. 监督环保生产 3. 检测产品性能 4. 分析质量数据 5. 改进环保工艺 6. 处理质量投诉</x:v>
      </x:c>
    </x:row>
    <x:row r="946" ht="72" customHeight="1">
      <x:c r="A946" s="25" t="n">
        <x:v>11838</x:v>
      </x:c>
      <x:c r="B946" s="25" t="str">
        <x:v>IC-L3-1095</x:v>
      </x:c>
      <x:c r="C946" s="25" t="str">
        <x:v>焊接工程师</x:v>
      </x:c>
      <x:c r="D946" s="25" t="str">
        <x:v>2-02-27-06</x:v>
      </x:c>
      <x:c r="E946" s="25" t="str">
        <x:v>健康安全环境工程技术人员</x:v>
      </x:c>
      <x:c r="F946" s="28" t="n">
        <x:f>COUNTIF('岗位-产业节点关系'!$C$4:$C$709,B946)</x:f>
        <x:v>1</x:v>
      </x:c>
      <x:c r="G946" s="26" t="str">
        <x:f>IF(F946=0,"未匹配（现有产业链范围未覆盖或证据不足）",IF(COUNTIFS('岗位-产业节点关系'!$C$4:$C$709,B946,'岗位-产业节点关系'!$M$4:$M$709,"低")&gt;0,"已匹配，建议复核","已匹配"))</x:f>
        <x:v>已匹配</x:v>
      </x:c>
      <x:c r="H946" s="26" t="str">
        <x:v>中</x:v>
      </x:c>
      <x:c r="I946" s="26" t="str">
        <x:v>ICN005</x:v>
      </x:c>
      <x:c r="J946" s="26" t="str">
        <x:v>高端装备与智能制造产业链/中游/高端装备制造与激光加工</x:v>
      </x:c>
      <x:c r="K946" s="26" t="str">
        <x:v>焊接工程师是专门从事环保设备焊接技术研发与应用的专业人员。该职位的核心目标是通过优化焊接工艺和材料选择，确保设备环保性能和使用寿命。在日常工作中，需要进行焊接工艺设计、质量检测、技术改进及现场指导等工作。</x:v>
      </x:c>
      <x:c r="L946" s="26" t="str">
        <x:v>1. 设计环保焊接工艺 2. 优化焊接材料选择 3. 监督焊接质量检测 4. 解决焊接技术问题 5. 编制焊接操作规范 6. 培训焊接操作人员</x:v>
      </x:c>
    </x:row>
    <x:row r="947" ht="72" customHeight="1">
      <x:c r="A947" s="25" t="n">
        <x:v>11839</x:v>
      </x:c>
      <x:c r="B947" s="25" t="str">
        <x:v>IC-L3-1096</x:v>
      </x:c>
      <x:c r="C947" s="25" t="str">
        <x:v>光伏系统工程师</x:v>
      </x:c>
      <x:c r="D947" s="25" t="str">
        <x:v>2-02-38-05</x:v>
      </x:c>
      <x:c r="E947" s="25" t="str">
        <x:v>智能制造工程技术人员</x:v>
      </x:c>
      <x:c r="F947" s="28" t="n">
        <x:f>COUNTIF('岗位-产业节点关系'!$C$4:$C$709,B947)</x:f>
        <x:v>1</x:v>
      </x:c>
      <x:c r="G947" s="26" t="str">
        <x:f>IF(F947=0,"未匹配（现有产业链范围未覆盖或证据不足）",IF(COUNTIFS('岗位-产业节点关系'!$C$4:$C$709,B947,'岗位-产业节点关系'!$M$4:$M$709,"低")&gt;0,"已匹配，建议复核","已匹配"))</x:f>
        <x:v>已匹配</x:v>
      </x:c>
      <x:c r="H947" s="26" t="str">
        <x:v>中</x:v>
      </x:c>
      <x:c r="I947" s="26" t="str">
        <x:v>ICN014</x:v>
      </x:c>
      <x:c r="J947" s="26" t="str">
        <x:v>新能源与电力装备产业链/中游/发电、储能与输配电装备</x:v>
      </x:c>
      <x:c r="K947" s="26" t="str">
        <x:v>光伏系统工程师是能源行业中至关重要的技术岗位，主要负责太阳能光伏系统的规划、设计与实施。随着全球对可再生能源需求的增长，这一职位对于推动绿色能源的发展、减少碳排放以及实现可持续发展目标具有不可替代的作用。作为公司技术团队…</x:v>
      </x:c>
      <x:c r="L947" s="26" t="str">
        <x:v>1. 负责光伏电站的设计工作，包括系统配置选择、电气设备选型、布线方案制定等，确保设计方案符合国家相关标准和技术规范。 2. 对现有光伏系统进行定期评估和维护，及时发现并解决潜在问题，保证系统的稳定运行，延长设备使用寿命…</x:v>
      </x:c>
    </x:row>
    <x:row r="948" ht="72" customHeight="1">
      <x:c r="A948" s="25" t="n">
        <x:v>11840</x:v>
      </x:c>
      <x:c r="B948" s="25" t="str">
        <x:v>IC-L3-1097</x:v>
      </x:c>
      <x:c r="C948" s="25" t="str">
        <x:v>水利/水电工程师</x:v>
      </x:c>
      <x:c r="D948" s="25" t="str">
        <x:v>2-02-38-05</x:v>
      </x:c>
      <x:c r="E948" s="25" t="str">
        <x:v>智能制造工程技术人员</x:v>
      </x:c>
      <x:c r="F948" s="28" t="n">
        <x:f>COUNTIF('岗位-产业节点关系'!$C$4:$C$709,B948)</x:f>
        <x:v>0</x:v>
      </x:c>
      <x:c r="G948" s="26" t="str">
        <x:f>IF(F948=0,"未匹配（现有产业链范围未覆盖或证据不足）",IF(COUNTIFS('岗位-产业节点关系'!$C$4:$C$709,B948,'岗位-产业节点关系'!$M$4:$M$709,"低")&gt;0,"已匹配，建议复核","已匹配"))</x:f>
        <x:v>未匹配（现有产业链范围未覆盖或证据不足）</x:v>
      </x:c>
      <x:c r="H948" s="26" t="str">
        <x:v>-</x:v>
      </x:c>
      <x:c r="I948" s="26" t="str"/>
      <x:c r="J948" s="26" t="str"/>
      <x:c r="K948" s="26" t="str">
        <x:v>水利/水电工程师是能源行业中不可或缺的专业人才，负责设计、实施和管理与水力发电相关的项目。该职位不仅确保了水资源的有效利用，还促进了可再生能源的发展，对于实现国家节能减排目标具有重要意义。作为公司技术团队的核心成员，水利…</x:v>
      </x:c>
      <x:c r="L948" s="26" t="str">
        <x:v>1. 负责水力发电站的设计工作，包括初步方案制定、详细设计图纸绘制以及相关计算分析，确保设计方案符合国家规范和技术标准。 2. 对新建或改造项目进行现场勘查，收集必要的地理、地质资料，为工程设计提供准确依据，同时参与施工…</x:v>
      </x:c>
    </x:row>
    <x:row r="949" ht="72" customHeight="1">
      <x:c r="A949" s="25" t="n">
        <x:v>11841</x:v>
      </x:c>
      <x:c r="B949" s="25" t="str">
        <x:v>IC-L3-1098</x:v>
      </x:c>
      <x:c r="C949" s="25" t="str">
        <x:v>电力工程师</x:v>
      </x:c>
      <x:c r="D949" s="25" t="str">
        <x:v>2-02-38-05</x:v>
      </x:c>
      <x:c r="E949" s="25" t="str">
        <x:v>智能制造工程技术人员</x:v>
      </x:c>
      <x:c r="F949" s="28" t="n">
        <x:f>COUNTIF('岗位-产业节点关系'!$C$4:$C$709,B949)</x:f>
        <x:v>1</x:v>
      </x:c>
      <x:c r="G949" s="26" t="str">
        <x:f>IF(F949=0,"未匹配（现有产业链范围未覆盖或证据不足）",IF(COUNTIFS('岗位-产业节点关系'!$C$4:$C$709,B949,'岗位-产业节点关系'!$M$4:$M$709,"低")&gt;0,"已匹配，建议复核","已匹配"))</x:f>
        <x:v>已匹配</x:v>
      </x:c>
      <x:c r="H949" s="26" t="str">
        <x:v>中</x:v>
      </x:c>
      <x:c r="I949" s="26" t="str">
        <x:v>ICN014</x:v>
      </x:c>
      <x:c r="J949" s="26" t="str">
        <x:v>新能源与电力装备产业链/中游/发电、储能与输配电装备</x:v>
      </x:c>
      <x:c r="K949" s="26" t="str">
        <x:v>电力工程师是能源行业中不可或缺的专业人才，负责确保电力系统的安全、稳定与高效运行。这一角色不仅直接关系到国家的能源供应安全，也是推动绿色能源发展的重要力量。 该职位的核心目标在于通过技术创新和优化管理，提高电力生产效率，…</x:v>
      </x:c>
      <x:c r="L949" s="26" t="str">
        <x:v>1. 负责电力系统的设计、安装、调试及维护工作，确保电力设施的安全可靠运行。 2. 分析电力系统性能数据，提出改进建议并实施技术改造方案，以提高系统效率和稳定性。 3. 参与新项目的可行性研究和技术评估，为公司决策提供科…</x:v>
      </x:c>
    </x:row>
    <x:row r="950" ht="72" customHeight="1">
      <x:c r="A950" s="25" t="n">
        <x:v>11842</x:v>
      </x:c>
      <x:c r="B950" s="25" t="str">
        <x:v>IC-L3-1099</x:v>
      </x:c>
      <x:c r="C950" s="25" t="str">
        <x:v>石油天然气技术人员</x:v>
      </x:c>
      <x:c r="D950" s="25" t="str">
        <x:v>2-02-38-05</x:v>
      </x:c>
      <x:c r="E950" s="25" t="str">
        <x:v>智能制造工程技术人员</x:v>
      </x:c>
      <x:c r="F950" s="28" t="n">
        <x:f>COUNTIF('岗位-产业节点关系'!$C$4:$C$709,B950)</x:f>
        <x:v>1</x:v>
      </x:c>
      <x:c r="G950" s="26" t="str">
        <x:f>IF(F950=0,"未匹配（现有产业链范围未覆盖或证据不足）",IF(COUNTIFS('岗位-产业节点关系'!$C$4:$C$709,B950,'岗位-产业节点关系'!$M$4:$M$709,"低")&gt;0,"已匹配，建议复核","已匹配"))</x:f>
        <x:v>已匹配</x:v>
      </x:c>
      <x:c r="H950" s="26" t="str">
        <x:v>中</x:v>
      </x:c>
      <x:c r="I950" s="26" t="str">
        <x:v>ICN019</x:v>
      </x:c>
      <x:c r="J950" s="26" t="str">
        <x:v>石油化工产业链/上游/油气资源与基础化工原料</x:v>
      </x:c>
      <x:c r="K950" s="26" t="str">
        <x:v>石油天然气技术人员是能源行业中不可或缺的专业人才，他们负责确保石油和天然气资源的安全、高效开采与运输。作为技术专家，他们在保障国家能源安全和推动绿色可持续发展方面发挥着关键作用。 该职位的核心目标在于通过先进的技术和科学…</x:v>
      </x:c>
      <x:c r="L950" s="26" t="str">
        <x:v>1. 负责设计和实施石油天然气勘探开发方案，确保项目按计划推进并达到预期目标。 2. 对现有生产设备进行定期检查维护，预防故障发生，保障生产活动顺利进行。 3. 分析生产数据，提出改进措施，以提高工作效率和产品质量。 4…</x:v>
      </x:c>
    </x:row>
    <x:row r="951" ht="72" customHeight="1">
      <x:c r="A951" s="25" t="n">
        <x:v>11843</x:v>
      </x:c>
      <x:c r="B951" s="25" t="str">
        <x:v>IC-L3-1100</x:v>
      </x:c>
      <x:c r="C951" s="25" t="str">
        <x:v>矿产勘探/地质勘测工程师</x:v>
      </x:c>
      <x:c r="D951" s="25" t="str">
        <x:v>2-02-38-05</x:v>
      </x:c>
      <x:c r="E951" s="25" t="str">
        <x:v>智能制造工程技术人员</x:v>
      </x:c>
      <x:c r="F951" s="28" t="n">
        <x:f>COUNTIF('岗位-产业节点关系'!$C$4:$C$709,B951)</x:f>
        <x:v>0</x:v>
      </x:c>
      <x:c r="G951" s="26" t="str">
        <x:f>IF(F951=0,"未匹配（现有产业链范围未覆盖或证据不足）",IF(COUNTIFS('岗位-产业节点关系'!$C$4:$C$709,B951,'岗位-产业节点关系'!$M$4:$M$709,"低")&gt;0,"已匹配，建议复核","已匹配"))</x:f>
        <x:v>未匹配（现有产业链范围未覆盖或证据不足）</x:v>
      </x:c>
      <x:c r="H951" s="26" t="str">
        <x:v>-</x:v>
      </x:c>
      <x:c r="I951" s="26" t="str"/>
      <x:c r="J951" s="26" t="str"/>
      <x:c r="K951" s="26" t="str">
        <x:v>矿产勘探/地质勘测工程师是能源行业中不可或缺的专业技术人才，负责发现新的矿产资源并评估其开发潜力。作为连接地球科学与工业应用的桥梁，他们不仅需要具备扎实的地质学理论基础，还需掌握先进的探测技术和数据分析能力，以确保资源的…</x:v>
      </x:c>
      <x:c r="L951" s="26" t="str">
        <x:v>1. 进行野外实地考察，收集岩石样本、土壤样本等相关资料，用于分析矿床特征及分布规律。 2. 利用遥感技术、地球物理方法等现代手段开展地下资源探测工作，绘制地质图件，建立三维模型。 3. 编写详细的勘探报告，提供科学依据…</x:v>
      </x:c>
    </x:row>
    <x:row r="952" ht="72" customHeight="1">
      <x:c r="A952" s="25" t="n">
        <x:v>11844</x:v>
      </x:c>
      <x:c r="B952" s="25" t="str">
        <x:v>IC-L3-1101</x:v>
      </x:c>
      <x:c r="C952" s="25" t="str">
        <x:v>热能工程师</x:v>
      </x:c>
      <x:c r="D952" s="25" t="str">
        <x:v>2-02-38-05</x:v>
      </x:c>
      <x:c r="E952" s="25" t="str">
        <x:v>智能制造工程技术人员</x:v>
      </x:c>
      <x:c r="F952" s="28" t="n">
        <x:f>COUNTIF('岗位-产业节点关系'!$C$4:$C$709,B952)</x:f>
        <x:v>0</x:v>
      </x:c>
      <x:c r="G952" s="26" t="str">
        <x:f>IF(F952=0,"未匹配（现有产业链范围未覆盖或证据不足）",IF(COUNTIFS('岗位-产业节点关系'!$C$4:$C$709,B952,'岗位-产业节点关系'!$M$4:$M$709,"低")&gt;0,"已匹配，建议复核","已匹配"))</x:f>
        <x:v>未匹配（现有产业链范围未覆盖或证据不足）</x:v>
      </x:c>
      <x:c r="H952" s="26" t="str">
        <x:v>-</x:v>
      </x:c>
      <x:c r="I952" s="26" t="str"/>
      <x:c r="J952" s="26" t="str"/>
      <x:c r="K952" s="26" t="str">
        <x:v>热能工程师是专门从事热能系统设计与优化的专业人员。该职位的核心目标是通过开发和改进热能转换技术，提高能源利用效率。在日常工作中，需要进行热能系统设计、性能分析、设备选型以及节能方案制定等工作。</x:v>
      </x:c>
      <x:c r="L952" s="26" t="str">
        <x:v>1. 设计热力系统方案 2. 优化能源利用效率 3. 分析热力设备性能 4. 解决热能技术问题 5. 监督工程安装调试 6. 编写技术规范报告</x:v>
      </x:c>
    </x:row>
    <x:row r="953" ht="72" customHeight="1">
      <x:c r="A953" s="25" t="n">
        <x:v>11845</x:v>
      </x:c>
      <x:c r="B953" s="25" t="str">
        <x:v>IC-L3-1102</x:v>
      </x:c>
      <x:c r="C953" s="25" t="str">
        <x:v>PCB工程师</x:v>
      </x:c>
      <x:c r="D953" s="25" t="str">
        <x:v>2-02-38-05</x:v>
      </x:c>
      <x:c r="E953" s="25" t="str">
        <x:v>智能制造工程技术人员</x:v>
      </x:c>
      <x:c r="F953" s="28" t="n">
        <x:f>COUNTIF('岗位-产业节点关系'!$C$4:$C$709,B953)</x:f>
        <x:v>1</x:v>
      </x:c>
      <x:c r="G953" s="26" t="str">
        <x:f>IF(F953=0,"未匹配（现有产业链范围未覆盖或证据不足）",IF(COUNTIFS('岗位-产业节点关系'!$C$4:$C$709,B953,'岗位-产业节点关系'!$M$4:$M$709,"低")&gt;0,"已匹配，建议复核","已匹配"))</x:f>
        <x:v>已匹配</x:v>
      </x:c>
      <x:c r="H953" s="26" t="str">
        <x:v>中</x:v>
      </x:c>
      <x:c r="I953" s="26" t="str">
        <x:v>ICN016</x:v>
      </x:c>
      <x:c r="J953" s="26" t="str">
        <x:v>智能物联与消费电子产业链/上游/传感器、芯片模组与基础器件</x:v>
      </x:c>
      <x:c r="K953" s="26" t="str">
        <x:v>PCB工程师是专门从事印刷电路板设计与制造的专业人员。该职位的核心目标是通过优化PCB设计方案，确保能源类电子产品的可靠性和高效性。在日常工作中，需要进行电路原理图设计、PCB布局布线、信号完整性分析及生产文件输出等工作…</x:v>
      </x:c>
      <x:c r="L953" s="26" t="str">
        <x:v>1. 设计PCB电路板 2. 优化能源系统布局 3. 测试电路性能参数 4. 解决生产质量问题 5. 编写技术文档报告 6. 跟进项目进度节点</x:v>
      </x:c>
    </x:row>
    <x:row r="954" ht="72" customHeight="1">
      <x:c r="A954" s="25" t="n">
        <x:v>11846</x:v>
      </x:c>
      <x:c r="B954" s="25" t="str">
        <x:v>IC-L3-1103</x:v>
      </x:c>
      <x:c r="C954" s="25" t="str">
        <x:v>Flash设计师</x:v>
      </x:c>
      <x:c r="D954" s="25" t="str">
        <x:v>2-09-06-01</x:v>
      </x:c>
      <x:c r="E954" s="25" t="str">
        <x:v>视觉传达设计人员</x:v>
      </x:c>
      <x:c r="F954" s="28" t="n">
        <x:f>COUNTIF('岗位-产业节点关系'!$C$4:$C$709,B954)</x:f>
        <x:v>2</x:v>
      </x:c>
      <x:c r="G954" s="26" t="str">
        <x:f>IF(F954=0,"未匹配（现有产业链范围未覆盖或证据不足）",IF(COUNTIFS('岗位-产业节点关系'!$C$4:$C$709,B954,'岗位-产业节点关系'!$M$4:$M$709,"低")&gt;0,"已匹配，建议复核","已匹配"))</x:f>
        <x:v>已匹配</x:v>
      </x:c>
      <x:c r="H954" s="26" t="str">
        <x:v>中</x:v>
      </x:c>
      <x:c r="I954" s="26" t="str">
        <x:v>ICN054、ICN052</x:v>
      </x:c>
      <x:c r="J954" s="26" t="str">
        <x:v>新型显示与虚拟现实产业链/下游/沉浸式内容、行业应用与消费场景；新型显示与虚拟现实产业链/上游/显示材料、光学器件与核心部件</x:v>
      </x:c>
      <x:c r="K954" s="26" t="str">
        <x:v>Flash设计师是互联网设计领域中不可或缺的角色之一，他们通过创新和技术手段，将创意转化为视觉上引人入胜的交互式体验。随着网络技术的发展，Flash设计师不仅能够创造出更加丰富多样的视觉效果，还能有效提升用户体验，增加用…</x:v>
      </x:c>
      <x:c r="L954" s="26" t="str">
        <x:v>1. 负责使用Flash及相关工具进行动画制作及界面设计，确保作品符合项目要求并具备良好的视觉效果。 2. 根据产品需求，与团队成员沟通交流，准确理解并实现设计概念，提高产品的互动性和吸引力。 3. 对现有产品进行持续优…</x:v>
      </x:c>
    </x:row>
    <x:row r="955" ht="72" customHeight="1">
      <x:c r="A955" s="25" t="n">
        <x:v>11847</x:v>
      </x:c>
      <x:c r="B955" s="25" t="str">
        <x:v>IC-L3-1104</x:v>
      </x:c>
      <x:c r="C955" s="25" t="str">
        <x:v>UI设计师</x:v>
      </x:c>
      <x:c r="D955" s="25" t="str">
        <x:v>2-09-06-01</x:v>
      </x:c>
      <x:c r="E955" s="25" t="str">
        <x:v>视觉传达设计人员</x:v>
      </x:c>
      <x:c r="F955" s="28" t="n">
        <x:f>COUNTIF('岗位-产业节点关系'!$C$4:$C$709,B955)</x:f>
        <x:v>1</x:v>
      </x:c>
      <x:c r="G955" s="26" t="str">
        <x:f>IF(F955=0,"未匹配（现有产业链范围未覆盖或证据不足）",IF(COUNTIFS('岗位-产业节点关系'!$C$4:$C$709,B955,'岗位-产业节点关系'!$M$4:$M$709,"低")&gt;0,"已匹配，建议复核","已匹配"))</x:f>
        <x:v>已匹配</x:v>
      </x:c>
      <x:c r="H955" s="26" t="str">
        <x:v>中</x:v>
      </x:c>
      <x:c r="I955" s="26" t="str">
        <x:v>ICN003</x:v>
      </x:c>
      <x:c r="J955" s="26" t="str">
        <x:v>数据要素与数字经济产业链/下游/数字经济场景应用与内容创意</x:v>
      </x:c>
      <x:c r="K955" s="26" t="str">
        <x:v>UI设计师是互联网设计领域中不可或缺的角色，他们通过创造直观、美观且用户友好的界面来提升用户体验，从而在激烈的市场竞争中脱颖而出。作为连接技术和用户的桥梁，UI设计师的核心目标是确保产品的视觉表现与品牌形象相一致，同时优…</x:v>
      </x:c>
      <x:c r="L955" s="26" t="str">
        <x:v>1. 负责产品界面的整体风格设计，包括但不限于色彩搭配、图标绘制等元素，确保设计符合品牌调性和用户需求。 2. 根据用户研究结果及业务需求，进行界面布局优化，改善用户体验，提升产品可用性。 3. 与前端工程师密切配合，确…</x:v>
      </x:c>
    </x:row>
    <x:row r="956" ht="72" customHeight="1">
      <x:c r="A956" s="25" t="n">
        <x:v>11848</x:v>
      </x:c>
      <x:c r="B956" s="25" t="str">
        <x:v>IC-L3-1105</x:v>
      </x:c>
      <x:c r="C956" s="25" t="str">
        <x:v>互联网设计总监</x:v>
      </x:c>
      <x:c r="D956" s="25" t="str">
        <x:v>2-02-10-03</x:v>
      </x:c>
      <x:c r="E956" s="25" t="str">
        <x:v>计算机软件工程技术人员</x:v>
      </x:c>
      <x:c r="F956" s="28" t="n">
        <x:f>COUNTIF('岗位-产业节点关系'!$C$4:$C$709,B956)</x:f>
        <x:v>0</x:v>
      </x:c>
      <x:c r="G956" s="26" t="str">
        <x:f>IF(F956=0,"未匹配（现有产业链范围未覆盖或证据不足）",IF(COUNTIFS('岗位-产业节点关系'!$C$4:$C$709,B956,'岗位-产业节点关系'!$M$4:$M$709,"低")&gt;0,"已匹配，建议复核","已匹配"))</x:f>
        <x:v>未匹配（现有产业链范围未覆盖或证据不足）</x:v>
      </x:c>
      <x:c r="H956" s="26" t="str">
        <x:v>-</x:v>
      </x:c>
      <x:c r="I956" s="26" t="str"/>
      <x:c r="J956" s="26" t="str"/>
      <x:c r="K956" s="26" t="str">
        <x:v>互联网设计总监是互联网设计领域中至关重要的高级管理职位，负责领导设计团队实现公司的视觉传达与用户体验目标。作为连接创意与商业的桥梁，互联网设计总监不仅需要具备出色的设计能力，还需要拥有敏锐的市场洞察力和战略规划能力，确保…</x:v>
      </x:c>
      <x:c r="L956" s="26" t="str">
        <x:v>1. 领导并管理设计团队，制定并执行年度设计策略，确保所有项目按时高质量完成，满足业务需求。 2. 与产品经理和技术团队密切合作，参与产品从概念阶段到上线的全过程，提供专业意见，确保设计方案既美观又实用。 3. 跟踪最新…</x:v>
      </x:c>
    </x:row>
    <x:row r="957" ht="72" customHeight="1">
      <x:c r="A957" s="25" t="n">
        <x:v>11849</x:v>
      </x:c>
      <x:c r="B957" s="25" t="str">
        <x:v>IC-L3-1106</x:v>
      </x:c>
      <x:c r="C957" s="25" t="str">
        <x:v>互联网设计经理/主管</x:v>
      </x:c>
      <x:c r="D957" s="25" t="str">
        <x:v>2-02-10-03</x:v>
      </x:c>
      <x:c r="E957" s="25" t="str">
        <x:v>计算机软件工程技术人员</x:v>
      </x:c>
      <x:c r="F957" s="28" t="n">
        <x:f>COUNTIF('岗位-产业节点关系'!$C$4:$C$709,B957)</x:f>
        <x:v>0</x:v>
      </x:c>
      <x:c r="G957" s="26" t="str">
        <x:f>IF(F957=0,"未匹配（现有产业链范围未覆盖或证据不足）",IF(COUNTIFS('岗位-产业节点关系'!$C$4:$C$709,B957,'岗位-产业节点关系'!$M$4:$M$709,"低")&gt;0,"已匹配，建议复核","已匹配"))</x:f>
        <x:v>未匹配（现有产业链范围未覆盖或证据不足）</x:v>
      </x:c>
      <x:c r="H957" s="26" t="str">
        <x:v>-</x:v>
      </x:c>
      <x:c r="I957" s="26" t="str"/>
      <x:c r="J957" s="26" t="str"/>
      <x:c r="K957" s="26" t="str">
        <x:v>互联网设计经理/主管是设计与技术交叉领域的关键角色，负责领导和管理互联网产品的视觉及用户体验设计工作。这一职位不仅要求具备深厚的设计功底，还需要拥有良好的项目管理和团队领导能力，在推动产品迭代过程中发挥着至关重要的作用。…</x:v>
      </x:c>
      <x:c r="L957" s="26" t="str">
        <x:v>1. 负责制定并执行互联网产品的整体视觉风格指南，确保各项目的一致性和创新性，提升品牌形象。 2. 领导团队完成从概念构思到最终交付的全流程设计任务，包括但不限于界面设计、动效设计等，确保按时高质量地完成各项设计成果。 …</x:v>
      </x:c>
    </x:row>
    <x:row r="958" ht="72" customHeight="1">
      <x:c r="A958" s="25" t="n">
        <x:v>11850</x:v>
      </x:c>
      <x:c r="B958" s="25" t="str">
        <x:v>IC-L3-1107</x:v>
      </x:c>
      <x:c r="C958" s="25" t="str">
        <x:v>交互设计师</x:v>
      </x:c>
      <x:c r="D958" s="25" t="str">
        <x:v>2-09-06-01</x:v>
      </x:c>
      <x:c r="E958" s="25" t="str">
        <x:v>视觉传达设计人员</x:v>
      </x:c>
      <x:c r="F958" s="28" t="n">
        <x:f>COUNTIF('岗位-产业节点关系'!$C$4:$C$709,B958)</x:f>
        <x:v>1</x:v>
      </x:c>
      <x:c r="G958" s="26" t="str">
        <x:f>IF(F958=0,"未匹配（现有产业链范围未覆盖或证据不足）",IF(COUNTIFS('岗位-产业节点关系'!$C$4:$C$709,B958,'岗位-产业节点关系'!$M$4:$M$709,"低")&gt;0,"已匹配，建议复核","已匹配"))</x:f>
        <x:v>已匹配</x:v>
      </x:c>
      <x:c r="H958" s="26" t="str">
        <x:v>中</x:v>
      </x:c>
      <x:c r="I958" s="26" t="str">
        <x:v>ICN003</x:v>
      </x:c>
      <x:c r="J958" s="26" t="str">
        <x:v>数据要素与数字经济产业链/下游/数字经济场景应用与内容创意</x:v>
      </x:c>
      <x:c r="K958" s="26" t="str">
        <x:v>交互设计师是互联网设计领域中不可或缺的角色，他们通过创造性的思维和专业的技术手段，优化用户体验，确保用户与产品之间的高效互动。作为连接用户需求和技术实现的桥梁，交互设计师不仅需要具备敏锐的洞察力，还要有良好的沟通技巧，能…</x:v>
      </x:c>
      <x:c r="L958" s="26" t="str">
        <x:v>1. 负责收集并分析用户反馈和市场调研数据，提炼出有效的设计需求，制定详细的设计方案以提高产品的可用性和吸引力。 2. 与产品经理紧密配合，参与产品定义阶段的需求讨论，提出合理的设计建议，确保设计方案能够有效支持产品战略…</x:v>
      </x:c>
    </x:row>
    <x:row r="959" ht="72" customHeight="1">
      <x:c r="A959" s="25" t="n">
        <x:v>11851</x:v>
      </x:c>
      <x:c r="B959" s="25" t="str">
        <x:v>IC-L3-1108</x:v>
      </x:c>
      <x:c r="C959" s="25" t="str">
        <x:v>多媒体设计</x:v>
      </x:c>
      <x:c r="D959" s="25" t="str">
        <x:v>2-09-06-01</x:v>
      </x:c>
      <x:c r="E959" s="25" t="str">
        <x:v>视觉传达设计人员</x:v>
      </x:c>
      <x:c r="F959" s="28" t="n">
        <x:f>COUNTIF('岗位-产业节点关系'!$C$4:$C$709,B959)</x:f>
        <x:v>1</x:v>
      </x:c>
      <x:c r="G959" s="26" t="str">
        <x:f>IF(F959=0,"未匹配（现有产业链范围未覆盖或证据不足）",IF(COUNTIFS('岗位-产业节点关系'!$C$4:$C$709,B959,'岗位-产业节点关系'!$M$4:$M$709,"低")&gt;0,"已匹配，建议复核","已匹配"))</x:f>
        <x:v>已匹配</x:v>
      </x:c>
      <x:c r="H959" s="26" t="str">
        <x:v>中</x:v>
      </x:c>
      <x:c r="I959" s="26" t="str">
        <x:v>ICN003</x:v>
      </x:c>
      <x:c r="J959" s="26" t="str">
        <x:v>数据要素与数字经济产业链/下游/数字经济场景应用与内容创意</x:v>
      </x:c>
      <x:c r="K959" s="26" t="str">
        <x:v>多媒体设计师在互联网设计行业中扮演着至关重要的角色，他们通过创意和技术手段将信息转化为引人入胜的视觉体验，是连接用户与产品之间的桥梁。该职位的核心目标在于运用视频、动画、音频等多媒体元素来增强用户体验，提升品牌形象及市场…</x:v>
      </x:c>
      <x:c r="L959" s="26" t="str">
        <x:v>1. 负责互联网产品的多媒体内容创作，包括但不限于视频剪辑、动画制作、音效处理等工作，以提高用户的互动体验。 2. 根据项目需求进行创意构思，设计并实现具有吸引力的多媒体素材，支持网站、APP等多平台的应用。 3. 与产…</x:v>
      </x:c>
    </x:row>
    <x:row r="960" ht="72" customHeight="1">
      <x:c r="A960" s="25" t="n">
        <x:v>11852</x:v>
      </x:c>
      <x:c r="B960" s="25" t="str">
        <x:v>IC-L3-1109</x:v>
      </x:c>
      <x:c r="C960" s="25" t="str">
        <x:v>用户体验设计师 (Designer)</x:v>
      </x:c>
      <x:c r="D960" s="25" t="str">
        <x:v>2-09-06-01</x:v>
      </x:c>
      <x:c r="E960" s="25" t="str">
        <x:v>视觉传达设计人员</x:v>
      </x:c>
      <x:c r="F960" s="28" t="n">
        <x:f>COUNTIF('岗位-产业节点关系'!$C$4:$C$709,B960)</x:f>
        <x:v>0</x:v>
      </x:c>
      <x:c r="G960" s="26" t="str">
        <x:f>IF(F960=0,"未匹配（现有产业链范围未覆盖或证据不足）",IF(COUNTIFS('岗位-产业节点关系'!$C$4:$C$709,B960,'岗位-产业节点关系'!$M$4:$M$709,"低")&gt;0,"已匹配，建议复核","已匹配"))</x:f>
        <x:v>未匹配（现有产业链范围未覆盖或证据不足）</x:v>
      </x:c>
      <x:c r="H960" s="26" t="str">
        <x:v>-</x:v>
      </x:c>
      <x:c r="I960" s="26" t="str"/>
      <x:c r="J960" s="26" t="str"/>
      <x:c r="K960" s="26" t="str">
        <x:v>用户体验设计师在互联网设计行业中扮演着至关重要的角色，他们负责创造用户友好的界面与交互体验，确保产品能够满足用户需求并提供愉悦的使用过程。作为连接技术和用户的桥梁，用户体验设计师通过深入研究用户行为模式，洞察潜在问题，提…</x:v>
      </x:c>
      <x:c r="L960" s="26" t="str">
        <x:v>1. 负责竞品分析及用户调研工作，准确把握目标群体特征，制定符合业务目标的设计策略。 2. 设计并优化产品原型图，确保设计方案既符合用户习惯又具备良好的可用性。 3. 参与产品迭代评审会议，积极听取反馈意见，持续改进现有…</x:v>
      </x:c>
    </x:row>
    <x:row r="961" ht="72" customHeight="1">
      <x:c r="A961" s="25" t="n">
        <x:v>11853</x:v>
      </x:c>
      <x:c r="B961" s="25" t="str">
        <x:v>IC-L3-1110</x:v>
      </x:c>
      <x:c r="C961" s="25" t="str">
        <x:v>用户研究</x:v>
      </x:c>
      <x:c r="D961" s="25" t="str">
        <x:v>2-09-06-01</x:v>
      </x:c>
      <x:c r="E961" s="25" t="str">
        <x:v>视觉传达设计人员</x:v>
      </x:c>
      <x:c r="F961" s="28" t="n">
        <x:f>COUNTIF('岗位-产业节点关系'!$C$4:$C$709,B961)</x:f>
        <x:v>0</x:v>
      </x:c>
      <x:c r="G961" s="26" t="str">
        <x:f>IF(F961=0,"未匹配（现有产业链范围未覆盖或证据不足）",IF(COUNTIFS('岗位-产业节点关系'!$C$4:$C$709,B961,'岗位-产业节点关系'!$M$4:$M$709,"低")&gt;0,"已匹配，建议复核","已匹配"))</x:f>
        <x:v>未匹配（现有产业链范围未覆盖或证据不足）</x:v>
      </x:c>
      <x:c r="H961" s="26" t="str">
        <x:v>-</x:v>
      </x:c>
      <x:c r="I961" s="26" t="str"/>
      <x:c r="J961" s="26" t="str"/>
      <x:c r="K961" s="26" t="str">
        <x:v>用户研究作为互联网设计领域的重要组成部分，其核心在于通过深入理解用户需求和行为模式，为企业提供精准的产品和服务优化建议。这一职位不仅要求具备扎实的研究方法论基础，还需要能够灵活运用多种工具和技术手段来收集并分析数据。 该…</x:v>
      </x:c>
      <x:c r="L961" s="26" t="str">
        <x:v>1. 设计并执行用户研究计划，涵盖定量调研（如在线问卷）和定性访谈（如深度访谈、焦点小组），旨在深入了解目标用户的偏好和行为习惯。 2. 分析研究数据，提炼关键洞察，撰写详尽的研究报告，为产品设计和策略调整提供科学依据。…</x:v>
      </x:c>
    </x:row>
    <x:row r="962" ht="72" customHeight="1">
      <x:c r="A962" s="25" t="n">
        <x:v>11854</x:v>
      </x:c>
      <x:c r="B962" s="25" t="str">
        <x:v>IC-L3-1111</x:v>
      </x:c>
      <x:c r="C962" s="25" t="str">
        <x:v>网页设计师</x:v>
      </x:c>
      <x:c r="D962" s="25" t="str">
        <x:v>2-09-06-01</x:v>
      </x:c>
      <x:c r="E962" s="25" t="str">
        <x:v>视觉传达设计人员</x:v>
      </x:c>
      <x:c r="F962" s="28" t="n">
        <x:f>COUNTIF('岗位-产业节点关系'!$C$4:$C$709,B962)</x:f>
        <x:v>1</x:v>
      </x:c>
      <x:c r="G962" s="26" t="str">
        <x:f>IF(F962=0,"未匹配（现有产业链范围未覆盖或证据不足）",IF(COUNTIFS('岗位-产业节点关系'!$C$4:$C$709,B962,'岗位-产业节点关系'!$M$4:$M$709,"低")&gt;0,"已匹配，建议复核","已匹配"))</x:f>
        <x:v>已匹配</x:v>
      </x:c>
      <x:c r="H962" s="26" t="str">
        <x:v>中</x:v>
      </x:c>
      <x:c r="I962" s="26" t="str">
        <x:v>ICN003</x:v>
      </x:c>
      <x:c r="J962" s="26" t="str">
        <x:v>数据要素与数字经济产业链/下游/数字经济场景应用与内容创意</x:v>
      </x:c>
      <x:c r="K962" s="26" t="str">
        <x:v>网页设计师是互联网设计领域中不可或缺的专业人才，他们负责创建吸引用户的网站界面，确保用户体验流畅而愉悦。通过创新的设计理念和技术手段，网页设计师能够将品牌故事以视觉形式传达给目标用户，从而增强品牌形象并促进用户参与度。在…</x:v>
      </x:c>
      <x:c r="L962" s="26" t="str">
        <x:v>1. 负责公司网站及客户项目的网页界面设计，确保设计符合品牌形象及用户需求，提升整体视觉效果。 2. 与产品经理沟通确定产品功能布局、色彩搭配等设计方案，保证设计方案的可行性与美观性。 3. 针对不同设备和浏览器进行适配…</x:v>
      </x:c>
    </x:row>
    <x:row r="963" ht="72" customHeight="1">
      <x:c r="A963" s="25" t="n">
        <x:v>11855</x:v>
      </x:c>
      <x:c r="B963" s="25" t="str">
        <x:v>IC-L3-1112</x:v>
      </x:c>
      <x:c r="C963" s="25" t="str">
        <x:v>美工/电商设计师</x:v>
      </x:c>
      <x:c r="D963" s="25" t="str">
        <x:v>2-09-06-01</x:v>
      </x:c>
      <x:c r="E963" s="25" t="str">
        <x:v>视觉传达设计人员</x:v>
      </x:c>
      <x:c r="F963" s="28" t="n">
        <x:f>COUNTIF('岗位-产业节点关系'!$C$4:$C$709,B963)</x:f>
        <x:v>1</x:v>
      </x:c>
      <x:c r="G963" s="26" t="str">
        <x:f>IF(F963=0,"未匹配（现有产业链范围未覆盖或证据不足）",IF(COUNTIFS('岗位-产业节点关系'!$C$4:$C$709,B963,'岗位-产业节点关系'!$M$4:$M$709,"低")&gt;0,"已匹配，建议复核","已匹配"))</x:f>
        <x:v>已匹配</x:v>
      </x:c>
      <x:c r="H963" s="26" t="str">
        <x:v>中</x:v>
      </x:c>
      <x:c r="I963" s="26" t="str">
        <x:v>ICN003</x:v>
      </x:c>
      <x:c r="J963" s="26" t="str">
        <x:v>数据要素与数字经济产业链/下游/数字经济场景应用与内容创意</x:v>
      </x:c>
      <x:c r="K963" s="26" t="str">
        <x:v>美工/电商设计师是互联网设计领域中不可或缺的角色，他们通过创意与技术的结合，为用户提供视觉上令人愉悦的设计体验，从而增强品牌形象和市场竞争力。在公司内部，美工/电商设计师负责创造吸引人的网页布局、产品展示图以及各种营销材…</x:v>
      </x:c>
      <x:c r="L963" s="26" t="str">
        <x:v>1. 负责电商平台的商品详情页设计及优化工作，确保页面美观大方、用户体验良好，以提高用户购买意愿。 2. 根据品牌调性和市场需求，定期更新店铺首页、活动专题页等重要页面的设计方案，以保持网站的新鲜感和吸引力。 3. 与产…</x:v>
      </x:c>
    </x:row>
    <x:row r="964" ht="72" customHeight="1">
      <x:c r="A964" s="25" t="n">
        <x:v>11856</x:v>
      </x:c>
      <x:c r="B964" s="25" t="str">
        <x:v>IC-L3-1113</x:v>
      </x:c>
      <x:c r="C964" s="25" t="str">
        <x:v>视觉设计师</x:v>
      </x:c>
      <x:c r="D964" s="25" t="str">
        <x:v>2-09-06-01</x:v>
      </x:c>
      <x:c r="E964" s="25" t="str">
        <x:v>视觉传达设计人员</x:v>
      </x:c>
      <x:c r="F964" s="28" t="n">
        <x:f>COUNTIF('岗位-产业节点关系'!$C$4:$C$709,B964)</x:f>
        <x:v>1</x:v>
      </x:c>
      <x:c r="G964" s="26" t="str">
        <x:f>IF(F964=0,"未匹配（现有产业链范围未覆盖或证据不足）",IF(COUNTIFS('岗位-产业节点关系'!$C$4:$C$709,B964,'岗位-产业节点关系'!$M$4:$M$709,"低")&gt;0,"已匹配，建议复核","已匹配"))</x:f>
        <x:v>已匹配</x:v>
      </x:c>
      <x:c r="H964" s="26" t="str">
        <x:v>中</x:v>
      </x:c>
      <x:c r="I964" s="26" t="str">
        <x:v>ICN003</x:v>
      </x:c>
      <x:c r="J964" s="26" t="str">
        <x:v>数据要素与数字经济产业链/下游/数字经济场景应用与内容创意</x:v>
      </x:c>
      <x:c r="K964" s="26" t="str">
        <x:v>视觉设计师是互联网设计领域中不可或缺的角色，他们通过创新的设计理念和技术手段，为用户提供美观、易用的界面体验，从而增强品牌形象，提升用户体验。作为公司产品设计的重要组成部分，视觉设计师的核心目标在于通过精准把握用户需求与…</x:v>
      </x:c>
      <x:c r="L964" s="26" t="str">
        <x:v>1. 负责公司网站、移动应用等产品的UI界面设计工作，确保设计方案符合品牌风格并满足用户体验需求。 2. 根据项目要求，进行创意构思与视觉表现，制作高保真原型图及设计稿，支持前端开发人员实现设计效果。 3. 定期收集分析…</x:v>
      </x:c>
    </x:row>
    <x:row r="965" ht="72" customHeight="1">
      <x:c r="A965" s="25" t="n">
        <x:v>11857</x:v>
      </x:c>
      <x:c r="B965" s="25" t="str">
        <x:v>IC-L3-1114</x:v>
      </x:c>
      <x:c r="C965" s="25" t="str">
        <x:v>动画/3D设计</x:v>
      </x:c>
      <x:c r="D965" s="25" t="str">
        <x:v>2-09-06-01</x:v>
      </x:c>
      <x:c r="E965" s="25" t="str">
        <x:v>视觉传达设计人员</x:v>
      </x:c>
      <x:c r="F965" s="28" t="n">
        <x:f>COUNTIF('岗位-产业节点关系'!$C$4:$C$709,B965)</x:f>
        <x:v>1</x:v>
      </x:c>
      <x:c r="G965" s="26" t="str">
        <x:f>IF(F965=0,"未匹配（现有产业链范围未覆盖或证据不足）",IF(COUNTIFS('岗位-产业节点关系'!$C$4:$C$709,B965,'岗位-产业节点关系'!$M$4:$M$709,"低")&gt;0,"已匹配，建议复核","已匹配"))</x:f>
        <x:v>已匹配</x:v>
      </x:c>
      <x:c r="H965" s="26" t="str">
        <x:v>中</x:v>
      </x:c>
      <x:c r="I965" s="26" t="str">
        <x:v>ICN054</x:v>
      </x:c>
      <x:c r="J965" s="26" t="str">
        <x:v>新型显示与虚拟现实产业链/下游/沉浸式内容、行业应用与消费场景</x:v>
      </x:c>
      <x:c r="K965" s="26" t="str">
        <x:v>动画/3D设计师是设计行业中不可或缺的角色，他们通过创意和技术将故事、概念转化为视觉艺术作品，为电影、游戏、广告等多个领域提供强大的支持。在公司中，动画/3D设计师不仅负责创造吸引人的视觉效果，更需确保项目从概念到成品的…</x:v>
      </x:c>
      <x:c r="L965" s="26" t="str">
        <x:v>1. 负责项目中动画及3D模型的设计与制作，确保符合项目需求并达到预期的艺术标准。 2. 与项目团队沟通协调，准确理解项目要求，提出合理化建议以优化设计方案。 3. 运用专业软件（如Maya、3ds Max、Blende…</x:v>
      </x:c>
    </x:row>
    <x:row r="966" ht="72" customHeight="1">
      <x:c r="A966" s="25" t="n">
        <x:v>11858</x:v>
      </x:c>
      <x:c r="B966" s="25" t="str">
        <x:v>IC-L3-1115</x:v>
      </x:c>
      <x:c r="C966" s="25" t="str">
        <x:v>原画师</x:v>
      </x:c>
      <x:c r="D966" s="25" t="str">
        <x:v>2-09-06-01</x:v>
      </x:c>
      <x:c r="E966" s="25" t="str">
        <x:v>视觉传达设计人员</x:v>
      </x:c>
      <x:c r="F966" s="28" t="n">
        <x:f>COUNTIF('岗位-产业节点关系'!$C$4:$C$709,B966)</x:f>
        <x:v>1</x:v>
      </x:c>
      <x:c r="G966" s="26" t="str">
        <x:f>IF(F966=0,"未匹配（现有产业链范围未覆盖或证据不足）",IF(COUNTIFS('岗位-产业节点关系'!$C$4:$C$709,B966,'岗位-产业节点关系'!$M$4:$M$709,"低")&gt;0,"已匹配，建议复核","已匹配"))</x:f>
        <x:v>已匹配，建议复核</x:v>
      </x:c>
      <x:c r="H966" s="26" t="str">
        <x:v>低</x:v>
      </x:c>
      <x:c r="I966" s="26" t="str">
        <x:v>ICN003</x:v>
      </x:c>
      <x:c r="J966" s="26" t="str">
        <x:v>数据要素与数字经济产业链/下游/数字经济场景应用与内容创意</x:v>
      </x:c>
      <x:c r="K966" s="26" t="str">
        <x:v>原画师是动画设计领域中不可或缺的专业人才，他们负责创作动画作品的基础视觉元素，为整个项目提供创意和技术支持。作为动画制作流程中的核心环节，原画师的工作直接决定了作品的艺术风格和质量水平，对于提升品牌影响力和市场竞争力具有…</x:v>
      </x:c>
      <x:c r="L966" s="26" t="str">
        <x:v>1. 负责动画项目的角色设定、场景绘制等工作，确保画面风格统一且符合项目要求。 2. 根据剧本和导演指导，创作出具有创意性的原画稿件，精准表现故事情感氛围。 3. 与编剧、导演及其他相关部门密切协作，及时调整设计思路，保…</x:v>
      </x:c>
    </x:row>
    <x:row r="967" ht="72" customHeight="1">
      <x:c r="A967" s="25" t="n">
        <x:v>11859</x:v>
      </x:c>
      <x:c r="B967" s="25" t="str">
        <x:v>IC-L3-1116</x:v>
      </x:c>
      <x:c r="C967" s="25" t="str">
        <x:v>特效设计师</x:v>
      </x:c>
      <x:c r="D967" s="25" t="str">
        <x:v>2-09-06-01</x:v>
      </x:c>
      <x:c r="E967" s="25" t="str">
        <x:v>视觉传达设计人员</x:v>
      </x:c>
      <x:c r="F967" s="28" t="n">
        <x:f>COUNTIF('岗位-产业节点关系'!$C$4:$C$709,B967)</x:f>
        <x:v>2</x:v>
      </x:c>
      <x:c r="G967" s="26" t="str">
        <x:f>IF(F967=0,"未匹配（现有产业链范围未覆盖或证据不足）",IF(COUNTIFS('岗位-产业节点关系'!$C$4:$C$709,B967,'岗位-产业节点关系'!$M$4:$M$709,"低")&gt;0,"已匹配，建议复核","已匹配"))</x:f>
        <x:v>已匹配</x:v>
      </x:c>
      <x:c r="H967" s="26" t="str">
        <x:v>中</x:v>
      </x:c>
      <x:c r="I967" s="26" t="str">
        <x:v>ICN054、ICN052</x:v>
      </x:c>
      <x:c r="J967" s="26" t="str">
        <x:v>新型显示与虚拟现实产业链/下游/沉浸式内容、行业应用与消费场景；新型显示与虚拟现实产业链/上游/显示材料、光学器件与核心部件</x:v>
      </x:c>
      <x:c r="K967" s="26" t="str">
        <x:v>特效设计师是动画设计领域中不可或缺的角色，他们负责创造令人惊叹的视觉效果，使故事更加生动有趣。通过将创意与技术完美结合，特效设计师不仅能够提升作品的艺术质量，还能增强观众的沉浸感，从而提高项目的市场竞争力。在团队中，特效…</x:v>
      </x:c>
      <x:c r="L967" s="26" t="str">
        <x:v>1. 负责动画项目中的特效设计与制作，确保每个场景的视觉效果符合艺术指导的要求，同时保证按时交付高质量的作品。 2. 与导演、美术指导密切沟通，理解并实现剧本中的视觉创意，利用专业的软件工具和技术手段创造出独特的视觉风格…</x:v>
      </x:c>
    </x:row>
    <x:row r="968" ht="72" customHeight="1">
      <x:c r="A968" s="25" t="n">
        <x:v>11860</x:v>
      </x:c>
      <x:c r="B968" s="25" t="str">
        <x:v>IC-L3-1117</x:v>
      </x:c>
      <x:c r="C968" s="25" t="str">
        <x:v>绘画</x:v>
      </x:c>
      <x:c r="D968" s="25" t="str">
        <x:v>2-09-06-01</x:v>
      </x:c>
      <x:c r="E968" s="25" t="str">
        <x:v>视觉传达设计人员</x:v>
      </x:c>
      <x:c r="F968" s="28" t="n">
        <x:f>COUNTIF('岗位-产业节点关系'!$C$4:$C$709,B968)</x:f>
        <x:v>0</x:v>
      </x:c>
      <x:c r="G968" s="26" t="str">
        <x:f>IF(F968=0,"未匹配（现有产业链范围未覆盖或证据不足）",IF(COUNTIFS('岗位-产业节点关系'!$C$4:$C$709,B968,'岗位-产业节点关系'!$M$4:$M$709,"低")&gt;0,"已匹配，建议复核","已匹配"))</x:f>
        <x:v>未匹配（现有产业链范围未覆盖或证据不足）</x:v>
      </x:c>
      <x:c r="H968" s="26" t="str">
        <x:v>-</x:v>
      </x:c>
      <x:c r="I968" s="26" t="str"/>
      <x:c r="J968" s="26" t="str"/>
      <x:c r="K968" s="26" t="str">
        <x:v>动画设计师是设计行业中不可或缺的角色，尤其在动画制作领域，他们负责将创意概念转化为视觉艺术作品，通过生动的画面讲述故事。这一职位不仅要求具备扎实的手绘基础，还需要拥有丰富的想象力和创新能力，能够精准捕捉并表达情感与动态。…</x:v>
      </x:c>
      <x:c r="L968" s="26" t="str">
        <x:v>1. 负责动画项目的角色设定、场景绘制等工作，确保所有视觉元素符合整体风格和主题要求。 2. 根据剧本和导演指导，完成关键帧的绘制，保证动画流畅自然，富有表现力。 3. 参与团队讨论，提出创新性的设计思路，协助解决创作过…</x:v>
      </x:c>
    </x:row>
    <x:row r="969" ht="72" customHeight="1">
      <x:c r="A969" s="25" t="n">
        <x:v>11861</x:v>
      </x:c>
      <x:c r="B969" s="25" t="str">
        <x:v>IC-L3-1118</x:v>
      </x:c>
      <x:c r="C969" s="25" t="str">
        <x:v>Flash设计师</x:v>
      </x:c>
      <x:c r="D969" s="25" t="str">
        <x:v>2-09-06-01</x:v>
      </x:c>
      <x:c r="E969" s="25" t="str">
        <x:v>视觉传达设计人员</x:v>
      </x:c>
      <x:c r="F969" s="28" t="n">
        <x:f>COUNTIF('岗位-产业节点关系'!$C$4:$C$709,B969)</x:f>
        <x:v>2</x:v>
      </x:c>
      <x:c r="G969" s="26" t="str">
        <x:f>IF(F969=0,"未匹配（现有产业链范围未覆盖或证据不足）",IF(COUNTIFS('岗位-产业节点关系'!$C$4:$C$709,B969,'岗位-产业节点关系'!$M$4:$M$709,"低")&gt;0,"已匹配，建议复核","已匹配"))</x:f>
        <x:v>已匹配</x:v>
      </x:c>
      <x:c r="H969" s="26" t="str">
        <x:v>中</x:v>
      </x:c>
      <x:c r="I969" s="26" t="str">
        <x:v>ICN054、ICN052</x:v>
      </x:c>
      <x:c r="J969" s="26" t="str">
        <x:v>新型显示与虚拟现实产业链/下游/沉浸式内容、行业应用与消费场景；新型显示与虚拟现实产业链/上游/显示材料、光学器件与核心部件</x:v>
      </x:c>
      <x:c r="K969" s="26" t="str">
        <x:v>Flash设计师是专门从事Flash动画制作与交互设计的专业人员。该职位的核心目标是通过创作高质量的Flash动画，提升用户体验和视觉表现力。在日常工作中，需要进行动画设计、交互效果制作、ActionScript编程以及…</x:v>
      </x:c>
      <x:c r="L969" s="26" t="str">
        <x:v>1. 设计Flash动画效果 2. 制作互动动画界面 3. 优化动画加载性能 4. 配合团队完成项目 5. 维护动画素材库 6. 跟踪行业技术发展</x:v>
      </x:c>
    </x:row>
    <x:row r="970" ht="72" customHeight="1">
      <x:c r="A970" s="25" t="n">
        <x:v>11862</x:v>
      </x:c>
      <x:c r="B970" s="25" t="str">
        <x:v>IC-L3-1119</x:v>
      </x:c>
      <x:c r="C970" s="25" t="str">
        <x:v>仿真应用工程师</x:v>
      </x:c>
      <x:c r="D970" s="25" t="str">
        <x:v>2-09-06-01</x:v>
      </x:c>
      <x:c r="E970" s="25" t="str">
        <x:v>视觉传达设计人员</x:v>
      </x:c>
      <x:c r="F970" s="28" t="n">
        <x:f>COUNTIF('岗位-产业节点关系'!$C$4:$C$709,B970)</x:f>
        <x:v>0</x:v>
      </x:c>
      <x:c r="G970" s="26" t="str">
        <x:f>IF(F970=0,"未匹配（现有产业链范围未覆盖或证据不足）",IF(COUNTIFS('岗位-产业节点关系'!$C$4:$C$709,B970,'岗位-产业节点关系'!$M$4:$M$709,"低")&gt;0,"已匹配，建议复核","已匹配"))</x:f>
        <x:v>未匹配（现有产业链范围未覆盖或证据不足）</x:v>
      </x:c>
      <x:c r="H970" s="26" t="str">
        <x:v>-</x:v>
      </x:c>
      <x:c r="I970" s="26" t="str"/>
      <x:c r="J970" s="26" t="str"/>
      <x:c r="K970" s="26" t="str">
        <x:v>仿真应用工程师是工业设计领域中不可或缺的专业人才，通过运用先进的计算机辅助工程（CAE）软件进行产品性能预测与优化，为新产品的研发提供科学依据，确保设计的可行性和创新性。该职位的核心目标在于利用虚拟仿真技术减少物理原型制…</x:v>
      </x:c>
      <x:c r="L970" s="26" t="str">
        <x:v>1. 使用专业软件进行产品结构、热力学、流体动力学等方面的模拟分析，评估设计方案的合理性与安全性。 2. 根据客户需求和项目要求，制定详细的仿真测试计划，执行并记录实验结果，编写技术报告。 3. 与跨职能团队成员沟通交流…</x:v>
      </x:c>
    </x:row>
    <x:row r="971" ht="72" customHeight="1">
      <x:c r="A971" s="25" t="n">
        <x:v>11863</x:v>
      </x:c>
      <x:c r="B971" s="25" t="str">
        <x:v>IC-L3-1120</x:v>
      </x:c>
      <x:c r="C971" s="25" t="str">
        <x:v>包装设计</x:v>
      </x:c>
      <x:c r="D971" s="25" t="str">
        <x:v>2-09-06-01</x:v>
      </x:c>
      <x:c r="E971" s="25" t="str">
        <x:v>视觉传达设计人员</x:v>
      </x:c>
      <x:c r="F971" s="28" t="n">
        <x:f>COUNTIF('岗位-产业节点关系'!$C$4:$C$709,B971)</x:f>
        <x:v>0</x:v>
      </x:c>
      <x:c r="G971" s="26" t="str">
        <x:f>IF(F971=0,"未匹配（现有产业链范围未覆盖或证据不足）",IF(COUNTIFS('岗位-产业节点关系'!$C$4:$C$709,B971,'岗位-产业节点关系'!$M$4:$M$709,"低")&gt;0,"已匹配，建议复核","已匹配"))</x:f>
        <x:v>未匹配（现有产业链范围未覆盖或证据不足）</x:v>
      </x:c>
      <x:c r="H971" s="26" t="str">
        <x:v>-</x:v>
      </x:c>
      <x:c r="I971" s="26" t="str"/>
      <x:c r="J971" s="26" t="str"/>
      <x:c r="K971" s="26" t="str">
        <x:v>包装设计师在工业设计领域中扮演着至关重要的角色。他们负责将产品的功能与美学完美结合，通过创新的设计方案提升产品竞争力，同时确保设计符合环保标准。作为连接品牌与消费者之间的桥梁，优秀的包装设计不仅能够保护商品、便于运输，更…</x:v>
      </x:c>
      <x:c r="L971" s="26" t="str">
        <x:v>1. 负责公司各类产品的包装设计工作，从概念草图到最终成品的整个流程，确保设计方案既美观又实用，满足市场需求。 2. 与产品经理紧密合作，深入了解产品特性和目标用户群体，确保包装设计准确传达品牌形象，增强市场辨识度。 3…</x:v>
      </x:c>
    </x:row>
    <x:row r="972" ht="72" customHeight="1">
      <x:c r="A972" s="25" t="n">
        <x:v>11864</x:v>
      </x:c>
      <x:c r="B972" s="25" t="str">
        <x:v>IC-L3-1121</x:v>
      </x:c>
      <x:c r="C972" s="25" t="str">
        <x:v>家具设计</x:v>
      </x:c>
      <x:c r="D972" s="25" t="str">
        <x:v>2-09-06-01</x:v>
      </x:c>
      <x:c r="E972" s="25" t="str">
        <x:v>视觉传达设计人员</x:v>
      </x:c>
      <x:c r="F972" s="28" t="n">
        <x:f>COUNTIF('岗位-产业节点关系'!$C$4:$C$709,B972)</x:f>
        <x:v>0</x:v>
      </x:c>
      <x:c r="G972" s="26" t="str">
        <x:f>IF(F972=0,"未匹配（现有产业链范围未覆盖或证据不足）",IF(COUNTIFS('岗位-产业节点关系'!$C$4:$C$709,B972,'岗位-产业节点关系'!$M$4:$M$709,"低")&gt;0,"已匹配，建议复核","已匹配"))</x:f>
        <x:v>未匹配（现有产业链范围未覆盖或证据不足）</x:v>
      </x:c>
      <x:c r="H972" s="26" t="str">
        <x:v>-</x:v>
      </x:c>
      <x:c r="I972" s="26" t="str"/>
      <x:c r="J972" s="26" t="str"/>
      <x:c r="K972" s="26" t="str">
        <x:v>家具设计师在设计行业中扮演着至关重要的角色，他们是连接美学与功能性的桥梁，负责创造既美观又实用的家居产品。通过深入研究市场趋势、消费者需求以及技术进步，家具设计师能够开发出满足多样化生活方式的产品，为企业带来独特的竞争优…</x:v>
      </x:c>
      <x:c r="L972" s="26" t="str">
        <x:v>1. 负责收集并分析市场信息及用户反馈，结合公司品牌定位进行创意构思，制定符合市场需求的新产品设计方案。 2. 与工程师沟通协调，确保设计图纸准确无误地转化为实际样品，并解决生产过程中出现的设计相关问题。 3. 参与跨部…</x:v>
      </x:c>
    </x:row>
    <x:row r="973" ht="72" customHeight="1">
      <x:c r="A973" s="25" t="n">
        <x:v>11865</x:v>
      </x:c>
      <x:c r="B973" s="25" t="str">
        <x:v>IC-L3-1122</x:v>
      </x:c>
      <x:c r="C973" s="25" t="str">
        <x:v>展览/展示/店面设计</x:v>
      </x:c>
      <x:c r="D973" s="25" t="str">
        <x:v>2-09-06-01</x:v>
      </x:c>
      <x:c r="E973" s="25" t="str">
        <x:v>视觉传达设计人员</x:v>
      </x:c>
      <x:c r="F973" s="28" t="n">
        <x:f>COUNTIF('岗位-产业节点关系'!$C$4:$C$709,B973)</x:f>
        <x:v>0</x:v>
      </x:c>
      <x:c r="G973" s="26" t="str">
        <x:f>IF(F973=0,"未匹配（现有产业链范围未覆盖或证据不足）",IF(COUNTIFS('岗位-产业节点关系'!$C$4:$C$709,B973,'岗位-产业节点关系'!$M$4:$M$709,"低")&gt;0,"已匹配，建议复核","已匹配"))</x:f>
        <x:v>未匹配（现有产业链范围未覆盖或证据不足）</x:v>
      </x:c>
      <x:c r="H973" s="26" t="str">
        <x:v>-</x:v>
      </x:c>
      <x:c r="I973" s="26" t="str"/>
      <x:c r="J973" s="26" t="str"/>
      <x:c r="K973" s="26" t="str">
        <x:v>展览/展示/店面设计师是工业设计领域中不可或缺的角色，他们通过创意设计与空间布局，将品牌理念与产品特色生动地呈现给消费者，从而提升品牌形象与市场竞争力。该职位的核心目标在于通过创新的设计方案，优化客户体验，增强顾客对品牌…</x:v>
      </x:c>
      <x:c r="L973" s="26" t="str">
        <x:v>1. 负责展览、展示及店面的空间规划与设计工作，确保设计方案符合品牌定位和市场需求，能够有效传达品牌故事和产品特点。 2. 与客户进行深入沟通，了解其需求与期望，结合市场趋势，提出富有创意且具可行性的设计方案，并在规定时…</x:v>
      </x:c>
    </x:row>
    <x:row r="974" ht="72" customHeight="1">
      <x:c r="A974" s="25" t="n">
        <x:v>11866</x:v>
      </x:c>
      <x:c r="B974" s="25" t="str">
        <x:v>IC-L3-1123</x:v>
      </x:c>
      <x:c r="C974" s="25" t="str">
        <x:v>工业设计/产品设计</x:v>
      </x:c>
      <x:c r="D974" s="25" t="str">
        <x:v>2-09-06-01</x:v>
      </x:c>
      <x:c r="E974" s="25" t="str">
        <x:v>视觉传达设计人员</x:v>
      </x:c>
      <x:c r="F974" s="28" t="n">
        <x:f>COUNTIF('岗位-产业节点关系'!$C$4:$C$709,B974)</x:f>
        <x:v>0</x:v>
      </x:c>
      <x:c r="G974" s="26" t="str">
        <x:f>IF(F974=0,"未匹配（现有产业链范围未覆盖或证据不足）",IF(COUNTIFS('岗位-产业节点关系'!$C$4:$C$709,B974,'岗位-产业节点关系'!$M$4:$M$709,"低")&gt;0,"已匹配，建议复核","已匹配"))</x:f>
        <x:v>未匹配（现有产业链范围未覆盖或证据不足）</x:v>
      </x:c>
      <x:c r="H974" s="26" t="str">
        <x:v>-</x:v>
      </x:c>
      <x:c r="I974" s="26" t="str"/>
      <x:c r="J974" s="26" t="str"/>
      <x:c r="K974" s="26" t="str">
        <x:v>工业设计/产品设计师是设计行业中不可或缺的角色，他们通过创新的设计理念和技术手段，将用户需求转化为实际的产品形态，不仅提升产品的实用性和美观度，还增强了品牌的市场竞争力。该职位的核心目标在于通过深入了解目标市场与消费者偏…</x:v>
      </x:c>
      <x:c r="L974" s="26" t="str">
        <x:v>1. 负责新产品的创意构思与概念设计，确保设计成果能够准确传达品牌形象并满足市场定位要求。 2. 与市场部紧密沟通，收集并分析用户反馈信息，据此调整和完善产品设计方案，提高产品的市场适应性和竞争力。 3. 协调工程团队解…</x:v>
      </x:c>
    </x:row>
    <x:row r="975" ht="72" customHeight="1">
      <x:c r="A975" s="25" t="n">
        <x:v>11867</x:v>
      </x:c>
      <x:c r="B975" s="25" t="str">
        <x:v>IC-L3-1124</x:v>
      </x:c>
      <x:c r="C975" s="25" t="str">
        <x:v>工艺品/珠宝设计鉴定</x:v>
      </x:c>
      <x:c r="D975" s="25" t="str">
        <x:v>2-09-06-01</x:v>
      </x:c>
      <x:c r="E975" s="25" t="str">
        <x:v>视觉传达设计人员</x:v>
      </x:c>
      <x:c r="F975" s="28" t="n">
        <x:f>COUNTIF('岗位-产业节点关系'!$C$4:$C$709,B975)</x:f>
        <x:v>0</x:v>
      </x:c>
      <x:c r="G975" s="26" t="str">
        <x:f>IF(F975=0,"未匹配（现有产业链范围未覆盖或证据不足）",IF(COUNTIFS('岗位-产业节点关系'!$C$4:$C$709,B975,'岗位-产业节点关系'!$M$4:$M$709,"低")&gt;0,"已匹配，建议复核","已匹配"))</x:f>
        <x:v>未匹配（现有产业链范围未覆盖或证据不足）</x:v>
      </x:c>
      <x:c r="H975" s="26" t="str">
        <x:v>-</x:v>
      </x:c>
      <x:c r="I975" s="26" t="str"/>
      <x:c r="J975" s="26" t="str"/>
      <x:c r="K975" s="26" t="str">
        <x:v>工艺品/珠宝设计鉴定师在设计行业中扮演着至关重要的角色，他们不仅负责创造美观与实用并重的艺术品，还承担着保护文化遗产、推动艺术创新的社会责任。通过对历史背景、材料特性及工艺技术的深入研究，本职位致力于提升公司产品线的文化…</x:v>
      </x:c>
      <x:c r="L975" s="26" t="str">
        <x:v>1. 负责收集和分析国内外工艺品/珠宝设计趋势，结合公司战略目标，定期提出创新设计方案。 2. 对现有及潜在产品进行详细的设计评估与鉴定，确保其符合质量标准和审美要求，为产品优化提供专业意见。 3. 与销售团队密切配合，…</x:v>
      </x:c>
    </x:row>
    <x:row r="976" ht="72" customHeight="1">
      <x:c r="A976" s="25" t="n">
        <x:v>11868</x:v>
      </x:c>
      <x:c r="B976" s="25" t="str">
        <x:v>IC-L3-1125</x:v>
      </x:c>
      <x:c r="C976" s="25" t="str">
        <x:v>照明设计</x:v>
      </x:c>
      <x:c r="D976" s="25" t="str">
        <x:v>2-09-06-01</x:v>
      </x:c>
      <x:c r="E976" s="25" t="str">
        <x:v>视觉传达设计人员</x:v>
      </x:c>
      <x:c r="F976" s="28" t="n">
        <x:f>COUNTIF('岗位-产业节点关系'!$C$4:$C$709,B976)</x:f>
        <x:v>0</x:v>
      </x:c>
      <x:c r="G976" s="26" t="str">
        <x:f>IF(F976=0,"未匹配（现有产业链范围未覆盖或证据不足）",IF(COUNTIFS('岗位-产业节点关系'!$C$4:$C$709,B976,'岗位-产业节点关系'!$M$4:$M$709,"低")&gt;0,"已匹配，建议复核","已匹配"))</x:f>
        <x:v>未匹配（现有产业链范围未覆盖或证据不足）</x:v>
      </x:c>
      <x:c r="H976" s="26" t="str">
        <x:v>-</x:v>
      </x:c>
      <x:c r="I976" s="26" t="str"/>
      <x:c r="J976" s="26" t="str"/>
      <x:c r="K976" s="26" t="str">
        <x:v>照明设计师是工业设计领域中不可或缺的专业人才，他们通过创新的设计理念和技术手段，提升产品的视觉效果和用户体验，从而为用户创造更加舒适和安全的生活环境。在公司内部，照明设计师负责开发和优化照明产品，确保其符合市场需求的同时…</x:v>
      </x:c>
      <x:c r="L976" s="26" t="str">
        <x:v>1. 负责照明产品的外观造型及结构设计，确保设计方案既美观又实用，满足客户的个性化需求。 2. 与研发团队密切配合，参与新产品从概念阶段到最终量产的全过程，解决设计过程中出现的技术问题。 3. 定期收集并分析市场趋势，结…</x:v>
      </x:c>
    </x:row>
    <x:row r="977" ht="72" customHeight="1">
      <x:c r="A977" s="25" t="n">
        <x:v>11869</x:v>
      </x:c>
      <x:c r="B977" s="25" t="str">
        <x:v>IC-L3-1126</x:v>
      </x:c>
      <x:c r="C977" s="25" t="str">
        <x:v>玩具设计</x:v>
      </x:c>
      <x:c r="D977" s="25" t="str">
        <x:v>2-09-06-01</x:v>
      </x:c>
      <x:c r="E977" s="25" t="str">
        <x:v>视觉传达设计人员</x:v>
      </x:c>
      <x:c r="F977" s="28" t="n">
        <x:f>COUNTIF('岗位-产业节点关系'!$C$4:$C$709,B977)</x:f>
        <x:v>0</x:v>
      </x:c>
      <x:c r="G977" s="26" t="str">
        <x:f>IF(F977=0,"未匹配（现有产业链范围未覆盖或证据不足）",IF(COUNTIFS('岗位-产业节点关系'!$C$4:$C$709,B977,'岗位-产业节点关系'!$M$4:$M$709,"低")&gt;0,"已匹配，建议复核","已匹配"))</x:f>
        <x:v>未匹配（现有产业链范围未覆盖或证据不足）</x:v>
      </x:c>
      <x:c r="H977" s="26" t="str">
        <x:v>-</x:v>
      </x:c>
      <x:c r="I977" s="26" t="str"/>
      <x:c r="J977" s="26" t="str"/>
      <x:c r="K977" s="26" t="str">
        <x:v>玩具设计师是工业设计领域中不可或缺的专业人才，他们专注于创造既安全又富有创意的玩具产品，以满足不同年龄段儿童的需求。通过与市场趋势紧密相连的设计理念，玩具设计师不仅能够激发孩子们的想象力和创造力，还能促进其认知发展和社会…</x:v>
      </x:c>
      <x:c r="L977" s="26" t="str">
        <x:v>1. 负责收集并分析国内外玩具市场的最新动态，结合公司战略制定相应的创新设计方案。 2. 与跨职能团队沟通协作，确保设计方案能够顺利转化为可量产的产品模型。 3. 根据儿童心理学原理和人体工程学原则，评估并改进现有产品的…</x:v>
      </x:c>
    </x:row>
    <x:row r="978" ht="72" customHeight="1">
      <x:c r="A978" s="25" t="n">
        <x:v>11870</x:v>
      </x:c>
      <x:c r="B978" s="25" t="str">
        <x:v>IC-L3-1127</x:v>
      </x:c>
      <x:c r="C978" s="25" t="str">
        <x:v>计算机辅助设计工程师</x:v>
      </x:c>
      <x:c r="D978" s="25" t="str">
        <x:v>2-09-06-01</x:v>
      </x:c>
      <x:c r="E978" s="25" t="str">
        <x:v>视觉传达设计人员</x:v>
      </x:c>
      <x:c r="F978" s="28" t="n">
        <x:f>COUNTIF('岗位-产业节点关系'!$C$4:$C$709,B978)</x:f>
        <x:v>0</x:v>
      </x:c>
      <x:c r="G978" s="26" t="str">
        <x:f>IF(F978=0,"未匹配（现有产业链范围未覆盖或证据不足）",IF(COUNTIFS('岗位-产业节点关系'!$C$4:$C$709,B978,'岗位-产业节点关系'!$M$4:$M$709,"低")&gt;0,"已匹配，建议复核","已匹配"))</x:f>
        <x:v>未匹配（现有产业链范围未覆盖或证据不足）</x:v>
      </x:c>
      <x:c r="H978" s="26" t="str">
        <x:v>-</x:v>
      </x:c>
      <x:c r="I978" s="26" t="str"/>
      <x:c r="J978" s="26" t="str"/>
      <x:c r="K978" s="26" t="str">
        <x:v>计算机辅助设计工程师是工业设计领域中不可或缺的专业人才，他们利用先进的计算机软件进行产品设计与开发，确保设计方案既符合美学要求又具备实用功能，是连接创意与现实的重要桥梁。该职位不仅需要扎实的设计理论基础，更要求熟练掌握各…</x:v>
      </x:c>
      <x:c r="L978" s="26" t="str">
        <x:v>计算机辅助设计工程师的主要职责包括：使用CAD软件进行产品设计与建模，确保设计符合工程规范和客户需求；进行设计验证与优化，确保设计的准确性和实用性；参与产品开发的全过程，从初步设计到最终产品交付；与团队成员协作，解决设计…</x:v>
      </x:c>
    </x:row>
    <x:row r="979" ht="72" customHeight="1">
      <x:c r="A979" s="25" t="n">
        <x:v>11871</x:v>
      </x:c>
      <x:c r="B979" s="25" t="str">
        <x:v>IC-L3-1128</x:v>
      </x:c>
      <x:c r="C979" s="25" t="str">
        <x:v>陈列设计</x:v>
      </x:c>
      <x:c r="D979" s="25" t="str">
        <x:v>4-01-02-03</x:v>
      </x:c>
      <x:c r="E979" s="25" t="str">
        <x:v>商品营业员</x:v>
      </x:c>
      <x:c r="F979" s="28" t="n">
        <x:f>COUNTIF('岗位-产业节点关系'!$C$4:$C$709,B979)</x:f>
        <x:v>0</x:v>
      </x:c>
      <x:c r="G979" s="26" t="str">
        <x:f>IF(F979=0,"未匹配（现有产业链范围未覆盖或证据不足）",IF(COUNTIFS('岗位-产业节点关系'!$C$4:$C$709,B979,'岗位-产业节点关系'!$M$4:$M$709,"低")&gt;0,"已匹配，建议复核","已匹配"))</x:f>
        <x:v>未匹配（现有产业链范围未覆盖或证据不足）</x:v>
      </x:c>
      <x:c r="H979" s="26" t="str">
        <x:v>-</x:v>
      </x:c>
      <x:c r="I979" s="26" t="str"/>
      <x:c r="J979" s="26" t="str"/>
      <x:c r="K979" s="26" t="str">
        <x:v>陈列设计师是工业设计领域中不可或缺的专业人才，他们通过创意和技巧将产品以最佳方式呈现给消费者，不仅能够提升产品的吸引力，还能增强品牌形象，对于促进销售具有重要作用。作为公司与客户之间的桥梁，陈列设计师负责制定并执行陈列方…</x:v>
      </x:c>
      <x:c r="L979" s="26" t="str">
        <x:v>1. 负责研究目标市场及消费群体特征，结合品牌定位，策划并实施各类线下活动的视觉陈列方案，以提升品牌形象和产品销量。 2. 根据季节变化、节日促销等因素，定期更新店铺布局和商品摆放策略，确保门店环境整洁有序，营造舒适愉悦…</x:v>
      </x:c>
    </x:row>
    <x:row r="980" ht="72" customHeight="1">
      <x:c r="A980" s="25" t="n">
        <x:v>11872</x:v>
      </x:c>
      <x:c r="B980" s="25" t="str">
        <x:v>IC-L3-1129</x:v>
      </x:c>
      <x:c r="C980" s="25" t="str">
        <x:v>艺术/设计总监</x:v>
      </x:c>
      <x:c r="D980" s="25" t="str">
        <x:v>2-02-07-01</x:v>
      </x:c>
      <x:c r="E980" s="25" t="str">
        <x:v>机械设计工程技术人员</x:v>
      </x:c>
      <x:c r="F980" s="28" t="n">
        <x:f>COUNTIF('岗位-产业节点关系'!$C$4:$C$709,B980)</x:f>
        <x:v>0</x:v>
      </x:c>
      <x:c r="G980" s="26" t="str">
        <x:f>IF(F980=0,"未匹配（现有产业链范围未覆盖或证据不足）",IF(COUNTIFS('岗位-产业节点关系'!$C$4:$C$709,B980,'岗位-产业节点关系'!$M$4:$M$709,"低")&gt;0,"已匹配，建议复核","已匹配"))</x:f>
        <x:v>未匹配（现有产业链范围未覆盖或证据不足）</x:v>
      </x:c>
      <x:c r="H980" s="26" t="str">
        <x:v>-</x:v>
      </x:c>
      <x:c r="I980" s="26" t="str"/>
      <x:c r="J980" s="26" t="str"/>
      <x:c r="K980" s="26" t="str">
        <x:v>艺术/设计总监是专门从事工业设计创意与战略规划的专业人员。该职位的核心目标是通过领导设计团队，打造创新且实用的产品设计方案，实现品牌价值提升。在日常工作中，需要进行设计方向把控、项目进度管理、跨部门协作沟通等工作。</x:v>
      </x:c>
      <x:c r="L980" s="26" t="str">
        <x:v>1. 制定设计战略方向 2. 主导产品设计开发 3. 把控设计质量标准 4. 管理设计团队运作 5. 协调跨部门合作 6. 跟踪行业趋势动态</x:v>
      </x:c>
    </x:row>
    <x:row r="981" ht="72" customHeight="1">
      <x:c r="A981" s="25" t="n">
        <x:v>11873</x:v>
      </x:c>
      <x:c r="B981" s="25" t="str">
        <x:v>IC-L3-1130</x:v>
      </x:c>
      <x:c r="C981" s="25" t="str">
        <x:v>机械设计</x:v>
      </x:c>
      <x:c r="D981" s="25" t="str">
        <x:v>2-02-07-01</x:v>
      </x:c>
      <x:c r="E981" s="25" t="str">
        <x:v>机械设计工程技术人员</x:v>
      </x:c>
      <x:c r="F981" s="28" t="n">
        <x:f>COUNTIF('岗位-产业节点关系'!$C$4:$C$709,B981)</x:f>
        <x:v>1</x:v>
      </x:c>
      <x:c r="G981" s="26" t="str">
        <x:f>IF(F981=0,"未匹配（现有产业链范围未覆盖或证据不足）",IF(COUNTIFS('岗位-产业节点关系'!$C$4:$C$709,B981,'岗位-产业节点关系'!$M$4:$M$709,"低")&gt;0,"已匹配，建议复核","已匹配"))</x:f>
        <x:v>已匹配</x:v>
      </x:c>
      <x:c r="H981" s="26" t="str">
        <x:v>中</x:v>
      </x:c>
      <x:c r="I981" s="26" t="str">
        <x:v>ICN004</x:v>
      </x:c>
      <x:c r="J981" s="26" t="str">
        <x:v>高端装备与智能制造产业链/上游/关键基础件与工业母机</x:v>
      </x:c>
      <x:c r="K981" s="26" t="str">
        <x:v>机械设计是专门从事工业产品机械结构研发的专业人员。该职位的核心目标是通过创新设计和工程技术，实现产品功能优化与制造可行性。在日常工作中，需要进行三维建模、结构分析、材料选型、图纸绘制及技术文档编写等工作。</x:v>
      </x:c>
      <x:c r="L981" s="26" t="str">
        <x:v>1. 设计机械结构方案 2. 绘制工程图纸 3. 进行强度计算分析 4. 选型标准零部件 5. 优化产品设计方案 6. 解决生产设计问题</x:v>
      </x:c>
    </x:row>
    <x:row r="982" ht="72" customHeight="1">
      <x:c r="A982" s="25" t="n">
        <x:v>11874</x:v>
      </x:c>
      <x:c r="B982" s="25" t="str">
        <x:v>IC-L3-1131</x:v>
      </x:c>
      <x:c r="C982" s="25" t="str">
        <x:v>模具设计</x:v>
      </x:c>
      <x:c r="D982" s="25" t="str">
        <x:v>2-09-06-01</x:v>
      </x:c>
      <x:c r="E982" s="25" t="str">
        <x:v>视觉传达设计人员</x:v>
      </x:c>
      <x:c r="F982" s="28" t="n">
        <x:f>COUNTIF('岗位-产业节点关系'!$C$4:$C$709,B982)</x:f>
        <x:v>1</x:v>
      </x:c>
      <x:c r="G982" s="26" t="str">
        <x:f>IF(F982=0,"未匹配（现有产业链范围未覆盖或证据不足）",IF(COUNTIFS('岗位-产业节点关系'!$C$4:$C$709,B982,'岗位-产业节点关系'!$M$4:$M$709,"低")&gt;0,"已匹配，建议复核","已匹配"))</x:f>
        <x:v>已匹配</x:v>
      </x:c>
      <x:c r="H982" s="26" t="str">
        <x:v>中</x:v>
      </x:c>
      <x:c r="I982" s="26" t="str">
        <x:v>ICN004</x:v>
      </x:c>
      <x:c r="J982" s="26" t="str">
        <x:v>高端装备与智能制造产业链/上游/关键基础件与工业母机</x:v>
      </x:c>
      <x:c r="K982" s="26" t="str">
        <x:v>模具设计是专门从事工业产品成型模具开发的专业人员。该职位的核心目标是通过设计高效、精准的模具方案，实现产品量产的质量与成本优化。在日常工作中，需要进行三维建模、结构分析、公差配合计算及模具调试等工作。</x:v>
      </x:c>
      <x:c r="L982" s="26" t="str">
        <x:v>1. 设计模具结构方案 2. 绘制模具三维图纸 3. 优化模具生产工艺 4. 核算模具制造成本 5. 解决模具技术问题 6. 跟进模具试模过程</x:v>
      </x:c>
    </x:row>
    <x:row r="983" ht="72" customHeight="1">
      <x:c r="A983" s="25" t="n">
        <x:v>11875</x:v>
      </x:c>
      <x:c r="B983" s="25" t="str">
        <x:v>IC-L3-1132</x:v>
      </x:c>
      <x:c r="C983" s="25" t="str">
        <x:v>平面设计师</x:v>
      </x:c>
      <x:c r="D983" s="25" t="str">
        <x:v>2-09-06-01</x:v>
      </x:c>
      <x:c r="E983" s="25" t="str">
        <x:v>视觉传达设计人员</x:v>
      </x:c>
      <x:c r="F983" s="28" t="n">
        <x:f>COUNTIF('岗位-产业节点关系'!$C$4:$C$709,B983)</x:f>
        <x:v>1</x:v>
      </x:c>
      <x:c r="G983" s="26" t="str">
        <x:f>IF(F983=0,"未匹配（现有产业链范围未覆盖或证据不足）",IF(COUNTIFS('岗位-产业节点关系'!$C$4:$C$709,B983,'岗位-产业节点关系'!$M$4:$M$709,"低")&gt;0,"已匹配，建议复核","已匹配"))</x:f>
        <x:v>已匹配</x:v>
      </x:c>
      <x:c r="H983" s="26" t="str">
        <x:v>高</x:v>
      </x:c>
      <x:c r="I983" s="26" t="str">
        <x:v>ICN003</x:v>
      </x:c>
      <x:c r="J983" s="26" t="str">
        <x:v>数据要素与数字经济产业链/下游/数字经济场景应用与内容创意</x:v>
      </x:c>
      <x:c r="K983" s="26" t="str">
        <x:v>平面设计师是设计行业中不可或缺的专业人才，他们通过创意与技术的结合，将信息转化为视觉元素，以吸引目标受众并传达特定的信息。在企业中，平面设计师不仅负责品牌形象的设计与维护，还参与广告宣传、包装设计等多方面的创意工作，是公…</x:v>
      </x:c>
      <x:c r="L983" s="26" t="str">
        <x:v>1. 负责公司产品或服务相关的各类平面设计工作，包括但不限于宣传册、海报、名片等物料的设计制作，确保设计方案符合品牌调性及市场需求。 2. 根据项目需求进行创意思考，提出创新的设计理念，并能快速准确地将概念转化为实际作品…</x:v>
      </x:c>
    </x:row>
    <x:row r="984" ht="72" customHeight="1">
      <x:c r="A984" s="25" t="n">
        <x:v>11876</x:v>
      </x:c>
      <x:c r="B984" s="25" t="str">
        <x:v>IC-L3-1133</x:v>
      </x:c>
      <x:c r="C984" s="25" t="str">
        <x:v>平面设计总监</x:v>
      </x:c>
      <x:c r="D984" s="25" t="str">
        <x:v>2-09-06-01</x:v>
      </x:c>
      <x:c r="E984" s="25" t="str">
        <x:v>视觉传达设计人员</x:v>
      </x:c>
      <x:c r="F984" s="28" t="n">
        <x:f>COUNTIF('岗位-产业节点关系'!$C$4:$C$709,B984)</x:f>
        <x:v>1</x:v>
      </x:c>
      <x:c r="G984" s="26" t="str">
        <x:f>IF(F984=0,"未匹配（现有产业链范围未覆盖或证据不足）",IF(COUNTIFS('岗位-产业节点关系'!$C$4:$C$709,B984,'岗位-产业节点关系'!$M$4:$M$709,"低")&gt;0,"已匹配，建议复核","已匹配"))</x:f>
        <x:v>已匹配</x:v>
      </x:c>
      <x:c r="H984" s="26" t="str">
        <x:v>中</x:v>
      </x:c>
      <x:c r="I984" s="26" t="str">
        <x:v>ICN003</x:v>
      </x:c>
      <x:c r="J984" s="26" t="str">
        <x:v>数据要素与数字经济产业链/下游/数字经济场景应用与内容创意</x:v>
      </x:c>
      <x:c r="K984" s="26" t="str">
        <x:v>平面设计总监是设计行业中至关重要的角色，负责引领公司创意设计的方向，确保品牌形象的一致性和创新性。作为设计团队的灵魂人物，平面设计总监不仅需要具备卓越的设计才能，还需拥有强大的领导力和项目管理能力，以确保所有设计项目能够…</x:v>
      </x:c>
      <x:c r="L984" s="26" t="str">
        <x:v>1. 负责制定整体平面设计策略，指导并监督设计团队完成各类广告、宣传册、包装等平面设计工作，确保设计质量符合公司标准。 2. 与市场营销部门密切配合，分析市场动态，结合品牌定位，提出创新性的设计方案，有效支持销售活动。 …</x:v>
      </x:c>
    </x:row>
    <x:row r="985" ht="72" customHeight="1">
      <x:c r="A985" s="25" t="n">
        <x:v>11877</x:v>
      </x:c>
      <x:c r="B985" s="25" t="str">
        <x:v>IC-L3-1134</x:v>
      </x:c>
      <x:c r="C985" s="25" t="str">
        <x:v>平面设计经理/主管</x:v>
      </x:c>
      <x:c r="D985" s="25" t="str">
        <x:v>2-09-06-01</x:v>
      </x:c>
      <x:c r="E985" s="25" t="str">
        <x:v>视觉传达设计人员</x:v>
      </x:c>
      <x:c r="F985" s="28" t="n">
        <x:f>COUNTIF('岗位-产业节点关系'!$C$4:$C$709,B985)</x:f>
        <x:v>1</x:v>
      </x:c>
      <x:c r="G985" s="26" t="str">
        <x:f>IF(F985=0,"未匹配（现有产业链范围未覆盖或证据不足）",IF(COUNTIFS('岗位-产业节点关系'!$C$4:$C$709,B985,'岗位-产业节点关系'!$M$4:$M$709,"低")&gt;0,"已匹配，建议复核","已匹配"))</x:f>
        <x:v>已匹配</x:v>
      </x:c>
      <x:c r="H985" s="26" t="str">
        <x:v>中</x:v>
      </x:c>
      <x:c r="I985" s="26" t="str">
        <x:v>ICN003</x:v>
      </x:c>
      <x:c r="J985" s="26" t="str">
        <x:v>数据要素与数字经济产业链/下游/数字经济场景应用与内容创意</x:v>
      </x:c>
      <x:c r="K985" s="26" t="str">
        <x:v>平面设计经理/主管是设计行业中不可或缺的角色，负责指导和管理团队完成高质量的设计项目。这一职位不仅需要具备出色的创意设计能力，还应拥有良好的团队管理和项目协调技巧，以确保每个设计项目都能按时、按质完成，满足客户的需求。 …</x:v>
      </x:c>
      <x:c r="L985" s="26" t="str">
        <x:v>1. 负责平面设计项目的整体规划与执行，包括但不限于广告宣传、包装设计、品牌形象塑造等工作，确保所有设计作品均达到公司标准及客户需求。 2. 管理并培训设计团队成员，提供专业指导和支持，激发团队创造力，保证团队高效运作。…</x:v>
      </x:c>
    </x:row>
    <x:row r="986" ht="72" customHeight="1">
      <x:c r="A986" s="25" t="n">
        <x:v>11878</x:v>
      </x:c>
      <x:c r="B986" s="25" t="str">
        <x:v>IC-L3-1135</x:v>
      </x:c>
      <x:c r="C986" s="25" t="str">
        <x:v>UI设计师</x:v>
      </x:c>
      <x:c r="D986" s="25" t="str">
        <x:v>2-09-06-01</x:v>
      </x:c>
      <x:c r="E986" s="25" t="str">
        <x:v>视觉传达设计人员</x:v>
      </x:c>
      <x:c r="F986" s="28" t="n">
        <x:f>COUNTIF('岗位-产业节点关系'!$C$4:$C$709,B986)</x:f>
        <x:v>1</x:v>
      </x:c>
      <x:c r="G986" s="26" t="str">
        <x:f>IF(F986=0,"未匹配（现有产业链范围未覆盖或证据不足）",IF(COUNTIFS('岗位-产业节点关系'!$C$4:$C$709,B986,'岗位-产业节点关系'!$M$4:$M$709,"低")&gt;0,"已匹配，建议复核","已匹配"))</x:f>
        <x:v>已匹配</x:v>
      </x:c>
      <x:c r="H986" s="26" t="str">
        <x:v>中</x:v>
      </x:c>
      <x:c r="I986" s="26" t="str">
        <x:v>ICN003</x:v>
      </x:c>
      <x:c r="J986" s="26" t="str">
        <x:v>数据要素与数字经济产业链/下游/数字经济场景应用与内容创意</x:v>
      </x:c>
      <x:c r="K986" s="26" t="str">
        <x:v>UI设计师是专门从事用户界面视觉设计的专业人员。该职位的核心目标是通过创新设计语言，提升产品视觉体验和用户交互品质。在日常工作中，需要进行界面原型设计、视觉元素创作、设计规范制定等工作。</x:v>
      </x:c>
      <x:c r="L986" s="26" t="str">
        <x:v>1. 设计用户界面方案 2. 制作视觉设计稿 3. 优化交互体验 4. 制定设计规范 5. 配合开发实现 6. 跟进设计效果</x:v>
      </x:c>
    </x:row>
    <x:row r="987" ht="72" customHeight="1">
      <x:c r="A987" s="25" t="n">
        <x:v>11879</x:v>
      </x:c>
      <x:c r="B987" s="25" t="str">
        <x:v>IC-L3-1136</x:v>
      </x:c>
      <x:c r="C987" s="25" t="str">
        <x:v>原画师</x:v>
      </x:c>
      <x:c r="D987" s="25" t="str">
        <x:v>2-09-06-01</x:v>
      </x:c>
      <x:c r="E987" s="25" t="str">
        <x:v>视觉传达设计人员</x:v>
      </x:c>
      <x:c r="F987" s="28" t="n">
        <x:f>COUNTIF('岗位-产业节点关系'!$C$4:$C$709,B987)</x:f>
        <x:v>0</x:v>
      </x:c>
      <x:c r="G987" s="26" t="str">
        <x:f>IF(F987=0,"未匹配（现有产业链范围未覆盖或证据不足）",IF(COUNTIFS('岗位-产业节点关系'!$C$4:$C$709,B987,'岗位-产业节点关系'!$M$4:$M$709,"低")&gt;0,"已匹配，建议复核","已匹配"))</x:f>
        <x:v>未匹配（现有产业链范围未覆盖或证据不足）</x:v>
      </x:c>
      <x:c r="H987" s="26" t="str">
        <x:v>-</x:v>
      </x:c>
      <x:c r="I987" s="26" t="str"/>
      <x:c r="J987" s="26" t="str"/>
      <x:c r="K987" s="26" t="str">
        <x:v>原画师是专门从事创意视觉表现的专业人员。该职位的核心目标是通过原创绘画设计，为平面设计项目提供核心视觉元素。在日常工作中，需要进行概念草图创作、色彩方案设计、细节刻画及风格统一等工作。</x:v>
      </x:c>
      <x:c r="L987" s="26" t="str">
        <x:v>1. 创作概念原画设计 2. 绘制角色场景设定 3. 完成色彩光影设计 4. 配合项目需求修改 5. 保持风格统一性 6. 输出高质量设计稿</x:v>
      </x:c>
    </x:row>
    <x:row r="988" ht="72" customHeight="1">
      <x:c r="A988" s="25" t="n">
        <x:v>11880</x:v>
      </x:c>
      <x:c r="B988" s="25" t="str">
        <x:v>IC-L3-1137</x:v>
      </x:c>
      <x:c r="C988" s="25" t="str">
        <x:v>交互设计师</x:v>
      </x:c>
      <x:c r="D988" s="25" t="str">
        <x:v>2-09-06-01</x:v>
      </x:c>
      <x:c r="E988" s="25" t="str">
        <x:v>视觉传达设计人员</x:v>
      </x:c>
      <x:c r="F988" s="28" t="n">
        <x:f>COUNTIF('岗位-产业节点关系'!$C$4:$C$709,B988)</x:f>
        <x:v>1</x:v>
      </x:c>
      <x:c r="G988" s="26" t="str">
        <x:f>IF(F988=0,"未匹配（现有产业链范围未覆盖或证据不足）",IF(COUNTIFS('岗位-产业节点关系'!$C$4:$C$709,B988,'岗位-产业节点关系'!$M$4:$M$709,"低")&gt;0,"已匹配，建议复核","已匹配"))</x:f>
        <x:v>已匹配</x:v>
      </x:c>
      <x:c r="H988" s="26" t="str">
        <x:v>中</x:v>
      </x:c>
      <x:c r="I988" s="26" t="str">
        <x:v>ICN003</x:v>
      </x:c>
      <x:c r="J988" s="26" t="str">
        <x:v>数据要素与数字经济产业链/下游/数字经济场景应用与内容创意</x:v>
      </x:c>
      <x:c r="K988" s="26" t="str">
        <x:v>交互设计师是专注于优化用户与数字产品交互体验的专业人员。该职位的核心目标是通过设计直观、高效的交互方案，提升产品的可用性和用户体验。在日常工作中，需要进行用户需求分析、交互流程设计、原型制作及可用性测试等工作。</x:v>
      </x:c>
      <x:c r="L988" s="26" t="str">
        <x:v>1. 设计用户交互流程 2. 优化界面视觉体验 3. 制作原型设计文档 4. 分析用户行为数据 5. 协调平面设计团队 6. 跟进设计落地实施</x:v>
      </x:c>
    </x:row>
    <x:row r="989" ht="72" customHeight="1">
      <x:c r="A989" s="25" t="n">
        <x:v>11881</x:v>
      </x:c>
      <x:c r="B989" s="25" t="str">
        <x:v>IC-L3-1138</x:v>
      </x:c>
      <x:c r="C989" s="25" t="str">
        <x:v>数据分析师</x:v>
      </x:c>
      <x:c r="D989" s="25" t="str">
        <x:v>2-02-10-03</x:v>
      </x:c>
      <x:c r="E989" s="25" t="str">
        <x:v>计算机软件工程技术人员</x:v>
      </x:c>
      <x:c r="F989" s="28" t="n">
        <x:f>COUNTIF('岗位-产业节点关系'!$C$4:$C$709,B989)</x:f>
        <x:v>1</x:v>
      </x:c>
      <x:c r="G989" s="26" t="str">
        <x:f>IF(F989=0,"未匹配（现有产业链范围未覆盖或证据不足）",IF(COUNTIFS('岗位-产业节点关系'!$C$4:$C$709,B989,'岗位-产业节点关系'!$M$4:$M$709,"低")&gt;0,"已匹配，建议复核","已匹配"))</x:f>
        <x:v>已匹配</x:v>
      </x:c>
      <x:c r="H989" s="26" t="str">
        <x:v>中</x:v>
      </x:c>
      <x:c r="I989" s="26" t="str">
        <x:v>ICN002</x:v>
      </x:c>
      <x:c r="J989" s="26" t="str">
        <x:v>数据要素与数字经济产业链/中游/数据治理、流通与服务</x:v>
      </x:c>
      <x:c r="K989" s="26" t="str">
        <x:v>数据分析师是专门从事设计行业数据挖掘与分析的专业人员。该职位的核心目标是通过收集和分析用户行为数据与市场趋势，为平面设计决策提供数据支持。在日常工作中，需要进行设计效果追踪、用户偏好分析、竞品数据对比及可视化报告制作等工…</x:v>
      </x:c>
      <x:c r="L989" s="26" t="str">
        <x:v>1. 收集设计数据需求 2. 分析设计趋势数据 3. 优化设计流程效率 4. 制作数据可视化报告 5. 评估设计项目效果 6. 提供设计决策建议</x:v>
      </x:c>
    </x:row>
    <x:row r="990" ht="72" customHeight="1">
      <x:c r="A990" s="25" t="n">
        <x:v>11882</x:v>
      </x:c>
      <x:c r="B990" s="25" t="str">
        <x:v>IC-L3-1139</x:v>
      </x:c>
      <x:c r="C990" s="25" t="str">
        <x:v>展览/展示/店面设计</x:v>
      </x:c>
      <x:c r="D990" s="25" t="str">
        <x:v>2-09-06-01</x:v>
      </x:c>
      <x:c r="E990" s="25" t="str">
        <x:v>视觉传达设计人员</x:v>
      </x:c>
      <x:c r="F990" s="28" t="n">
        <x:f>COUNTIF('岗位-产业节点关系'!$C$4:$C$709,B990)</x:f>
        <x:v>0</x:v>
      </x:c>
      <x:c r="G990" s="26" t="str">
        <x:f>IF(F990=0,"未匹配（现有产业链范围未覆盖或证据不足）",IF(COUNTIFS('岗位-产业节点关系'!$C$4:$C$709,B990,'岗位-产业节点关系'!$M$4:$M$709,"低")&gt;0,"已匹配，建议复核","已匹配"))</x:f>
        <x:v>未匹配（现有产业链范围未覆盖或证据不足）</x:v>
      </x:c>
      <x:c r="H990" s="26" t="str">
        <x:v>-</x:v>
      </x:c>
      <x:c r="I990" s="26" t="str"/>
      <x:c r="J990" s="26" t="str"/>
      <x:c r="K990" s="26" t="str">
        <x:v>展览/展示/店面设计是专门从事商业空间视觉规划和创意呈现的专业人员。该职位的核心目标是通过创新的设计解决方案，提升品牌形象和消费体验。在日常工作中，需要进行空间布局规划、视觉元素设计、材料选择及3D效果呈现等工作。</x:v>
      </x:c>
      <x:c r="L990" s="26" t="str">
        <x:v>1. 设计展示空间方案 2. 制作三维效果图纸 3. 选择合适展示材料 4. 把控施工制作质量 5. 协调跨部门需求 6. 跟进项目落地执行</x:v>
      </x:c>
    </x:row>
    <x:row r="991" ht="72" customHeight="1">
      <x:c r="A991" s="25" t="n">
        <x:v>11883</x:v>
      </x:c>
      <x:c r="B991" s="25" t="str">
        <x:v>IC-L3-1140</x:v>
      </x:c>
      <x:c r="C991" s="25" t="str">
        <x:v>广告创意/设计专员</x:v>
      </x:c>
      <x:c r="D991" s="25" t="str">
        <x:v>2-09-06-01</x:v>
      </x:c>
      <x:c r="E991" s="25" t="str">
        <x:v>视觉传达设计人员</x:v>
      </x:c>
      <x:c r="F991" s="28" t="n">
        <x:f>COUNTIF('岗位-产业节点关系'!$C$4:$C$709,B991)</x:f>
        <x:v>1</x:v>
      </x:c>
      <x:c r="G991" s="26" t="str">
        <x:f>IF(F991=0,"未匹配（现有产业链范围未覆盖或证据不足）",IF(COUNTIFS('岗位-产业节点关系'!$C$4:$C$709,B991,'岗位-产业节点关系'!$M$4:$M$709,"低")&gt;0,"已匹配，建议复核","已匹配"))</x:f>
        <x:v>已匹配</x:v>
      </x:c>
      <x:c r="H991" s="26" t="str">
        <x:v>中</x:v>
      </x:c>
      <x:c r="I991" s="26" t="str">
        <x:v>ICN003</x:v>
      </x:c>
      <x:c r="J991" s="26" t="str">
        <x:v>数据要素与数字经济产业链/下游/数字经济场景应用与内容创意</x:v>
      </x:c>
      <x:c r="K991" s="26" t="str">
        <x:v>广告创意/设计专员是设计行业中不可或缺的角色，特别是在广告设计领域。通过创新思维和专业技能，他们能够将品牌理念转化为视觉故事，激发消费者兴趣，从而提升品牌形象和市场竞争力。这一职位不仅需要具备敏锐的市场洞察力，还需拥有扎…</x:v>
      </x:c>
      <x:c r="L991" s="26" t="str">
        <x:v>1. 负责广告项目的整体视觉风格设计，包括但不限于平面广告、视频广告等形式，确保设计成果与品牌调性一致。 2. 与客户进行有效沟通，准确理解其需求并提出建设性的设计方案，直至客户满意为止。 3. 参与团队内部头脑风暴会议…</x:v>
      </x:c>
    </x:row>
    <x:row r="992" ht="72" customHeight="1">
      <x:c r="A992" s="25" t="n">
        <x:v>11884</x:v>
      </x:c>
      <x:c r="B992" s="25" t="str">
        <x:v>IC-L3-1141</x:v>
      </x:c>
      <x:c r="C992" s="25" t="str">
        <x:v>广告创意/设计主管</x:v>
      </x:c>
      <x:c r="D992" s="25" t="str">
        <x:v>2-09-06-01</x:v>
      </x:c>
      <x:c r="E992" s="25" t="str">
        <x:v>视觉传达设计人员</x:v>
      </x:c>
      <x:c r="F992" s="28" t="n">
        <x:f>COUNTIF('岗位-产业节点关系'!$C$4:$C$709,B992)</x:f>
        <x:v>1</x:v>
      </x:c>
      <x:c r="G992" s="26" t="str">
        <x:f>IF(F992=0,"未匹配（现有产业链范围未覆盖或证据不足）",IF(COUNTIFS('岗位-产业节点关系'!$C$4:$C$709,B992,'岗位-产业节点关系'!$M$4:$M$709,"低")&gt;0,"已匹配，建议复核","已匹配"))</x:f>
        <x:v>已匹配</x:v>
      </x:c>
      <x:c r="H992" s="26" t="str">
        <x:v>中</x:v>
      </x:c>
      <x:c r="I992" s="26" t="str">
        <x:v>ICN003</x:v>
      </x:c>
      <x:c r="J992" s="26" t="str">
        <x:v>数据要素与数字经济产业链/下游/数字经济场景应用与内容创意</x:v>
      </x:c>
      <x:c r="K992" s="26" t="str">
        <x:v>广告创意/设计主管是广告行业中至关重要的角色，他们不仅负责引领团队的创意方向，还承担着将品牌故事通过视觉艺术形式传达给目标受众的责任。作为广告设计领域中的领导者，广告创意/设计主管的核心目标在于激发团队创造力，确保所有设…</x:v>
      </x:c>
      <x:c r="L992" s="26" t="str">
        <x:v>1. 负责制定并执行广告创意策略，指导团队完成从概念构思到成品制作的全过程，确保最终作品的质量达到甚至超越客户期望。 2. 与客户沟通需求，准确把握其品牌调性和市场需求，带领团队进行市场调研分析，为客户提供专业的设计方案…</x:v>
      </x:c>
    </x:row>
    <x:row r="993" ht="72" customHeight="1">
      <x:c r="A993" s="25" t="n">
        <x:v>11885</x:v>
      </x:c>
      <x:c r="B993" s="25" t="str">
        <x:v>IC-L3-1142</x:v>
      </x:c>
      <x:c r="C993" s="25" t="str">
        <x:v>广告创意/设计经理</x:v>
      </x:c>
      <x:c r="D993" s="25" t="str">
        <x:v>2-09-06-01</x:v>
      </x:c>
      <x:c r="E993" s="25" t="str">
        <x:v>视觉传达设计人员</x:v>
      </x:c>
      <x:c r="F993" s="28" t="n">
        <x:f>COUNTIF('岗位-产业节点关系'!$C$4:$C$709,B993)</x:f>
        <x:v>1</x:v>
      </x:c>
      <x:c r="G993" s="26" t="str">
        <x:f>IF(F993=0,"未匹配（现有产业链范围未覆盖或证据不足）",IF(COUNTIFS('岗位-产业节点关系'!$C$4:$C$709,B993,'岗位-产业节点关系'!$M$4:$M$709,"低")&gt;0,"已匹配，建议复核","已匹配"))</x:f>
        <x:v>已匹配</x:v>
      </x:c>
      <x:c r="H993" s="26" t="str">
        <x:v>中</x:v>
      </x:c>
      <x:c r="I993" s="26" t="str">
        <x:v>ICN003</x:v>
      </x:c>
      <x:c r="J993" s="26" t="str">
        <x:v>数据要素与数字经济产业链/下游/数字经济场景应用与内容创意</x:v>
      </x:c>
      <x:c r="K993" s="26" t="str">
        <x:v>广告创意/设计经理是广告设计行业中不可或缺的角色，负责领导创意团队，确保项目从概念到成品的顺利执行。此职位不仅需要具备深厚的设计功底，还需要拥有良好的项目管理和人际沟通能力，以确保创意与市场需求相匹配。作为团队的核心，广…</x:v>
      </x:c>
      <x:c r="L993" s="26" t="str">
        <x:v>1. 负责组织并指导团队完成广告创意方案的设计工作，确保设计方案符合客户的品牌形象及市场定位。 2. 与客户进行深入沟通，了解其需求和期望，提出创新性的解决方案，提高客户满意度。 3. 监控项目进度，协调内部资源，解决项…</x:v>
      </x:c>
    </x:row>
    <x:row r="994" ht="72" customHeight="1">
      <x:c r="A994" s="25" t="n">
        <x:v>11886</x:v>
      </x:c>
      <x:c r="B994" s="25" t="str">
        <x:v>IC-L3-1143</x:v>
      </x:c>
      <x:c r="C994" s="25" t="str">
        <x:v>网页设计师</x:v>
      </x:c>
      <x:c r="D994" s="25" t="str">
        <x:v>2-09-06-01</x:v>
      </x:c>
      <x:c r="E994" s="25" t="str">
        <x:v>视觉传达设计人员</x:v>
      </x:c>
      <x:c r="F994" s="28" t="n">
        <x:f>COUNTIF('岗位-产业节点关系'!$C$4:$C$709,B994)</x:f>
        <x:v>1</x:v>
      </x:c>
      <x:c r="G994" s="26" t="str">
        <x:f>IF(F994=0,"未匹配（现有产业链范围未覆盖或证据不足）",IF(COUNTIFS('岗位-产业节点关系'!$C$4:$C$709,B994,'岗位-产业节点关系'!$M$4:$M$709,"低")&gt;0,"已匹配，建议复核","已匹配"))</x:f>
        <x:v>已匹配</x:v>
      </x:c>
      <x:c r="H994" s="26" t="str">
        <x:v>中</x:v>
      </x:c>
      <x:c r="I994" s="26" t="str">
        <x:v>ICN003</x:v>
      </x:c>
      <x:c r="J994" s="26" t="str">
        <x:v>数据要素与数字经济产业链/下游/数字经济场景应用与内容创意</x:v>
      </x:c>
      <x:c r="K994" s="26" t="str">
        <x:v>网页设计师是专门从事数字界面视觉创意与实现的专业人员。该职位的核心目标是通过创新的网页设计方案，提升品牌传播效果并优化用户体验。在日常工作中，需要进行网站视觉设计、交互原型制作、广告素材设计及响应式布局开发等工作。</x:v>
      </x:c>
      <x:c r="L994" s="26" t="str">
        <x:v>1. 设计网页视觉方案 2. 制作广告创意页面 3. 优化用户体验设计 4. 维护更新网站内容 5. 配合团队完成项目 6. 跟踪设计效果数据</x:v>
      </x:c>
    </x:row>
    <x:row r="995" ht="72" customHeight="1">
      <x:c r="A995" s="25" t="n">
        <x:v>11887</x:v>
      </x:c>
      <x:c r="B995" s="25" t="str">
        <x:v>IC-L3-1144</x:v>
      </x:c>
      <x:c r="C995" s="25" t="str">
        <x:v>Flash设计师</x:v>
      </x:c>
      <x:c r="D995" s="25" t="str">
        <x:v>2-09-06-01</x:v>
      </x:c>
      <x:c r="E995" s="25" t="str">
        <x:v>视觉传达设计人员</x:v>
      </x:c>
      <x:c r="F995" s="28" t="n">
        <x:f>COUNTIF('岗位-产业节点关系'!$C$4:$C$709,B995)</x:f>
        <x:v>1</x:v>
      </x:c>
      <x:c r="G995" s="26" t="str">
        <x:f>IF(F995=0,"未匹配（现有产业链范围未覆盖或证据不足）",IF(COUNTIFS('岗位-产业节点关系'!$C$4:$C$709,B995,'岗位-产业节点关系'!$M$4:$M$709,"低")&gt;0,"已匹配，建议复核","已匹配"))</x:f>
        <x:v>已匹配</x:v>
      </x:c>
      <x:c r="H995" s="26" t="str">
        <x:v>中</x:v>
      </x:c>
      <x:c r="I995" s="26" t="str">
        <x:v>ICN054</x:v>
      </x:c>
      <x:c r="J995" s="26" t="str">
        <x:v>新型显示与虚拟现实产业链/下游/沉浸式内容、行业应用与消费场景</x:v>
      </x:c>
      <x:c r="K995" s="26" t="str">
        <x:v>Flash设计师是专门从事动态视觉创意设计的专业人员。该职位的核心目标是通过Flash技术制作高质量互动广告，提升品牌传播效果。在日常工作中，需要进行动画设计、交互开发、广告特效制作及项目优化等工作。</x:v>
      </x:c>
      <x:c r="L995" s="26" t="str">
        <x:v>1. 设计Flash广告创意 2. 制作互动动画效果 3. 优化广告加载速度 4. 配合团队完成项目 5. 确保设计兼容性 6. 跟进广告投放效果</x:v>
      </x:c>
    </x:row>
    <x:row r="996" ht="72" customHeight="1">
      <x:c r="A996" s="25" t="n">
        <x:v>11888</x:v>
      </x:c>
      <x:c r="B996" s="25" t="str">
        <x:v>IC-L3-1145</x:v>
      </x:c>
      <x:c r="C996" s="25" t="str">
        <x:v>BIM工程师</x:v>
      </x:c>
      <x:c r="D996" s="25" t="str">
        <x:v>2-09-06-01</x:v>
      </x:c>
      <x:c r="E996" s="25" t="str">
        <x:v>视觉传达设计人员</x:v>
      </x:c>
      <x:c r="F996" s="28" t="n">
        <x:f>COUNTIF('岗位-产业节点关系'!$C$4:$C$709,B996)</x:f>
        <x:v>0</x:v>
      </x:c>
      <x:c r="G996" s="26" t="str">
        <x:f>IF(F996=0,"未匹配（现有产业链范围未覆盖或证据不足）",IF(COUNTIFS('岗位-产业节点关系'!$C$4:$C$709,B996,'岗位-产业节点关系'!$M$4:$M$709,"低")&gt;0,"已匹配，建议复核","已匹配"))</x:f>
        <x:v>未匹配（现有产业链范围未覆盖或证据不足）</x:v>
      </x:c>
      <x:c r="H996" s="26" t="str">
        <x:v>-</x:v>
      </x:c>
      <x:c r="I996" s="26" t="str"/>
      <x:c r="J996" s="26" t="str"/>
      <x:c r="K996" s="26" t="str">
        <x:v>BIM工程师是建筑设计与施工领域中不可或缺的专业人才，他们利用先进的BIM（Building Information Modeling）技术，在项目的设计、建造和运营过程中发挥着至关重要的作用。通过创建和管理三维模型，B…</x:v>
      </x:c>
      <x:c r="L996" s="26" t="str">
        <x:v>1. 使用BIM软件创建和维护建筑项目的三维模型，确保模型数据的准确性与完整性。 2. 协调各专业领域的设计工作，解决模型中存在的冲突问题，促进多专业间的有效沟通。 3. 分析项目需求，提出基于BIM技术的设计优化方案，…</x:v>
      </x:c>
    </x:row>
    <x:row r="997" ht="72" customHeight="1">
      <x:c r="A997" s="25" t="n">
        <x:v>11889</x:v>
      </x:c>
      <x:c r="B997" s="25" t="str">
        <x:v>IC-L3-1146</x:v>
      </x:c>
      <x:c r="C997" s="25" t="str">
        <x:v>园艺/园林/景观设计</x:v>
      </x:c>
      <x:c r="D997" s="25" t="str">
        <x:v>2-09-06-01</x:v>
      </x:c>
      <x:c r="E997" s="25" t="str">
        <x:v>视觉传达设计人员</x:v>
      </x:c>
      <x:c r="F997" s="28" t="n">
        <x:f>COUNTIF('岗位-产业节点关系'!$C$4:$C$709,B997)</x:f>
        <x:v>1</x:v>
      </x:c>
      <x:c r="G997" s="26" t="str">
        <x:f>IF(F997=0,"未匹配（现有产业链范围未覆盖或证据不足）",IF(COUNTIFS('岗位-产业节点关系'!$C$4:$C$709,B997,'岗位-产业节点关系'!$M$4:$M$709,"低")&gt;0,"已匹配，建议复核","已匹配"))</x:f>
        <x:v>已匹配</x:v>
      </x:c>
      <x:c r="H997" s="26" t="str">
        <x:v>高</x:v>
      </x:c>
      <x:c r="I997" s="26" t="str">
        <x:v>ICN007</x:v>
      </x:c>
      <x:c r="J997" s="26" t="str">
        <x:v>基础设施与城市建设产业链/上游/规划设计、建材与工程准备</x:v>
      </x:c>
      <x:c r="K997" s="26" t="str">
        <x:v>园艺/园林/景观设计师是建筑设计领域不可或缺的专业人才，他们专注于户外空间的设计与美化，旨在创造既实用又美观的生活环境。通过将自然元素与人工构建巧妙结合，这一角色不仅提升了项目整体的视觉吸引力，还促进了人与自然之间的和谐…</x:v>
      </x:c>
      <x:c r="L997" s="26" t="str">
        <x:v>1. 负责收集并分析项目所在地的地理、气候、文化等背景资料，为制定合理的景观设计方案提供依据。 2. 与客户沟通交流，了解其需求和期望，结合实际情况提出专业的建议和解决方案。 3. 使用专业软件（如AutoCAD、Ske…</x:v>
      </x:c>
    </x:row>
    <x:row r="998" ht="72" customHeight="1">
      <x:c r="A998" s="25" t="n">
        <x:v>11890</x:v>
      </x:c>
      <x:c r="B998" s="25" t="str">
        <x:v>IC-L3-1147</x:v>
      </x:c>
      <x:c r="C998" s="25" t="str">
        <x:v>城市规划设计</x:v>
      </x:c>
      <x:c r="D998" s="25" t="str">
        <x:v>2-09-06-01</x:v>
      </x:c>
      <x:c r="E998" s="25" t="str">
        <x:v>视觉传达设计人员</x:v>
      </x:c>
      <x:c r="F998" s="28" t="n">
        <x:f>COUNTIF('岗位-产业节点关系'!$C$4:$C$709,B998)</x:f>
        <x:v>1</x:v>
      </x:c>
      <x:c r="G998" s="26" t="str">
        <x:f>IF(F998=0,"未匹配（现有产业链范围未覆盖或证据不足）",IF(COUNTIFS('岗位-产业节点关系'!$C$4:$C$709,B998,'岗位-产业节点关系'!$M$4:$M$709,"低")&gt;0,"已匹配，建议复核","已匹配"))</x:f>
        <x:v>已匹配</x:v>
      </x:c>
      <x:c r="H998" s="26" t="str">
        <x:v>高</x:v>
      </x:c>
      <x:c r="I998" s="26" t="str">
        <x:v>ICN007</x:v>
      </x:c>
      <x:c r="J998" s="26" t="str">
        <x:v>基础设施与城市建设产业链/上游/规划设计、建材与工程准备</x:v>
      </x:c>
      <x:c r="K998" s="26" t="str">
        <x:v>城市规划设计师是建筑设计与城市规划领域中不可或缺的专业人才，他们负责将创新的设计理念融入城市的发展蓝图之中，确保城市空间布局合理、功能完善，满足人们的生活需求和社会经济发展要求。作为连接政府、开发商与公众之间的桥梁，城市…</x:v>
      </x:c>
      <x:c r="L998" s="26" t="str">
        <x:v>1. 负责研究分析城市现状及发展趋势，制定符合城市发展需求的城市规划方案。 2. 与政府部门沟通协调，确保规划方案符合相关政策法规要求，推进项目审批流程。 3. 组织并指导团队完成具体项目的前期调研、概念设计、详细设计等…</x:v>
      </x:c>
    </x:row>
    <x:row r="999" ht="72" customHeight="1">
      <x:c r="A999" s="25" t="n">
        <x:v>11891</x:v>
      </x:c>
      <x:c r="B999" s="25" t="str">
        <x:v>IC-L3-1148</x:v>
      </x:c>
      <x:c r="C999" s="25" t="str">
        <x:v>室内设计</x:v>
      </x:c>
      <x:c r="D999" s="25" t="str">
        <x:v>2-09-06-01</x:v>
      </x:c>
      <x:c r="E999" s="25" t="str">
        <x:v>视觉传达设计人员</x:v>
      </x:c>
      <x:c r="F999" s="28" t="n">
        <x:f>COUNTIF('岗位-产业节点关系'!$C$4:$C$709,B999)</x:f>
        <x:v>0</x:v>
      </x:c>
      <x:c r="G999" s="26" t="str">
        <x:f>IF(F999=0,"未匹配（现有产业链范围未覆盖或证据不足）",IF(COUNTIFS('岗位-产业节点关系'!$C$4:$C$709,B999,'岗位-产业节点关系'!$M$4:$M$709,"低")&gt;0,"已匹配，建议复核","已匹配"))</x:f>
        <x:v>未匹配（现有产业链范围未覆盖或证据不足）</x:v>
      </x:c>
      <x:c r="H999" s="26" t="str">
        <x:v>-</x:v>
      </x:c>
      <x:c r="I999" s="26" t="str"/>
      <x:c r="J999" s="26" t="str"/>
      <x:c r="K999" s="26" t="str">
        <x:v>室内设计师是设计领域中不可或缺的角色，他们负责将空间美学与功能需求完美结合，创造出既实用又美观的生活或工作环境。在建筑设计与室内设计行业中，室内设计师不仅承担着提升空间品质的任务，也是客户愿景实现的关键桥梁。通过深入了解…</x:v>
      </x:c>
      <x:c r="L999" s="26" t="str">
        <x:v>1. 与客户进行沟通交流，准确把握其需求和偏好，制定初步设计方案。 2. 根据预算限制及项目时间表，选择合适的材料、家具和装饰品，完成最终设计稿。 3. 协调施工队伍，监督现场作业流程，确保设计方案得到精准实施。 4. …</x:v>
      </x:c>
    </x:row>
    <x:row r="1000" ht="72" customHeight="1">
      <x:c r="A1000" s="25" t="n">
        <x:v>11892</x:v>
      </x:c>
      <x:c r="B1000" s="25" t="str">
        <x:v>IC-L3-1149</x:v>
      </x:c>
      <x:c r="C1000" s="25" t="str">
        <x:v>室内设计师助理</x:v>
      </x:c>
      <x:c r="D1000" s="25" t="str">
        <x:v>2-09-06-01</x:v>
      </x:c>
      <x:c r="E1000" s="25" t="str">
        <x:v>视觉传达设计人员</x:v>
      </x:c>
      <x:c r="F1000" s="28" t="n">
        <x:f>COUNTIF('岗位-产业节点关系'!$C$4:$C$709,B1000)</x:f>
        <x:v>0</x:v>
      </x:c>
      <x:c r="G1000" s="26" t="str">
        <x:f>IF(F1000=0,"未匹配（现有产业链范围未覆盖或证据不足）",IF(COUNTIFS('岗位-产业节点关系'!$C$4:$C$709,B1000,'岗位-产业节点关系'!$M$4:$M$709,"低")&gt;0,"已匹配，建议复核","已匹配"))</x:f>
        <x:v>未匹配（现有产业链范围未覆盖或证据不足）</x:v>
      </x:c>
      <x:c r="H1000" s="26" t="str">
        <x:v>-</x:v>
      </x:c>
      <x:c r="I1000" s="26" t="str"/>
      <x:c r="J1000" s="26" t="str"/>
      <x:c r="K1000" s="26" t="str">
        <x:v>室内设计师助理是建筑设计与室内设计领域中不可或缺的角色，他们协助资深设计师完成从概念设计到项目实施的全过程，确保设计方案既美观又实用，同时满足客户的特定需求。作为团队中的重要一员，助理设计师的主要目标是在预算范围内按时交…</x:v>
      </x:c>
      <x:c r="L1000" s="26" t="str">
        <x:v>1. 协助主设计师进行市场调研及客户沟通，准确把握项目需求，制定初步设计方案。 2. 负责绘制施工图纸，包括平面布局图、立面图、节点详图等，确保图纸清晰规范，符合国家相关标准。 3. 参与材料选择和色彩搭配工作，提出创新…</x:v>
      </x:c>
    </x:row>
    <x:row r="1001" ht="72" customHeight="1">
      <x:c r="A1001" s="25" t="n">
        <x:v>11893</x:v>
      </x:c>
      <x:c r="B1001" s="25" t="str">
        <x:v>IC-L3-1150</x:v>
      </x:c>
      <x:c r="C1001" s="25" t="str">
        <x:v>室内设计总监</x:v>
      </x:c>
      <x:c r="D1001" s="25" t="str">
        <x:v>2-09-06-01</x:v>
      </x:c>
      <x:c r="E1001" s="25" t="str">
        <x:v>视觉传达设计人员</x:v>
      </x:c>
      <x:c r="F1001" s="28" t="n">
        <x:f>COUNTIF('岗位-产业节点关系'!$C$4:$C$709,B1001)</x:f>
        <x:v>0</x:v>
      </x:c>
      <x:c r="G1001" s="26" t="str">
        <x:f>IF(F1001=0,"未匹配（现有产业链范围未覆盖或证据不足）",IF(COUNTIFS('岗位-产业节点关系'!$C$4:$C$709,B1001,'岗位-产业节点关系'!$M$4:$M$709,"低")&gt;0,"已匹配，建议复核","已匹配"))</x:f>
        <x:v>未匹配（现有产业链范围未覆盖或证据不足）</x:v>
      </x:c>
      <x:c r="H1001" s="26" t="str">
        <x:v>-</x:v>
      </x:c>
      <x:c r="I1001" s="26" t="str"/>
      <x:c r="J1001" s="26" t="str"/>
      <x:c r="K1001" s="26" t="str">
        <x:v>室内设计总监是设计行业中不可或缺的角色，负责引领室内设计团队实现创新与实用性的完美结合，确保项目从概念到完成的每一个环节都能体现高标准的设计理念。作为公司设计策略的关键执行者，室内设计总监不仅需要具备卓越的设计才能，还应…</x:v>
      </x:c>
      <x:c r="L1001" s="26" t="str">
        <x:v>1. 负责制定并实施室内设计部门的整体战略规划，指导团队完成高质量的设计方案，确保符合客户需求及行业标准。 2. 监督项目进度，协调内外部资源，解决设计过程中出现的问题，确保项目按时按质交付。 3. 与销售、市场等部门紧…</x:v>
      </x:c>
    </x:row>
    <x:row r="1002" ht="72" customHeight="1">
      <x:c r="A1002" s="25" t="n">
        <x:v>11894</x:v>
      </x:c>
      <x:c r="B1002" s="25" t="str">
        <x:v>IC-L3-1151</x:v>
      </x:c>
      <x:c r="C1002" s="25" t="str">
        <x:v>室内设计经理/主管</x:v>
      </x:c>
      <x:c r="D1002" s="25" t="str">
        <x:v>2-09-06-01</x:v>
      </x:c>
      <x:c r="E1002" s="25" t="str">
        <x:v>视觉传达设计人员</x:v>
      </x:c>
      <x:c r="F1002" s="28" t="n">
        <x:f>COUNTIF('岗位-产业节点关系'!$C$4:$C$709,B1002)</x:f>
        <x:v>0</x:v>
      </x:c>
      <x:c r="G1002" s="26" t="str">
        <x:f>IF(F1002=0,"未匹配（现有产业链范围未覆盖或证据不足）",IF(COUNTIFS('岗位-产业节点关系'!$C$4:$C$709,B1002,'岗位-产业节点关系'!$M$4:$M$709,"低")&gt;0,"已匹配，建议复核","已匹配"))</x:f>
        <x:v>未匹配（现有产业链范围未覆盖或证据不足）</x:v>
      </x:c>
      <x:c r="H1002" s="26" t="str">
        <x:v>-</x:v>
      </x:c>
      <x:c r="I1002" s="26" t="str"/>
      <x:c r="J1002" s="26" t="str"/>
      <x:c r="K1002" s="26" t="str">
        <x:v>室内设计经理/主管是建筑设计与室内装饰领域中不可或缺的角色，他们不仅负责项目的整体规划与实施，还承担着确保设计方案符合客户期望与市场需求的重要责任。作为团队的核心领导者，室内设计经理/主管通过高效管理项目进度、成本控制及…</x:v>
      </x:c>
      <x:c r="L1002" s="26" t="str">
        <x:v>1. 负责制定并执行室内设计项目的总体策略，包括但不限于风格定位、材料选择、预算编制等工作，确保按时按质完成任务。 2. 组织协调内部设计师团队及外部供应商资源，优化工作流程，提高工作效率和服务水平。 3. 与客户保持良…</x:v>
      </x:c>
    </x:row>
    <x:row r="1003" ht="72" customHeight="1">
      <x:c r="A1003" s="25" t="n">
        <x:v>11895</x:v>
      </x:c>
      <x:c r="B1003" s="25" t="str">
        <x:v>IC-L3-1152</x:v>
      </x:c>
      <x:c r="C1003" s="25" t="str">
        <x:v>家居设计</x:v>
      </x:c>
      <x:c r="D1003" s="25" t="str">
        <x:v>2-09-06-01</x:v>
      </x:c>
      <x:c r="E1003" s="25" t="str">
        <x:v>视觉传达设计人员</x:v>
      </x:c>
      <x:c r="F1003" s="28" t="n">
        <x:f>COUNTIF('岗位-产业节点关系'!$C$4:$C$709,B1003)</x:f>
        <x:v>0</x:v>
      </x:c>
      <x:c r="G1003" s="26" t="str">
        <x:f>IF(F1003=0,"未匹配（现有产业链范围未覆盖或证据不足）",IF(COUNTIFS('岗位-产业节点关系'!$C$4:$C$709,B1003,'岗位-产业节点关系'!$M$4:$M$709,"低")&gt;0,"已匹配，建议复核","已匹配"))</x:f>
        <x:v>未匹配（现有产业链范围未覆盖或证据不足）</x:v>
      </x:c>
      <x:c r="H1003" s="26" t="str">
        <x:v>-</x:v>
      </x:c>
      <x:c r="I1003" s="26" t="str"/>
      <x:c r="J1003" s="26" t="str"/>
      <x:c r="K1003" s="26" t="str">
        <x:v>家居设计师在设计行业中扮演着至关重要的角色，他们不仅负责创造美观、实用的居住空间，还能够通过创新的设计理念提升人们的生活品质。作为连接美学与功能性的桥梁，家居设计师在建筑与室内设计领域中占据着不可或缺的地位。 该职位的核…</x:v>
      </x:c>
      <x:c r="L1003" s="26" t="str">
        <x:v>1. 根据客户的需求及预算，制定出符合其生活方式和审美标准的设计方案，确保设计方案既满足客户的实际需求又富有创意。 2. 与客户进行有效沟通，了解其生活习惯、喜好等信息，以便于更好地完成设计任务；同时也要及时反馈设计方案…</x:v>
      </x:c>
    </x:row>
    <x:row r="1004" ht="72" customHeight="1">
      <x:c r="A1004" s="25" t="n">
        <x:v>11896</x:v>
      </x:c>
      <x:c r="B1004" s="25" t="str">
        <x:v>IC-L3-1153</x:v>
      </x:c>
      <x:c r="C1004" s="25" t="str">
        <x:v>家装顾问</x:v>
      </x:c>
      <x:c r="D1004" s="25" t="str">
        <x:v>2-09-06-01</x:v>
      </x:c>
      <x:c r="E1004" s="25" t="str">
        <x:v>视觉传达设计人员</x:v>
      </x:c>
      <x:c r="F1004" s="28" t="n">
        <x:f>COUNTIF('岗位-产业节点关系'!$C$4:$C$709,B1004)</x:f>
        <x:v>0</x:v>
      </x:c>
      <x:c r="G1004" s="26" t="str">
        <x:f>IF(F1004=0,"未匹配（现有产业链范围未覆盖或证据不足）",IF(COUNTIFS('岗位-产业节点关系'!$C$4:$C$709,B1004,'岗位-产业节点关系'!$M$4:$M$709,"低")&gt;0,"已匹配，建议复核","已匹配"))</x:f>
        <x:v>未匹配（现有产业链范围未覆盖或证据不足）</x:v>
      </x:c>
      <x:c r="H1004" s="26" t="str">
        <x:v>-</x:v>
      </x:c>
      <x:c r="I1004" s="26" t="str"/>
      <x:c r="J1004" s="26" t="str"/>
      <x:c r="K1004" s="26" t="str">
        <x:v>家装顾问是设计行业中不可或缺的角色，特别是在建筑与室内设计领域。他们不仅是客户与设计师之间的桥梁，也是实现家居梦想的关键人物。通过深入了解客户需求，家装顾问能够提供专业建议，帮助客户选择最适合的设计方案，从而提高生活品质…</x:v>
      </x:c>
      <x:c r="L1004" s="26" t="str">
        <x:v>1. 与潜在客户进行初步沟通，了解其需求和预算，提供初步设计方案及报价。 2. 协调设计团队完成详细设计方案，确保设计方案符合客户期望，并在规定时间内完成。 3. 定期与客户保持联系，及时反馈项目进展，解答客户疑问，处理…</x:v>
      </x:c>
    </x:row>
    <x:row r="1005" ht="72" customHeight="1">
      <x:c r="A1005" s="25" t="n">
        <x:v>11897</x:v>
      </x:c>
      <x:c r="B1005" s="25" t="str">
        <x:v>IC-L3-1154</x:v>
      </x:c>
      <x:c r="C1005" s="25" t="str">
        <x:v>幕墙设计</x:v>
      </x:c>
      <x:c r="D1005" s="25" t="str">
        <x:v>2-09-06-01</x:v>
      </x:c>
      <x:c r="E1005" s="25" t="str">
        <x:v>视觉传达设计人员</x:v>
      </x:c>
      <x:c r="F1005" s="28" t="n">
        <x:f>COUNTIF('岗位-产业节点关系'!$C$4:$C$709,B1005)</x:f>
        <x:v>0</x:v>
      </x:c>
      <x:c r="G1005" s="26" t="str">
        <x:f>IF(F1005=0,"未匹配（现有产业链范围未覆盖或证据不足）",IF(COUNTIFS('岗位-产业节点关系'!$C$4:$C$709,B1005,'岗位-产业节点关系'!$M$4:$M$709,"低")&gt;0,"已匹配，建议复核","已匹配"))</x:f>
        <x:v>未匹配（现有产业链范围未覆盖或证据不足）</x:v>
      </x:c>
      <x:c r="H1005" s="26" t="str">
        <x:v>-</x:v>
      </x:c>
      <x:c r="I1005" s="26" t="str"/>
      <x:c r="J1005" s="26" t="str"/>
      <x:c r="K1005" s="26" t="str">
        <x:v>幕墙设计师是建筑设计与施工领域中不可或缺的专业人才，他们负责建筑物外部装饰的设计与实施，确保建筑物不仅外观美观而且结构安全。在项目中，幕墙设计师扮演着连接美学与技术的桥梁，通过创新的设计理念和专业的技术知识，为建筑增添独…</x:v>
      </x:c>
      <x:c r="L1005" s="26" t="str">
        <x:v>1. 负责幕墙系统的设计工作，包括初步概念设计、深化设计及施工图绘制，确保设计方案符合项目要求和相关规范。 2. 与客户沟通交流，准确理解客户需求并将其转化为具体的设计方案，同时提供专业的建议以优化设计方案。 3. 协调…</x:v>
      </x:c>
    </x:row>
    <x:row r="1006" ht="72" customHeight="1">
      <x:c r="A1006" s="25" t="n">
        <x:v>11898</x:v>
      </x:c>
      <x:c r="B1006" s="25" t="str">
        <x:v>IC-L3-1155</x:v>
      </x:c>
      <x:c r="C1006" s="25" t="str">
        <x:v>建筑制图/模型/渲染</x:v>
      </x:c>
      <x:c r="D1006" s="25" t="str">
        <x:v>2-09-06-01</x:v>
      </x:c>
      <x:c r="E1006" s="25" t="str">
        <x:v>视觉传达设计人员</x:v>
      </x:c>
      <x:c r="F1006" s="28" t="n">
        <x:f>COUNTIF('岗位-产业节点关系'!$C$4:$C$709,B1006)</x:f>
        <x:v>1</x:v>
      </x:c>
      <x:c r="G1006" s="26" t="str">
        <x:f>IF(F1006=0,"未匹配（现有产业链范围未覆盖或证据不足）",IF(COUNTIFS('岗位-产业节点关系'!$C$4:$C$709,B1006,'岗位-产业节点关系'!$M$4:$M$709,"低")&gt;0,"已匹配，建议复核","已匹配"))</x:f>
        <x:v>已匹配</x:v>
      </x:c>
      <x:c r="H1006" s="26" t="str">
        <x:v>中</x:v>
      </x:c>
      <x:c r="I1006" s="26" t="str">
        <x:v>ICN008</x:v>
      </x:c>
      <x:c r="J1006" s="26" t="str">
        <x:v>基础设施与城市建设产业链/中游/基础设施建设与房地产开发</x:v>
      </x:c>
      <x:c r="K1006" s="26" t="str">
        <x:v>建筑制图/模型/渲染师是建筑设计领域中不可或缺的专业人才，他们通过精准的图纸、精细的模型以及逼真的渲染图来呈现设计方案，确保设计师的创意能够被准确无误地转化为现实。该职位的核心目标在于利用先进的软件工具和技术手段，将抽象…</x:v>
      </x:c>
      <x:c r="L1006" s="26" t="str">
        <x:v>1. 使用AutoCAD、SketchUp、3ds Max等专业软件完成建筑施工图的绘制工作，确保图纸符合国家规范和客户要求。 2. 根据设计方案制作高质量的三维模型，精确表达建筑空间关系及材料质感，辅助设计团队进行方案…</x:v>
      </x:c>
    </x:row>
    <x:row r="1007" ht="72" customHeight="1">
      <x:c r="A1007" s="25" t="n">
        <x:v>11899</x:v>
      </x:c>
      <x:c r="B1007" s="25" t="str">
        <x:v>IC-L3-1156</x:v>
      </x:c>
      <x:c r="C1007" s="25" t="str">
        <x:v>建筑机电设计</x:v>
      </x:c>
      <x:c r="D1007" s="25" t="str">
        <x:v>2-09-06-01</x:v>
      </x:c>
      <x:c r="E1007" s="25" t="str">
        <x:v>视觉传达设计人员</x:v>
      </x:c>
      <x:c r="F1007" s="28" t="n">
        <x:f>COUNTIF('岗位-产业节点关系'!$C$4:$C$709,B1007)</x:f>
        <x:v>2</x:v>
      </x:c>
      <x:c r="G1007" s="26" t="str">
        <x:f>IF(F1007=0,"未匹配（现有产业链范围未覆盖或证据不足）",IF(COUNTIFS('岗位-产业节点关系'!$C$4:$C$709,B1007,'岗位-产业节点关系'!$M$4:$M$709,"低")&gt;0,"已匹配，建议复核","已匹配"))</x:f>
        <x:v>已匹配，建议复核</x:v>
      </x:c>
      <x:c r="H1007" s="26" t="str">
        <x:v>中</x:v>
      </x:c>
      <x:c r="I1007" s="26" t="str">
        <x:v>ICN007、ICN005</x:v>
      </x:c>
      <x:c r="J1007" s="26" t="str">
        <x:v>基础设施与城市建设产业链/上游/规划设计、建材与工程准备；高端装备与智能制造产业链/中游/高端装备制造与激光加工</x:v>
      </x:c>
      <x:c r="K1007" s="26" t="str">
        <x:v>建筑机电设计是建筑设计领域中不可或缺的专业分支，它不仅确保了建筑物内部系统的高效运行，还直接关系到建筑的安全性与舒适度。作为建筑机电设计师，其核心目标在于通过科学合理的设计方案，优化建筑内的电气、暖通空调（HVAC）、给…</x:v>
      </x:c>
      <x:c r="L1007" s="26" t="str">
        <x:v>1. 负责建筑项目的电气、暖通空调（HVAC）、给排水等机电系统的设计工作，确保设计方案符合国家相关标准和规范要求。 2. 与项目团队密切沟通，参与项目初期的技术评估，提供专业的机电设计建议，协助确定最佳技术方案。 3.…</x:v>
      </x:c>
    </x:row>
    <x:row r="1008" ht="72" customHeight="1">
      <x:c r="A1008" s="25" t="n">
        <x:v>11900</x:v>
      </x:c>
      <x:c r="B1008" s="25" t="str">
        <x:v>IC-L3-1157</x:v>
      </x:c>
      <x:c r="C1008" s="25" t="str">
        <x:v>建筑结构设计</x:v>
      </x:c>
      <x:c r="D1008" s="25" t="str">
        <x:v>2-09-06-01</x:v>
      </x:c>
      <x:c r="E1008" s="25" t="str">
        <x:v>视觉传达设计人员</x:v>
      </x:c>
      <x:c r="F1008" s="28" t="n">
        <x:f>COUNTIF('岗位-产业节点关系'!$C$4:$C$709,B1008)</x:f>
        <x:v>1</x:v>
      </x:c>
      <x:c r="G1008" s="26" t="str">
        <x:f>IF(F1008=0,"未匹配（现有产业链范围未覆盖或证据不足）",IF(COUNTIFS('岗位-产业节点关系'!$C$4:$C$709,B1008,'岗位-产业节点关系'!$M$4:$M$709,"低")&gt;0,"已匹配，建议复核","已匹配"))</x:f>
        <x:v>已匹配</x:v>
      </x:c>
      <x:c r="H1008" s="26" t="str">
        <x:v>高</x:v>
      </x:c>
      <x:c r="I1008" s="26" t="str">
        <x:v>ICN007</x:v>
      </x:c>
      <x:c r="J1008" s="26" t="str">
        <x:v>基础设施与城市建设产业链/上游/规划设计、建材与工程准备</x:v>
      </x:c>
      <x:c r="K1008" s="26" t="str">
        <x:v>建筑结构设计师是建筑设计领域中不可或缺的专业人才，他们通过科学的设计方法和技术手段，确保建筑物的安全性、稳定性和美观性，是连接创意与实际建设的重要桥梁。该职位的核心目标在于通过精准的结构计算和材料选择，实现设计方案的可行…</x:v>
      </x:c>
      <x:c r="L1008" s="26" t="str">
        <x:v>1. 负责项目初期的结构方案设计，包括但不限于结构选型、荷载分析、抗震设防等，以确保设计方案既满足功能需求又符合国家规范标准。 2. 在项目实施阶段，提供详细的结构施工图纸及技术指导，及时解决现场出现的技术难题，保证工程…</x:v>
      </x:c>
    </x:row>
    <x:row r="1009" ht="72" customHeight="1">
      <x:c r="A1009" s="25" t="n">
        <x:v>11901</x:v>
      </x:c>
      <x:c r="B1009" s="25" t="str">
        <x:v>IC-L3-1158</x:v>
      </x:c>
      <x:c r="C1009" s="25" t="str">
        <x:v>建筑设计师</x:v>
      </x:c>
      <x:c r="D1009" s="25" t="str">
        <x:v>2-09-06-01</x:v>
      </x:c>
      <x:c r="E1009" s="25" t="str">
        <x:v>视觉传达设计人员</x:v>
      </x:c>
      <x:c r="F1009" s="28" t="n">
        <x:f>COUNTIF('岗位-产业节点关系'!$C$4:$C$709,B1009)</x:f>
        <x:v>1</x:v>
      </x:c>
      <x:c r="G1009" s="26" t="str">
        <x:f>IF(F1009=0,"未匹配（现有产业链范围未覆盖或证据不足）",IF(COUNTIFS('岗位-产业节点关系'!$C$4:$C$709,B1009,'岗位-产业节点关系'!$M$4:$M$709,"低")&gt;0,"已匹配，建议复核","已匹配"))</x:f>
        <x:v>已匹配</x:v>
      </x:c>
      <x:c r="H1009" s="26" t="str">
        <x:v>中</x:v>
      </x:c>
      <x:c r="I1009" s="26" t="str">
        <x:v>ICN007</x:v>
      </x:c>
      <x:c r="J1009" s="26" t="str">
        <x:v>基础设施与城市建设产业链/上游/规划设计、建材与工程准备</x:v>
      </x:c>
      <x:c r="K1009" s="26" t="str">
        <x:v>建筑设计师是建筑设计领域中不可或缺的专业人才，他们不仅承担着将创意与技术完美结合的设计任务，还是连接客户愿景与项目实施之间的桥梁。通过深入理解客户需求、市场趋势及法律法规，建筑设计师能够制定出既符合功能需求又具备美学价值…</x:v>
      </x:c>
      <x:c r="L1009" s="26" t="str">
        <x:v>1. 负责项目前期调研，收集并分析相关资料，准确把握项目定位及客户需求，完成初步设计方案。 2. 与客户进行沟通交流，了解其具体需求和期望，及时调整和完善设计方案，确保最终成果满足客户要求。 3. 协调内部资源，组织跨部…</x:v>
      </x:c>
    </x:row>
    <x:row r="1010" ht="72" customHeight="1">
      <x:c r="A1010" s="25" t="n">
        <x:v>11902</x:v>
      </x:c>
      <x:c r="B1010" s="25" t="str">
        <x:v>IC-L3-1159</x:v>
      </x:c>
      <x:c r="C1010" s="25" t="str">
        <x:v>暖通设计</x:v>
      </x:c>
      <x:c r="D1010" s="25" t="str">
        <x:v>2-09-06-01</x:v>
      </x:c>
      <x:c r="E1010" s="25" t="str">
        <x:v>视觉传达设计人员</x:v>
      </x:c>
      <x:c r="F1010" s="28" t="n">
        <x:f>COUNTIF('岗位-产业节点关系'!$C$4:$C$709,B1010)</x:f>
        <x:v>1</x:v>
      </x:c>
      <x:c r="G1010" s="26" t="str">
        <x:f>IF(F1010=0,"未匹配（现有产业链范围未覆盖或证据不足）",IF(COUNTIFS('岗位-产业节点关系'!$C$4:$C$709,B1010,'岗位-产业节点关系'!$M$4:$M$709,"低")&gt;0,"已匹配，建议复核","已匹配"))</x:f>
        <x:v>已匹配</x:v>
      </x:c>
      <x:c r="H1010" s="26" t="str">
        <x:v>中</x:v>
      </x:c>
      <x:c r="I1010" s="26" t="str">
        <x:v>ICN007</x:v>
      </x:c>
      <x:c r="J1010" s="26" t="str">
        <x:v>基础设施与城市建设产业链/上游/规划设计、建材与工程准备</x:v>
      </x:c>
      <x:c r="K1010" s="26" t="str">
        <x:v>暖通设计是建筑设计与室内设计领域中不可或缺的一部分，其主要任务是在确保建筑物内部环境舒适度的同时，实现能源的有效利用。作为暖通设计师，您将负责评估建筑物的热负荷需求，选择合适的暖通空调系统，并进行精确的设计以满足这些需求…</x:v>
      </x:c>
      <x:c r="L1010" s="26" t="str">
        <x:v>1. 负责建筑项目的暖通空调系统方案设计，确保系统性能符合国家规范及客户需求。 2. 对现有建筑或新开发项目进行热负荷计算，合理选择设备型号并优化系统配置。 3. 与结构工程师、电气工程师等跨部门人员密切配合，共同解决项…</x:v>
      </x:c>
    </x:row>
    <x:row r="1011" ht="72" customHeight="1">
      <x:c r="A1011" s="25" t="n">
        <x:v>11903</x:v>
      </x:c>
      <x:c r="B1011" s="25" t="str">
        <x:v>IC-L3-1160</x:v>
      </x:c>
      <x:c r="C1011" s="25" t="str">
        <x:v>照明设计</x:v>
      </x:c>
      <x:c r="D1011" s="25" t="str">
        <x:v>2-09-06-01</x:v>
      </x:c>
      <x:c r="E1011" s="25" t="str">
        <x:v>视觉传达设计人员</x:v>
      </x:c>
      <x:c r="F1011" s="28" t="n">
        <x:f>COUNTIF('岗位-产业节点关系'!$C$4:$C$709,B1011)</x:f>
        <x:v>0</x:v>
      </x:c>
      <x:c r="G1011" s="26" t="str">
        <x:f>IF(F1011=0,"未匹配（现有产业链范围未覆盖或证据不足）",IF(COUNTIFS('岗位-产业节点关系'!$C$4:$C$709,B1011,'岗位-产业节点关系'!$M$4:$M$709,"低")&gt;0,"已匹配，建议复核","已匹配"))</x:f>
        <x:v>未匹配（现有产业链范围未覆盖或证据不足）</x:v>
      </x:c>
      <x:c r="H1011" s="26" t="str">
        <x:v>-</x:v>
      </x:c>
      <x:c r="I1011" s="26" t="str"/>
      <x:c r="J1011" s="26" t="str"/>
      <x:c r="K1011" s="26" t="str">
        <x:v>照明设计师是建筑设计与室内设计领域中不可或缺的专业人才，通过创造性的照明方案，不仅能够提升空间的美观度，还能改善人们的生活质量和工作效率。此职位负责根据项目需求和环境特点，制定并实施有效的照明设计方案，以实现节能、环保的…</x:v>
      </x:c>
      <x:c r="L1011" s="26" t="str">
        <x:v>1. 负责项目的照明系统规划与设计，包括但不限于自然光利用、人工光源选择、灯具布局等，旨在创建舒适和谐的视觉环境。 2. 依据项目预算和时间表，提出合理的材料清单和施工建议，监督施工过程中的灯光安装质量，确保最终效果满足…</x:v>
      </x:c>
    </x:row>
    <x:row r="1012" ht="72" customHeight="1">
      <x:c r="A1012" s="25" t="n">
        <x:v>11904</x:v>
      </x:c>
      <x:c r="B1012" s="25" t="str">
        <x:v>IC-L3-1161</x:v>
      </x:c>
      <x:c r="C1012" s="25" t="str">
        <x:v>给排水设计</x:v>
      </x:c>
      <x:c r="D1012" s="25" t="str">
        <x:v>2-09-06-01</x:v>
      </x:c>
      <x:c r="E1012" s="25" t="str">
        <x:v>视觉传达设计人员</x:v>
      </x:c>
      <x:c r="F1012" s="28" t="n">
        <x:f>COUNTIF('岗位-产业节点关系'!$C$4:$C$709,B1012)</x:f>
        <x:v>1</x:v>
      </x:c>
      <x:c r="G1012" s="26" t="str">
        <x:f>IF(F1012=0,"未匹配（现有产业链范围未覆盖或证据不足）",IF(COUNTIFS('岗位-产业节点关系'!$C$4:$C$709,B1012,'岗位-产业节点关系'!$M$4:$M$709,"低")&gt;0,"已匹配，建议复核","已匹配"))</x:f>
        <x:v>已匹配</x:v>
      </x:c>
      <x:c r="H1012" s="26" t="str">
        <x:v>中</x:v>
      </x:c>
      <x:c r="I1012" s="26" t="str">
        <x:v>ICN007</x:v>
      </x:c>
      <x:c r="J1012" s="26" t="str">
        <x:v>基础设施与城市建设产业链/上游/规划设计、建材与工程准备</x:v>
      </x:c>
      <x:c r="K1012" s="26" t="str">
        <x:v>给排水设计师在建筑设计领域扮演着至关重要的角色，他们负责确保建筑物内部的给水系统和排水系统的合理规划与安全运行。作为建筑环境不可或缺的一部分，给排水设计不仅关乎日常生活的便利，更是保障公共健康与安全的重要环节。 给排水设…</x:v>
      </x:c>
      <x:c r="L1012" s="26" t="str">
        <x:v>1. 负责项目中给排水系统的初步设计和深化设计工作，确保设计方案满足功能要求并符合相关法规标准。 2. 与客户沟通了解具体需求，参与现场踏勘，收集必要的基础资料用于设计依据。 3. 编制详细的施工图纸，包括平面布置图、系…</x:v>
      </x:c>
    </x:row>
    <x:row r="1013" ht="72" customHeight="1">
      <x:c r="A1013" s="25" t="n">
        <x:v>11905</x:v>
      </x:c>
      <x:c r="B1013" s="25" t="str">
        <x:v>IC-L3-1162</x:v>
      </x:c>
      <x:c r="C1013" s="25" t="str">
        <x:v>规划与设计</x:v>
      </x:c>
      <x:c r="D1013" s="25" t="str">
        <x:v>2-09-06-01</x:v>
      </x:c>
      <x:c r="E1013" s="25" t="str">
        <x:v>视觉传达设计人员</x:v>
      </x:c>
      <x:c r="F1013" s="28" t="n">
        <x:f>COUNTIF('岗位-产业节点关系'!$C$4:$C$709,B1013)</x:f>
        <x:v>0</x:v>
      </x:c>
      <x:c r="G1013" s="26" t="str">
        <x:f>IF(F1013=0,"未匹配（现有产业链范围未覆盖或证据不足）",IF(COUNTIFS('岗位-产业节点关系'!$C$4:$C$709,B1013,'岗位-产业节点关系'!$M$4:$M$709,"低")&gt;0,"已匹配，建议复核","已匹配"))</x:f>
        <x:v>未匹配（现有产业链范围未覆盖或证据不足）</x:v>
      </x:c>
      <x:c r="H1013" s="26" t="str">
        <x:v>-</x:v>
      </x:c>
      <x:c r="I1013" s="26" t="str"/>
      <x:c r="J1013" s="26" t="str"/>
      <x:c r="K1013" s="26" t="str">
        <x:v>规划与设计职位是建筑设计行业中不可或缺的角色，其重要性在于将创意理念转化为实际可行的设计方案，确保建筑项目既美观又实用。作为规划与设计师，您将成为连接客户愿景与技术实施之间的桥梁，通过精准把握市场趋势与客户需求，推动公司…</x:v>
      </x:c>
      <x:c r="L1013" s="26" t="str">
        <x:v>1. 负责收集并分析项目背景资料，结合用户需求及场地条件制定初步设计方案，确保设计方案符合功能性和美学要求。 2. 与客户沟通交流，了解其期望值，调整和完善设计方案直至客户满意，提高客户满意度和忠诚度。 3. 协调内部资…</x:v>
      </x:c>
    </x:row>
    <x:row r="1014" ht="72" customHeight="1">
      <x:c r="A1014" s="25" t="n">
        <x:v>11906</x:v>
      </x:c>
      <x:c r="B1014" s="25" t="str">
        <x:v>IC-L3-1163</x:v>
      </x:c>
      <x:c r="C1014" s="25" t="str">
        <x:v>软装设计</x:v>
      </x:c>
      <x:c r="D1014" s="25" t="str">
        <x:v>2-09-06-01</x:v>
      </x:c>
      <x:c r="E1014" s="25" t="str">
        <x:v>视觉传达设计人员</x:v>
      </x:c>
      <x:c r="F1014" s="28" t="n">
        <x:f>COUNTIF('岗位-产业节点关系'!$C$4:$C$709,B1014)</x:f>
        <x:v>0</x:v>
      </x:c>
      <x:c r="G1014" s="26" t="str">
        <x:f>IF(F1014=0,"未匹配（现有产业链范围未覆盖或证据不足）",IF(COUNTIFS('岗位-产业节点关系'!$C$4:$C$709,B1014,'岗位-产业节点关系'!$M$4:$M$709,"低")&gt;0,"已匹配，建议复核","已匹配"))</x:f>
        <x:v>未匹配（现有产业链范围未覆盖或证据不足）</x:v>
      </x:c>
      <x:c r="H1014" s="26" t="str">
        <x:v>-</x:v>
      </x:c>
      <x:c r="I1014" s="26" t="str"/>
      <x:c r="J1014" s="26" t="str"/>
      <x:c r="K1014" s="26" t="str">
        <x:v>软装设计师是建筑设计与室内装饰领域中不可或缺的角色，他们通过精心挑选家具、布艺、艺术品等元素来创造和谐、舒适的生活或工作环境，从而提升空间的整体美感和功能。作为连接创意与实际应用的桥梁，软装设计师不仅能够深刻理解客户的需…</x:v>
      </x:c>
      <x:c r="L1014" s="26" t="str">
        <x:v>软装设计师的主要职责包括：根据项目需求进行空间分析与规划，制定软装配饰方案；负责软装材料的选择、采购及成本控制；与客户沟通，确保设计方案符合客户需求；参与项目现场的软装配饰实施，监督施工质量；协调与其他设计团队的合作，确…</x:v>
      </x:c>
    </x:row>
    <x:row r="1015" ht="72" customHeight="1">
      <x:c r="A1015" s="25" t="n">
        <x:v>11907</x:v>
      </x:c>
      <x:c r="B1015" s="25" t="str">
        <x:v>IC-L3-1164</x:v>
      </x:c>
      <x:c r="C1015" s="25" t="str">
        <x:v>钢结构设计</x:v>
      </x:c>
      <x:c r="D1015" s="25" t="str">
        <x:v>2-09-06-01</x:v>
      </x:c>
      <x:c r="E1015" s="25" t="str">
        <x:v>视觉传达设计人员</x:v>
      </x:c>
      <x:c r="F1015" s="28" t="n">
        <x:f>COUNTIF('岗位-产业节点关系'!$C$4:$C$709,B1015)</x:f>
        <x:v>0</x:v>
      </x:c>
      <x:c r="G1015" s="26" t="str">
        <x:f>IF(F1015=0,"未匹配（现有产业链范围未覆盖或证据不足）",IF(COUNTIFS('岗位-产业节点关系'!$C$4:$C$709,B1015,'岗位-产业节点关系'!$M$4:$M$709,"低")&gt;0,"已匹配，建议复核","已匹配"))</x:f>
        <x:v>未匹配（现有产业链范围未覆盖或证据不足）</x:v>
      </x:c>
      <x:c r="H1015" s="26" t="str">
        <x:v>-</x:v>
      </x:c>
      <x:c r="I1015" s="26" t="str"/>
      <x:c r="J1015" s="26" t="str"/>
      <x:c r="K1015" s="26" t="str">
        <x:v>钢结构设计师是建筑设计领域中不可或缺的专业人才，他们通过创新的设计理念和专业的技术知识，确保建筑物的安全性和美观性，同时提高项目的整体质量和成本效益。该职位的核心目标在于结合项目需求与材料特性，进行高效、经济的钢结构设计…</x:v>
      </x:c>
      <x:c r="L1015" s="26" t="str">
        <x:v>1. 负责钢结构工程的设计工作，包括但不限于初步方案设计、深化设计及施工图绘制，确保设计方案符合国家相关规范标准和技术要求。 2. 与客户沟通交流，了解其具体需求并提供专业建议，协助完成项目投标文件编制，参与项目评审会议…</x:v>
      </x:c>
    </x:row>
    <x:row r="1016" ht="72" customHeight="1">
      <x:c r="A1016" s="25" t="n">
        <x:v>11908</x:v>
      </x:c>
      <x:c r="B1016" s="25" t="str">
        <x:v>IC-L3-1165</x:v>
      </x:c>
      <x:c r="C1016" s="25" t="str">
        <x:v>陈列设计</x:v>
      </x:c>
      <x:c r="D1016" s="25" t="str">
        <x:v>4-01-02-03</x:v>
      </x:c>
      <x:c r="E1016" s="25" t="str">
        <x:v>商品营业员</x:v>
      </x:c>
      <x:c r="F1016" s="28" t="n">
        <x:f>COUNTIF('岗位-产业节点关系'!$C$4:$C$709,B1016)</x:f>
        <x:v>0</x:v>
      </x:c>
      <x:c r="G1016" s="26" t="str">
        <x:f>IF(F1016=0,"未匹配（现有产业链范围未覆盖或证据不足）",IF(COUNTIFS('岗位-产业节点关系'!$C$4:$C$709,B1016,'岗位-产业节点关系'!$M$4:$M$709,"低")&gt;0,"已匹配，建议复核","已匹配"))</x:f>
        <x:v>未匹配（现有产业链范围未覆盖或证据不足）</x:v>
      </x:c>
      <x:c r="H1016" s="26" t="str">
        <x:v>-</x:v>
      </x:c>
      <x:c r="I1016" s="26" t="str"/>
      <x:c r="J1016" s="26" t="str"/>
      <x:c r="K1016" s="26" t="str">
        <x:v>陈列设计师是建筑设计与室内设计领域中不可或缺的专业人才，他们通过精心布置空间内的物品，不仅能够提升空间的美观度，还能增强其功能性，从而为客户提供更加舒适的生活或工作环境。该职位的核心目标在于通过创造性地运用色彩、材料、照…</x:v>
      </x:c>
      <x:c r="L1016" s="26" t="str">
        <x:v>1. 负责根据项目需求进行空间布局规划，选择合适的家具、装饰品等元素，确保设计方案既美观又实用。 2. 与客户沟通交流，了解其具体需求并提出专业的建议，确保最终成果满足甚至超越客户的期望。 3. 协调供应商资源，监督施工…</x:v>
      </x:c>
    </x:row>
    <x:row r="1017" ht="72" customHeight="1">
      <x:c r="A1017" s="25" t="n">
        <x:v>11909</x:v>
      </x:c>
      <x:c r="B1017" s="25" t="str">
        <x:v>IC-L3-1166</x:v>
      </x:c>
      <x:c r="C1017" s="25" t="str">
        <x:v>家具设计</x:v>
      </x:c>
      <x:c r="D1017" s="25" t="str">
        <x:v>2-09-06-01</x:v>
      </x:c>
      <x:c r="E1017" s="25" t="str">
        <x:v>视觉传达设计人员</x:v>
      </x:c>
      <x:c r="F1017" s="28" t="n">
        <x:f>COUNTIF('岗位-产业节点关系'!$C$4:$C$709,B1017)</x:f>
        <x:v>0</x:v>
      </x:c>
      <x:c r="G1017" s="26" t="str">
        <x:f>IF(F1017=0,"未匹配（现有产业链范围未覆盖或证据不足）",IF(COUNTIFS('岗位-产业节点关系'!$C$4:$C$709,B1017,'岗位-产业节点关系'!$M$4:$M$709,"低")&gt;0,"已匹配，建议复核","已匹配"))</x:f>
        <x:v>未匹配（现有产业链范围未覆盖或证据不足）</x:v>
      </x:c>
      <x:c r="H1017" s="26" t="str">
        <x:v>-</x:v>
      </x:c>
      <x:c r="I1017" s="26" t="str"/>
      <x:c r="J1017" s="26" t="str"/>
      <x:c r="K1017" s="26" t="str">
        <x:v>家具设计是专门从事家具创意与功能开发的专业人员。该职位的核心目标是通过创新设计满足空间功能与美学需求，提升室内环境品质。在日常工作中，需要进行市场调研、概念设计、3D建模、材料选配及设计图纸绘制等工作。</x:v>
      </x:c>
      <x:c r="L1017" s="26" t="str">
        <x:v>1. 设计家具产品方案 2. 绘制设计图纸效果图 3. 选择材料与配色方案 4. 跟进样品制作过程 5. 参与项目方案讨论 6. 优化产品使用体验</x:v>
      </x:c>
    </x:row>
    <x:row r="1018" ht="72" customHeight="1">
      <x:c r="A1018" s="25" t="n">
        <x:v>11910</x:v>
      </x:c>
      <x:c r="B1018" s="25" t="str">
        <x:v>IC-L3-1167</x:v>
      </x:c>
      <x:c r="C1018" s="25" t="str">
        <x:v>服装/纺织/皮革工艺师</x:v>
      </x:c>
      <x:c r="D1018" s="25" t="str">
        <x:v>2-09-06-01</x:v>
      </x:c>
      <x:c r="E1018" s="25" t="str">
        <x:v>视觉传达设计人员</x:v>
      </x:c>
      <x:c r="F1018" s="28" t="n">
        <x:f>COUNTIF('岗位-产业节点关系'!$C$4:$C$709,B1018)</x:f>
        <x:v>2</x:v>
      </x:c>
      <x:c r="G1018" s="26" t="str">
        <x:f>IF(F1018=0,"未匹配（现有产业链范围未覆盖或证据不足）",IF(COUNTIFS('岗位-产业节点关系'!$C$4:$C$709,B1018,'岗位-产业节点关系'!$M$4:$M$709,"低")&gt;0,"已匹配，建议复核","已匹配"))</x:f>
        <x:v>已匹配</x:v>
      </x:c>
      <x:c r="H1018" s="26" t="str">
        <x:v>高</x:v>
      </x:c>
      <x:c r="I1018" s="26" t="str">
        <x:v>ICN050、ICN051</x:v>
      </x:c>
      <x:c r="J1018" s="26" t="str">
        <x:v>纺织产业链/中游/纺纱织造、印染与面料制造；纺织产业链/下游/服装家纺、品牌渠道与终端消费</x:v>
      </x:c>
      <x:c r="K1018" s="26" t="str">
        <x:v>服装/纺织/皮革工艺师是设计行业中不可或缺的专业人才，他们负责将创意与技术完美结合，创造出既符合市场需求又兼具美学价值的产品。这一职位不仅要求具备扎实的设计基础，还需要深刻理解材料科学和生产工艺流程，从而确保设计方案能够…</x:v>
      </x:c>
      <x:c r="L1018" s="26" t="str">
        <x:v>1. 负责服装、纺织品或皮革制品的设计开发工作，确保设计方案既美观又实用，符合目标客户群体的审美偏好。 2. 与供应链管理团队沟通协调，选择合适的原材料，评估成本效益比，以保证产品质量的同时控制成本。 3. 参与产品打样…</x:v>
      </x:c>
    </x:row>
    <x:row r="1019" ht="72" customHeight="1">
      <x:c r="A1019" s="25" t="n">
        <x:v>11911</x:v>
      </x:c>
      <x:c r="B1019" s="25" t="str">
        <x:v>IC-L3-1168</x:v>
      </x:c>
      <x:c r="C1019" s="25" t="str">
        <x:v>服装/纺织设计</x:v>
      </x:c>
      <x:c r="D1019" s="25" t="str">
        <x:v>2-09-06-01</x:v>
      </x:c>
      <x:c r="E1019" s="25" t="str">
        <x:v>视觉传达设计人员</x:v>
      </x:c>
      <x:c r="F1019" s="28" t="n">
        <x:f>COUNTIF('岗位-产业节点关系'!$C$4:$C$709,B1019)</x:f>
        <x:v>1</x:v>
      </x:c>
      <x:c r="G1019" s="26" t="str">
        <x:f>IF(F1019=0,"未匹配（现有产业链范围未覆盖或证据不足）",IF(COUNTIFS('岗位-产业节点关系'!$C$4:$C$709,B1019,'岗位-产业节点关系'!$M$4:$M$709,"低")&gt;0,"已匹配，建议复核","已匹配"))</x:f>
        <x:v>已匹配</x:v>
      </x:c>
      <x:c r="H1019" s="26" t="str">
        <x:v>高</x:v>
      </x:c>
      <x:c r="I1019" s="26" t="str">
        <x:v>ICN051</x:v>
      </x:c>
      <x:c r="J1019" s="26" t="str">
        <x:v>纺织产业链/下游/服装家纺、品牌渠道与终端消费</x:v>
      </x:c>
      <x:c r="K1019" s="26" t="str">
        <x:v>服装/纺织设计师是设计行业中不可或缺的角色之一，他们负责创造和开发新的服装款式以及面料，以满足市场的需求和消费者的期待。通过将创意与技术相结合，这些专业人士不仅塑造了时尚潮流，还推动了行业的创新发展。作为公司产品线的重要…</x:v>
      </x:c>
      <x:c r="L1019" s="26" t="str">
        <x:v>1. 负责收集和分析时尚趋势，结合品牌定位和市场需求，制定季度设计方案。 2. 使用手绘或计算机辅助设计软件完成初步草图绘制，与团队成员沟通调整直至最终确定设计稿。 3. 与供应商协调选择合适的面料、颜色及辅料，确保材料…</x:v>
      </x:c>
    </x:row>
    <x:row r="1020" ht="72" customHeight="1">
      <x:c r="A1020" s="25" t="n">
        <x:v>11912</x:v>
      </x:c>
      <x:c r="B1020" s="25" t="str">
        <x:v>IC-L3-1169</x:v>
      </x:c>
      <x:c r="C1020" s="25" t="str">
        <x:v>服装/纺织设计总监</x:v>
      </x:c>
      <x:c r="D1020" s="25" t="str">
        <x:v>2-09-06-01</x:v>
      </x:c>
      <x:c r="E1020" s="25" t="str">
        <x:v>视觉传达设计人员</x:v>
      </x:c>
      <x:c r="F1020" s="28" t="n">
        <x:f>COUNTIF('岗位-产业节点关系'!$C$4:$C$709,B1020)</x:f>
        <x:v>1</x:v>
      </x:c>
      <x:c r="G1020" s="26" t="str">
        <x:f>IF(F1020=0,"未匹配（现有产业链范围未覆盖或证据不足）",IF(COUNTIFS('岗位-产业节点关系'!$C$4:$C$709,B1020,'岗位-产业节点关系'!$M$4:$M$709,"低")&gt;0,"已匹配，建议复核","已匹配"))</x:f>
        <x:v>已匹配</x:v>
      </x:c>
      <x:c r="H1020" s="26" t="str">
        <x:v>高</x:v>
      </x:c>
      <x:c r="I1020" s="26" t="str">
        <x:v>ICN051</x:v>
      </x:c>
      <x:c r="J1020" s="26" t="str">
        <x:v>纺织产业链/下游/服装家纺、品牌渠道与终端消费</x:v>
      </x:c>
      <x:c r="K1020" s="26" t="str">
        <x:v>服装/纺织设计总监是时尚产业中至关重要的角色之一，负责引领品牌的设计理念与发展方向。该职位不仅需要具备敏锐的市场洞察力和创新能力，还应拥有深厚的艺术修养及技术背景，以确保所领导的设计团队能够持续产出符合市场需求并引领潮流…</x:v>
      </x:c>
      <x:c r="L1020" s="26" t="str">
        <x:v>1. 负责制定和执行公司的整体设计策略，确保所有产品系列均能体现品牌的独特风格和市场定位。 2. 领导并激励设计团队，激发创意潜能，监督整个设计流程，保证按时按质完成各季新品开发任务。 3. 与销售、采购、供应链等相关部…</x:v>
      </x:c>
    </x:row>
    <x:row r="1021" ht="72" customHeight="1">
      <x:c r="A1021" s="25" t="n">
        <x:v>11913</x:v>
      </x:c>
      <x:c r="B1021" s="25" t="str">
        <x:v>IC-L3-1170</x:v>
      </x:c>
      <x:c r="C1021" s="25" t="str">
        <x:v>面料辅料开发</x:v>
      </x:c>
      <x:c r="D1021" s="25" t="str">
        <x:v>2-09-06-01</x:v>
      </x:c>
      <x:c r="E1021" s="25" t="str">
        <x:v>视觉传达设计人员</x:v>
      </x:c>
      <x:c r="F1021" s="28" t="n">
        <x:f>COUNTIF('岗位-产业节点关系'!$C$4:$C$709,B1021)</x:f>
        <x:v>1</x:v>
      </x:c>
      <x:c r="G1021" s="26" t="str">
        <x:f>IF(F1021=0,"未匹配（现有产业链范围未覆盖或证据不足）",IF(COUNTIFS('岗位-产业节点关系'!$C$4:$C$709,B1021,'岗位-产业节点关系'!$M$4:$M$709,"低")&gt;0,"已匹配，建议复核","已匹配"))</x:f>
        <x:v>已匹配</x:v>
      </x:c>
      <x:c r="H1021" s="26" t="str">
        <x:v>中</x:v>
      </x:c>
      <x:c r="I1021" s="26" t="str">
        <x:v>ICN050</x:v>
      </x:c>
      <x:c r="J1021" s="26" t="str">
        <x:v>纺织产业链/中游/纺纱织造、印染与面料制造</x:v>
      </x:c>
      <x:c r="K1021" s="26" t="str">
        <x:v>面料辅料开发是服装设计领域中不可或缺的一环，它不仅关系到服装的最终呈现效果，还直接影响着服装品牌的市场竞争力。该职位通过对面料和辅料的创新研发，确保公司能够持续推出符合市场需求的新产品，从而提升品牌形象和市场份额。此外，…</x:v>
      </x:c>
      <x:c r="L1021" s="26" t="str">
        <x:v>1. 负责收集并分析国内外最新的面料及辅料趋势，为产品开发提供灵感和支持。 2. 与设计部门沟通，理解产品设计需求，开发适合特定风格或季节的新型面料和辅料。 3. 协调供应商资源，进行样品测试，确保所选材料的质量符合公司…</x:v>
      </x:c>
    </x:row>
    <x:row r="1022" ht="72" customHeight="1">
      <x:c r="A1022" s="25" t="n">
        <x:v>11914</x:v>
      </x:c>
      <x:c r="B1022" s="25" t="str">
        <x:v>IC-L3-1171</x:v>
      </x:c>
      <x:c r="C1022" s="25" t="str">
        <x:v>UE4特效师</x:v>
      </x:c>
      <x:c r="D1022" s="25" t="str">
        <x:v>2-09-06-01</x:v>
      </x:c>
      <x:c r="E1022" s="25" t="str">
        <x:v>视觉传达设计人员</x:v>
      </x:c>
      <x:c r="F1022" s="28" t="n">
        <x:f>COUNTIF('岗位-产业节点关系'!$C$4:$C$709,B1022)</x:f>
        <x:v>1</x:v>
      </x:c>
      <x:c r="G1022" s="26" t="str">
        <x:f>IF(F1022=0,"未匹配（现有产业链范围未覆盖或证据不足）",IF(COUNTIFS('岗位-产业节点关系'!$C$4:$C$709,B1022,'岗位-产业节点关系'!$M$4:$M$709,"低")&gt;0,"已匹配，建议复核","已匹配"))</x:f>
        <x:v>已匹配</x:v>
      </x:c>
      <x:c r="H1022" s="26" t="str">
        <x:v>高</x:v>
      </x:c>
      <x:c r="I1022" s="26" t="str">
        <x:v>ICN054</x:v>
      </x:c>
      <x:c r="J1022" s="26" t="str">
        <x:v>新型显示与虚拟现实产业链/下游/沉浸式内容、行业应用与消费场景</x:v>
      </x:c>
      <x:c r="K1022" s="26" t="str">
        <x:v>UE4特效师是游戏设计行业中不可或缺的专业人才，主要负责游戏中各种视觉效果的设计与实现。他们利用强大的Unreal Engine 4引擎，创造出令人震撼的游戏场景，为玩家带来沉浸式的游戏体验。这一职位不仅要求候选人具备出…</x:v>
      </x:c>
      <x:c r="L1022" s="26" t="str">
        <x:v>1. 负责使用Unreal Engine 4进行游戏内特效的设计与制作，确保特效效果达到设计要求。 2. 根据项目需求，研究并应用最新的视觉特效技术，优化现有特效方案，提高渲染效率。 3. 与其他开发人员（如程序员、美术…</x:v>
      </x:c>
    </x:row>
    <x:row r="1023" ht="72" customHeight="1">
      <x:c r="A1023" s="25" t="n">
        <x:v>11915</x:v>
      </x:c>
      <x:c r="B1023" s="25" t="str">
        <x:v>IC-L3-1172</x:v>
      </x:c>
      <x:c r="C1023" s="25" t="str">
        <x:v>游戏动作设计师</x:v>
      </x:c>
      <x:c r="D1023" s="25" t="str">
        <x:v>2-09-06-01</x:v>
      </x:c>
      <x:c r="E1023" s="25" t="str">
        <x:v>视觉传达设计人员</x:v>
      </x:c>
      <x:c r="F1023" s="28" t="n">
        <x:f>COUNTIF('岗位-产业节点关系'!$C$4:$C$709,B1023)</x:f>
        <x:v>1</x:v>
      </x:c>
      <x:c r="G1023" s="26" t="str">
        <x:f>IF(F1023=0,"未匹配（现有产业链范围未覆盖或证据不足）",IF(COUNTIFS('岗位-产业节点关系'!$C$4:$C$709,B1023,'岗位-产业节点关系'!$M$4:$M$709,"低")&gt;0,"已匹配，建议复核","已匹配"))</x:f>
        <x:v>已匹配</x:v>
      </x:c>
      <x:c r="H1023" s="26" t="str">
        <x:v>中</x:v>
      </x:c>
      <x:c r="I1023" s="26" t="str">
        <x:v>ICN054</x:v>
      </x:c>
      <x:c r="J1023" s="26" t="str">
        <x:v>新型显示与虚拟现实产业链/下游/沉浸式内容、行业应用与消费场景</x:v>
      </x:c>
      <x:c r="K1023" s="26" t="str">
        <x:v>游戏动作设计师是游戏设计领域中不可或缺的专业人才，他们负责创造游戏中角色的动作表现，不仅直接影响玩家的游戏体验，也是塑造游戏风格的关键因素之一。通过精准捕捉和设计角色动作，游戏动作设计师能够使游戏角色更加生动逼真，增强游…</x:v>
      </x:c>
      <x:c r="L1023" s="26" t="str">
        <x:v>1. 负责游戏中各类角色及生物的动作设计与实现，确保动作流畅自然，符合游戏设定要求。 2. 与原画师、3D建模师沟通协作，确保动作设计与角色模型完美匹配，达到最佳视觉效果。 3. 参与游戏策划会议，理解并执行游戏设计文档…</x:v>
      </x:c>
    </x:row>
    <x:row r="1024" ht="72" customHeight="1">
      <x:c r="A1024" s="25" t="n">
        <x:v>11916</x:v>
      </x:c>
      <x:c r="B1024" s="25" t="str">
        <x:v>IC-L3-1173</x:v>
      </x:c>
      <x:c r="C1024" s="25" t="str">
        <x:v>游戏动画师</x:v>
      </x:c>
      <x:c r="D1024" s="25" t="str">
        <x:v>2-09-06-01</x:v>
      </x:c>
      <x:c r="E1024" s="25" t="str">
        <x:v>视觉传达设计人员</x:v>
      </x:c>
      <x:c r="F1024" s="28" t="n">
        <x:f>COUNTIF('岗位-产业节点关系'!$C$4:$C$709,B1024)</x:f>
        <x:v>1</x:v>
      </x:c>
      <x:c r="G1024" s="26" t="str">
        <x:f>IF(F1024=0,"未匹配（现有产业链范围未覆盖或证据不足）",IF(COUNTIFS('岗位-产业节点关系'!$C$4:$C$709,B1024,'岗位-产业节点关系'!$M$4:$M$709,"低")&gt;0,"已匹配，建议复核","已匹配"))</x:f>
        <x:v>已匹配</x:v>
      </x:c>
      <x:c r="H1024" s="26" t="str">
        <x:v>高</x:v>
      </x:c>
      <x:c r="I1024" s="26" t="str">
        <x:v>ICN054</x:v>
      </x:c>
      <x:c r="J1024" s="26" t="str">
        <x:v>新型显示与虚拟现实产业链/下游/沉浸式内容、行业应用与消费场景</x:v>
      </x:c>
      <x:c r="K1024" s="26" t="str">
        <x:v>游戏动画师是游戏开发中不可或缺的角色，他们通过精湛的技术将游戏角色的动作、表情等元素生动地呈现给玩家，极大地提升了游戏的沉浸感和娱乐性。在游戏设计领域，游戏动画师不仅负责创建高质量的动画效果，还承担着优化游戏性能的任务，…</x:v>
      </x:c>
      <x:c r="L1024" s="26" t="str">
        <x:v>1. 负责游戏中角色、道具、场景等元素的动画制作，确保符合项目风格要求，提升视觉效果。 2. 与美术部门沟通协作，准确理解原画设定，将静态概念转化为动态表现，增强游戏故事叙述力。 3. 运用专业软件（如Maya, 3ds…</x:v>
      </x:c>
    </x:row>
    <x:row r="1025" ht="72" customHeight="1">
      <x:c r="A1025" s="25" t="n">
        <x:v>11917</x:v>
      </x:c>
      <x:c r="B1025" s="25" t="str">
        <x:v>IC-L3-1174</x:v>
      </x:c>
      <x:c r="C1025" s="25" t="str">
        <x:v>游戏原画师</x:v>
      </x:c>
      <x:c r="D1025" s="25" t="str">
        <x:v>2-09-06-01</x:v>
      </x:c>
      <x:c r="E1025" s="25" t="str">
        <x:v>视觉传达设计人员</x:v>
      </x:c>
      <x:c r="F1025" s="28" t="n">
        <x:f>COUNTIF('岗位-产业节点关系'!$C$4:$C$709,B1025)</x:f>
        <x:v>1</x:v>
      </x:c>
      <x:c r="G1025" s="26" t="str">
        <x:f>IF(F1025=0,"未匹配（现有产业链范围未覆盖或证据不足）",IF(COUNTIFS('岗位-产业节点关系'!$C$4:$C$709,B1025,'岗位-产业节点关系'!$M$4:$M$709,"低")&gt;0,"已匹配，建议复核","已匹配"))</x:f>
        <x:v>已匹配</x:v>
      </x:c>
      <x:c r="H1025" s="26" t="str">
        <x:v>中</x:v>
      </x:c>
      <x:c r="I1025" s="26" t="str">
        <x:v>ICN054</x:v>
      </x:c>
      <x:c r="J1025" s="26" t="str">
        <x:v>新型显示与虚拟现实产业链/下游/沉浸式内容、行业应用与消费场景</x:v>
      </x:c>
      <x:c r="K1025" s="26" t="str">
        <x:v>游戏原画师是游戏设计行业中不可或缺的角色，他们负责创造游戏世界的视觉形象，从角色设定到场景构想，每一个细节都离不开他们的创意与技术。通过将概念转化为具象的艺术作品，游戏原画师不仅塑造了玩家的第一印象，还深刻影响着游戏的整…</x:v>
      </x:c>
      <x:c r="L1025" s="26" t="str">
        <x:v>1. 根据游戏项目的整体规划，设计并绘制游戏角色、道具、场景等元素的概念图及最终稿，确保符合项目需求。 2. 与项目团队成员密切合作，参与讨论并提供专业意见，优化设计方案，解决实施过程中的各种问题。 3. 跟踪行业动态，…</x:v>
      </x:c>
    </x:row>
    <x:row r="1026" ht="72" customHeight="1">
      <x:c r="A1026" s="25" t="n">
        <x:v>11918</x:v>
      </x:c>
      <x:c r="B1026" s="25" t="str">
        <x:v>IC-L3-1175</x:v>
      </x:c>
      <x:c r="C1026" s="25" t="str">
        <x:v>游戏场景设计师</x:v>
      </x:c>
      <x:c r="D1026" s="25" t="str">
        <x:v>2-09-06-01</x:v>
      </x:c>
      <x:c r="E1026" s="25" t="str">
        <x:v>视觉传达设计人员</x:v>
      </x:c>
      <x:c r="F1026" s="28" t="n">
        <x:f>COUNTIF('岗位-产业节点关系'!$C$4:$C$709,B1026)</x:f>
        <x:v>2</x:v>
      </x:c>
      <x:c r="G1026" s="26" t="str">
        <x:f>IF(F1026=0,"未匹配（现有产业链范围未覆盖或证据不足）",IF(COUNTIFS('岗位-产业节点关系'!$C$4:$C$709,B1026,'岗位-产业节点关系'!$M$4:$M$709,"低")&gt;0,"已匹配，建议复核","已匹配"))</x:f>
        <x:v>已匹配</x:v>
      </x:c>
      <x:c r="H1026" s="26" t="str">
        <x:v>中</x:v>
      </x:c>
      <x:c r="I1026" s="26" t="str">
        <x:v>ICN054、ICN052</x:v>
      </x:c>
      <x:c r="J1026" s="26" t="str">
        <x:v>新型显示与虚拟现实产业链/下游/沉浸式内容、行业应用与消费场景；新型显示与虚拟现实产业链/上游/显示材料、光学器件与核心部件</x:v>
      </x:c>
      <x:c r="K1026" s="26" t="str">
        <x:v>游戏场景设计师是游戏开发过程中不可或缺的角色，他们负责创造游戏世界的视觉环境，从概念草图到最终成品，确保游戏内的每个角落都充满创意与美感。作为游戏设计团队的关键成员，场景设计师通过构建丰富多样的游戏环境来增强玩家的沉浸体…</x:v>
      </x:c>
      <x:c r="L1026" s="26" t="str">
        <x:v>1. 负责游戏内各类场景的设计与制作，包括但不限于地形、建筑、自然景观等元素，确保符合游戏风格和艺术要求。 2. 与美术指导密切配合，参与前期的概念设计讨论，提出创新性的设计方案并进行细化实现。 3. 根据项目进度安排，…</x:v>
      </x:c>
    </x:row>
    <x:row r="1027" ht="72" customHeight="1">
      <x:c r="A1027" s="25" t="n">
        <x:v>11919</x:v>
      </x:c>
      <x:c r="B1027" s="25" t="str">
        <x:v>IC-L3-1176</x:v>
      </x:c>
      <x:c r="C1027" s="25" t="str">
        <x:v>游戏特效设计师</x:v>
      </x:c>
      <x:c r="D1027" s="25" t="str">
        <x:v>2-09-06-01</x:v>
      </x:c>
      <x:c r="E1027" s="25" t="str">
        <x:v>视觉传达设计人员</x:v>
      </x:c>
      <x:c r="F1027" s="28" t="n">
        <x:f>COUNTIF('岗位-产业节点关系'!$C$4:$C$709,B1027)</x:f>
        <x:v>1</x:v>
      </x:c>
      <x:c r="G1027" s="26" t="str">
        <x:f>IF(F1027=0,"未匹配（现有产业链范围未覆盖或证据不足）",IF(COUNTIFS('岗位-产业节点关系'!$C$4:$C$709,B1027,'岗位-产业节点关系'!$M$4:$M$709,"低")&gt;0,"已匹配，建议复核","已匹配"))</x:f>
        <x:v>已匹配</x:v>
      </x:c>
      <x:c r="H1027" s="26" t="str">
        <x:v>高</x:v>
      </x:c>
      <x:c r="I1027" s="26" t="str">
        <x:v>ICN054</x:v>
      </x:c>
      <x:c r="J1027" s="26" t="str">
        <x:v>新型显示与虚拟现实产业链/下游/沉浸式内容、行业应用与消费场景</x:v>
      </x:c>
      <x:c r="K1027" s="26" t="str">
        <x:v>游戏特效设计师是游戏开发团队中不可或缺的一员，他们通过创造性的视觉效果增强游戏的沉浸感和吸引力，对于提升玩家体验起着至关重要的作用。作为游戏特效设计师，其核心任务在于设计并实现各种动态效果，如技能释放、环境互动等，这些元…</x:v>
      </x:c>
      <x:c r="L1027" s="26" t="str">
        <x:v>1. 负责游戏中各类特效的设计与制作，包括但不限于粒子系统、光影变化等，以提高游戏的视觉冲击力。 2. 与策划、程序等团队成员沟通协作，准确理解需求并按时高质量完成任务，确保特效表现满足预期效果。 3. 根据项目进度调整…</x:v>
      </x:c>
    </x:row>
    <x:row r="1028" ht="72" customHeight="1">
      <x:c r="A1028" s="25" t="n">
        <x:v>11920</x:v>
      </x:c>
      <x:c r="B1028" s="25" t="str">
        <x:v>IC-L3-1177</x:v>
      </x:c>
      <x:c r="C1028" s="25" t="str">
        <x:v>游戏界面设计师</x:v>
      </x:c>
      <x:c r="D1028" s="25" t="str">
        <x:v>2-09-06-01</x:v>
      </x:c>
      <x:c r="E1028" s="25" t="str">
        <x:v>视觉传达设计人员</x:v>
      </x:c>
      <x:c r="F1028" s="28" t="n">
        <x:f>COUNTIF('岗位-产业节点关系'!$C$4:$C$709,B1028)</x:f>
        <x:v>2</x:v>
      </x:c>
      <x:c r="G1028" s="26" t="str">
        <x:f>IF(F1028=0,"未匹配（现有产业链范围未覆盖或证据不足）",IF(COUNTIFS('岗位-产业节点关系'!$C$4:$C$709,B1028,'岗位-产业节点关系'!$M$4:$M$709,"低")&gt;0,"已匹配，建议复核","已匹配"))</x:f>
        <x:v>已匹配</x:v>
      </x:c>
      <x:c r="H1028" s="26" t="str">
        <x:v>中</x:v>
      </x:c>
      <x:c r="I1028" s="26" t="str">
        <x:v>ICN054、ICN052</x:v>
      </x:c>
      <x:c r="J1028" s="26" t="str">
        <x:v>新型显示与虚拟现实产业链/下游/沉浸式内容、行业应用与消费场景；新型显示与虚拟现实产业链/上游/显示材料、光学器件与核心部件</x:v>
      </x:c>
      <x:c r="K1028" s="26" t="str">
        <x:v>游戏界面设计师是游戏开发过程中不可或缺的角色之一，负责创造引人入胜的视觉体验，使玩家能够沉浸在游戏世界中。他们通过精心设计的用户界面元素来提升游戏的整体品质，确保用户体验流畅而直观。作为连接艺术与技术的桥梁，游戏界面设计…</x:v>
      </x:c>
      <x:c r="L1028" s="26" t="str">
        <x:v>1. 负责游戏内所有界面的设计工作，包括但不限于主菜单、设置面板、任务列表等，确保每个界面都美观实用，符合游戏主题。 2. 与产品经理紧密沟通，理解产品需求，结合用户体验进行创新性的界面设计方案，以增强游戏的吸引力。 3…</x:v>
      </x:c>
    </x:row>
    <x:row r="1029" ht="72" customHeight="1">
      <x:c r="A1029" s="25" t="n">
        <x:v>11921</x:v>
      </x:c>
      <x:c r="B1029" s="25" t="str">
        <x:v>IC-L3-1178</x:v>
      </x:c>
      <x:c r="C1029" s="25" t="str">
        <x:v>游戏角色设计师</x:v>
      </x:c>
      <x:c r="D1029" s="25" t="str">
        <x:v>2-09-06-01</x:v>
      </x:c>
      <x:c r="E1029" s="25" t="str">
        <x:v>视觉传达设计人员</x:v>
      </x:c>
      <x:c r="F1029" s="28" t="n">
        <x:f>COUNTIF('岗位-产业节点关系'!$C$4:$C$709,B1029)</x:f>
        <x:v>2</x:v>
      </x:c>
      <x:c r="G1029" s="26" t="str">
        <x:f>IF(F1029=0,"未匹配（现有产业链范围未覆盖或证据不足）",IF(COUNTIFS('岗位-产业节点关系'!$C$4:$C$709,B1029,'岗位-产业节点关系'!$M$4:$M$709,"低")&gt;0,"已匹配，建议复核","已匹配"))</x:f>
        <x:v>已匹配</x:v>
      </x:c>
      <x:c r="H1029" s="26" t="str">
        <x:v>中</x:v>
      </x:c>
      <x:c r="I1029" s="26" t="str">
        <x:v>ICN054、ICN052</x:v>
      </x:c>
      <x:c r="J1029" s="26" t="str">
        <x:v>新型显示与虚拟现实产业链/下游/沉浸式内容、行业应用与消费场景；新型显示与虚拟现实产业链/上游/显示材料、光学器件与核心部件</x:v>
      </x:c>
      <x:c r="K1029" s="26" t="str">
        <x:v>游戏角色设计师是游戏开发中不可或缺的一部分，他们负责创造吸引玩家的游戏角色，通过独特的视觉设计和个性化的角色设定来增强游戏的沉浸感和故事性。该职位不仅要求设计师具备出色的创意能力和艺术天赋，还需要他们能够深刻理解游戏文化…</x:v>
      </x:c>
      <x:c r="L1029" s="26" t="str">
        <x:v>1. 负责游戏内主要角色及NPC（非玩家控制角色）的概念设计与最终视觉呈现，确保其符合游戏风格并能激发玩家兴趣。 2. 与项目团队密切沟通，了解游戏剧情需求，参与角色背景故事的构思，使角色形象更加丰富立体。 3. 根据游…</x:v>
      </x:c>
    </x:row>
    <x:row r="1030" ht="72" customHeight="1">
      <x:c r="A1030" s="25" t="n">
        <x:v>11922</x:v>
      </x:c>
      <x:c r="B1030" s="25" t="str">
        <x:v>IC-L3-1179</x:v>
      </x:c>
      <x:c r="C1030" s="25" t="str">
        <x:v>游戏数值策划</x:v>
      </x:c>
      <x:c r="D1030" s="25" t="str">
        <x:v>2-09-06-01</x:v>
      </x:c>
      <x:c r="E1030" s="25" t="str">
        <x:v>视觉传达设计人员</x:v>
      </x:c>
      <x:c r="F1030" s="28" t="n">
        <x:f>COUNTIF('岗位-产业节点关系'!$C$4:$C$709,B1030)</x:f>
        <x:v>1</x:v>
      </x:c>
      <x:c r="G1030" s="26" t="str">
        <x:f>IF(F1030=0,"未匹配（现有产业链范围未覆盖或证据不足）",IF(COUNTIFS('岗位-产业节点关系'!$C$4:$C$709,B1030,'岗位-产业节点关系'!$M$4:$M$709,"低")&gt;0,"已匹配，建议复核","已匹配"))</x:f>
        <x:v>已匹配</x:v>
      </x:c>
      <x:c r="H1030" s="26" t="str">
        <x:v>中</x:v>
      </x:c>
      <x:c r="I1030" s="26" t="str">
        <x:v>ICN054</x:v>
      </x:c>
      <x:c r="J1030" s="26" t="str">
        <x:v>新型显示与虚拟现实产业链/下游/沉浸式内容、行业应用与消费场景</x:v>
      </x:c>
      <x:c r="K1030" s="26" t="str">
        <x:v>游戏数值策划是专门从事游戏系统数值设计与平衡的专业人员。该职位的核心目标是通过构建合理的数值模型，实现游戏体验的平衡性与可玩性。在日常工作中，需要进行数值体系设计、平衡性测试、经济系统优化、成长曲线调整等工作。</x:v>
      </x:c>
      <x:c r="L1030" s="26" t="str">
        <x:v>1. 设计游戏数值体系 2. 平衡角色属性成长 3. 调整战斗公式参数 4. 优化经济系统模型 5. 验证数值设计合理性 6. 编写数值配置文档</x:v>
      </x:c>
    </x:row>
    <x:row r="1031" ht="72" customHeight="1">
      <x:c r="A1031" s="25" t="n">
        <x:v>11923</x:v>
      </x:c>
      <x:c r="B1031" s="25" t="str">
        <x:v>IC-L3-1180</x:v>
      </x:c>
      <x:c r="C1031" s="25" t="str">
        <x:v>玩具设计</x:v>
      </x:c>
      <x:c r="D1031" s="25" t="str">
        <x:v>2-09-06-01</x:v>
      </x:c>
      <x:c r="E1031" s="25" t="str">
        <x:v>视觉传达设计人员</x:v>
      </x:c>
      <x:c r="F1031" s="28" t="n">
        <x:f>COUNTIF('岗位-产业节点关系'!$C$4:$C$709,B1031)</x:f>
        <x:v>0</x:v>
      </x:c>
      <x:c r="G1031" s="26" t="str">
        <x:f>IF(F1031=0,"未匹配（现有产业链范围未覆盖或证据不足）",IF(COUNTIFS('岗位-产业节点关系'!$C$4:$C$709,B1031,'岗位-产业节点关系'!$M$4:$M$709,"低")&gt;0,"已匹配，建议复核","已匹配"))</x:f>
        <x:v>未匹配（现有产业链范围未覆盖或证据不足）</x:v>
      </x:c>
      <x:c r="H1031" s="26" t="str">
        <x:v>-</x:v>
      </x:c>
      <x:c r="I1031" s="26" t="str"/>
      <x:c r="J1031" s="26" t="str"/>
      <x:c r="K1031" s="26" t="str">
        <x:v>玩具设计是专门从事游戏玩具创意开发的专业人员。该职位的核心目标是通过创新设计和技术实现，打造具有娱乐性和互动性的游戏玩具产品。在日常工作中，需要进行概念设计、原型制作、材料测试及用户体验优化等工作。</x:v>
      </x:c>
      <x:c r="L1031" s="26" t="str">
        <x:v>1. 设计游戏玩具概念 2. 绘制玩具设计草图 3. 制作3D玩具模型 4. 测试玩具可玩性 5. 优化玩具交互设计 6. 跟进玩具生产流程</x:v>
      </x:c>
    </x:row>
    <x:row r="1032" ht="72" customHeight="1">
      <x:c r="A1032" s="25" t="n">
        <x:v>11924</x:v>
      </x:c>
      <x:c r="B1032" s="25" t="str">
        <x:v>IC-L3-1181</x:v>
      </x:c>
      <x:c r="C1032" s="25" t="str">
        <x:v>互联网设计总监</x:v>
      </x:c>
      <x:c r="D1032" s="25" t="str">
        <x:v>2-02-10-03</x:v>
      </x:c>
      <x:c r="E1032" s="25" t="str">
        <x:v>计算机软件工程技术人员</x:v>
      </x:c>
      <x:c r="F1032" s="28" t="n">
        <x:f>COUNTIF('岗位-产业节点关系'!$C$4:$C$709,B1032)</x:f>
        <x:v>0</x:v>
      </x:c>
      <x:c r="G1032" s="26" t="str">
        <x:f>IF(F1032=0,"未匹配（现有产业链范围未覆盖或证据不足）",IF(COUNTIFS('岗位-产业节点关系'!$C$4:$C$709,B1032,'岗位-产业节点关系'!$M$4:$M$709,"低")&gt;0,"已匹配，建议复核","已匹配"))</x:f>
        <x:v>未匹配（现有产业链范围未覆盖或证据不足）</x:v>
      </x:c>
      <x:c r="H1032" s="26" t="str">
        <x:v>-</x:v>
      </x:c>
      <x:c r="I1032" s="26" t="str"/>
      <x:c r="J1032" s="26" t="str"/>
      <x:c r="K1032" s="26" t="str">
        <x:v>互联网设计总监是设计行业中极为关键的角色，负责引领公司的视觉风格与用户体验设计，确保产品能够满足用户需求并符合市场趋势。作为公司设计战略的核心人物，互联网设计总监不仅需要具备深厚的设计功底，还需拥有敏锐的商业洞察力，通过…</x:v>
      </x:c>
      <x:c r="L1032" s="26" t="str">
        <x:v>1. 负责制定并实施全面的设计策略，指导产品从概念到发布的整个过程，确保设计方案符合公司品牌定位及市场需求。 2. 组织并领导设计团队完成高质量的设计任务，监督项目进度，确保按时交付，并对最终成果负责。 3. 与产品经理…</x:v>
      </x:c>
    </x:row>
    <x:row r="1033" ht="72" customHeight="1">
      <x:c r="A1033" s="25" t="n">
        <x:v>11925</x:v>
      </x:c>
      <x:c r="B1033" s="25" t="str">
        <x:v>IC-L3-1182</x:v>
      </x:c>
      <x:c r="C1033" s="25" t="str">
        <x:v>互联网设计经理/主管</x:v>
      </x:c>
      <x:c r="D1033" s="25" t="str">
        <x:v>2-02-10-03</x:v>
      </x:c>
      <x:c r="E1033" s="25" t="str">
        <x:v>计算机软件工程技术人员</x:v>
      </x:c>
      <x:c r="F1033" s="28" t="n">
        <x:f>COUNTIF('岗位-产业节点关系'!$C$4:$C$709,B1033)</x:f>
        <x:v>0</x:v>
      </x:c>
      <x:c r="G1033" s="26" t="str">
        <x:f>IF(F1033=0,"未匹配（现有产业链范围未覆盖或证据不足）",IF(COUNTIFS('岗位-产业节点关系'!$C$4:$C$709,B1033,'岗位-产业节点关系'!$M$4:$M$709,"低")&gt;0,"已匹配，建议复核","已匹配"))</x:f>
        <x:v>未匹配（现有产业链范围未覆盖或证据不足）</x:v>
      </x:c>
      <x:c r="H1033" s="26" t="str">
        <x:v>-</x:v>
      </x:c>
      <x:c r="I1033" s="26" t="str"/>
      <x:c r="J1033" s="26" t="str"/>
      <x:c r="K1033" s="26" t="str">
        <x:v>互联网设计经理/主管是设计领域中的关键角色，主要负责监督和指导公司内部的设计团队，确保所有设计项目能够按时完成并达到高质量标准。此职位不仅要求具备深厚的设计功底，还需要有良好的团队管理和沟通能力，以促进跨部门间的有效合作…</x:v>
      </x:c>
      <x:c r="L1033" s="26" t="str">
        <x:v>1. 负责制定并执行设计策略，确保所有设计活动与公司战略目标相一致。 2. 组织并领导设计团队完成从概念到成品的全过程工作，包括但不限于界面设计、交互设计等，保证项目按时保质交付。 3. 与产品和技术团队紧密合作，参与产…</x:v>
      </x:c>
    </x:row>
    <x:row r="1034" ht="72" customHeight="1">
      <x:c r="A1034" s="25" t="n">
        <x:v>11926</x:v>
      </x:c>
      <x:c r="B1034" s="25" t="str">
        <x:v>IC-L3-1183</x:v>
      </x:c>
      <x:c r="C1034" s="25" t="str">
        <x:v>室内设计总监</x:v>
      </x:c>
      <x:c r="D1034" s="25" t="str">
        <x:v>2-06-07-01</x:v>
      </x:c>
      <x:c r="E1034" s="25" t="str">
        <x:v>国际商务专业人员</x:v>
      </x:c>
      <x:c r="F1034" s="28" t="n">
        <x:f>COUNTIF('岗位-产业节点关系'!$C$4:$C$709,B1034)</x:f>
        <x:v>0</x:v>
      </x:c>
      <x:c r="G1034" s="26" t="str">
        <x:f>IF(F1034=0,"未匹配（现有产业链范围未覆盖或证据不足）",IF(COUNTIFS('岗位-产业节点关系'!$C$4:$C$709,B1034,'岗位-产业节点关系'!$M$4:$M$709,"低")&gt;0,"已匹配，建议复核","已匹配"))</x:f>
        <x:v>未匹配（现有产业链范围未覆盖或证据不足）</x:v>
      </x:c>
      <x:c r="H1034" s="26" t="str">
        <x:v>-</x:v>
      </x:c>
      <x:c r="I1034" s="26" t="str"/>
      <x:c r="J1034" s="26" t="str"/>
      <x:c r="K1034" s="26" t="str">
        <x:v>室内设计总监是设计行业中至关重要的领导角色，负责引领公司室内设计项目的创意与执行。该职位不仅要求具备深厚的设计功底，还需要拥有卓越的管理和战略思维能力，以确保设计作品既符合客户的需求，又能体现公司的品牌形象与市场定位。 …</x:v>
      </x:c>
      <x:c r="L1034" s="26" t="str">
        <x:v>1. 负责制定室内设计方案，监督项目进度，确保按时按质完成所有设计任务。 2. 组织召开项目会议，协调内外部资源，解决设计过程中遇到的技术难题。 3. 指导和支持下属设计师的成长，定期评估其工作表现并提供反馈建议。 4.…</x:v>
      </x:c>
    </x:row>
    <x:row r="1035" ht="72" customHeight="1">
      <x:c r="A1035" s="25" t="n">
        <x:v>11927</x:v>
      </x:c>
      <x:c r="B1035" s="25" t="str">
        <x:v>IC-L3-1184</x:v>
      </x:c>
      <x:c r="C1035" s="25" t="str">
        <x:v>室内设计经理/主管</x:v>
      </x:c>
      <x:c r="D1035" s="25" t="str">
        <x:v>2-06-07-01</x:v>
      </x:c>
      <x:c r="E1035" s="25" t="str">
        <x:v>国际商务专业人员</x:v>
      </x:c>
      <x:c r="F1035" s="28" t="n">
        <x:f>COUNTIF('岗位-产业节点关系'!$C$4:$C$709,B1035)</x:f>
        <x:v>0</x:v>
      </x:c>
      <x:c r="G1035" s="26" t="str">
        <x:f>IF(F1035=0,"未匹配（现有产业链范围未覆盖或证据不足）",IF(COUNTIFS('岗位-产业节点关系'!$C$4:$C$709,B1035,'岗位-产业节点关系'!$M$4:$M$709,"低")&gt;0,"已匹配，建议复核","已匹配"))</x:f>
        <x:v>未匹配（现有产业链范围未覆盖或证据不足）</x:v>
      </x:c>
      <x:c r="H1035" s="26" t="str">
        <x:v>-</x:v>
      </x:c>
      <x:c r="I1035" s="26" t="str"/>
      <x:c r="J1035" s="26" t="str"/>
      <x:c r="K1035" s="26" t="str">
        <x:v>室内设计经理/主管是设计行业中不可或缺的关键角色，负责指导和监督公司内部的设计项目，确保项目从概念到完成的每一个阶段都能达到高标准的专业要求。作为连接创意与执行的桥梁，该职位不仅需要具备出色的设计才能，还需拥有强大的管理…</x:v>
      </x:c>
      <x:c r="L1035" s="26" t="str">
        <x:v>1. 负责制定并执行室内设计方案，确保项目按时按质完成，满足甚至超越客户期望。 2. 管理和协调项目团队，分配任务，监控进度，解决项目过程中出现的技术难题。 3. 与销售、工程等相关部门密切配合，确保设计方案的有效实施，…</x:v>
      </x:c>
    </x:row>
    <x:row r="1036" ht="72" customHeight="1">
      <x:c r="A1036" s="25" t="n">
        <x:v>11928</x:v>
      </x:c>
      <x:c r="B1036" s="25" t="str">
        <x:v>IC-L3-1185</x:v>
      </x:c>
      <x:c r="C1036" s="25" t="str">
        <x:v>平面设计总监</x:v>
      </x:c>
      <x:c r="D1036" s="25" t="str">
        <x:v>2-06-07-01</x:v>
      </x:c>
      <x:c r="E1036" s="25" t="str">
        <x:v>国际商务专业人员</x:v>
      </x:c>
      <x:c r="F1036" s="28" t="n">
        <x:f>COUNTIF('岗位-产业节点关系'!$C$4:$C$709,B1036)</x:f>
        <x:v>1</x:v>
      </x:c>
      <x:c r="G1036" s="26" t="str">
        <x:f>IF(F1036=0,"未匹配（现有产业链范围未覆盖或证据不足）",IF(COUNTIFS('岗位-产业节点关系'!$C$4:$C$709,B1036,'岗位-产业节点关系'!$M$4:$M$709,"低")&gt;0,"已匹配，建议复核","已匹配"))</x:f>
        <x:v>已匹配</x:v>
      </x:c>
      <x:c r="H1036" s="26" t="str">
        <x:v>中</x:v>
      </x:c>
      <x:c r="I1036" s="26" t="str">
        <x:v>ICN003</x:v>
      </x:c>
      <x:c r="J1036" s="26" t="str">
        <x:v>数据要素与数字经济产业链/下游/数字经济场景应用与内容创意</x:v>
      </x:c>
      <x:c r="K1036" s="26" t="str">
        <x:v>平面设计总监是设计行业中不可或缺的关键角色，负责领导创意团队完成从概念到成品的设计工作。此职位不仅需要具备深厚的设计功底，还需要拥有良好的项目管理和人际沟通能力，以确保设计项目按时高质量地交付。作为公司的核心创意领导者，…</x:v>
      </x:c>
      <x:c r="L1036" s="26" t="str">
        <x:v>1. 负责制定并实施年度设计策略，确保所有视觉材料符合公司品牌形象及市场趋势，提高品牌识别度。 2. 领导并激励设计团队，监督日常设计工作的执行情况，定期组织团队培训和技术交流会，提升整体设计水平。 3. 与市场营销部门…</x:v>
      </x:c>
    </x:row>
    <x:row r="1037" ht="72" customHeight="1">
      <x:c r="A1037" s="25" t="n">
        <x:v>11929</x:v>
      </x:c>
      <x:c r="B1037" s="25" t="str">
        <x:v>IC-L3-1186</x:v>
      </x:c>
      <x:c r="C1037" s="25" t="str">
        <x:v>平面设计经理/主管</x:v>
      </x:c>
      <x:c r="D1037" s="25" t="str">
        <x:v>2-06-07-01</x:v>
      </x:c>
      <x:c r="E1037" s="25" t="str">
        <x:v>国际商务专业人员</x:v>
      </x:c>
      <x:c r="F1037" s="28" t="n">
        <x:f>COUNTIF('岗位-产业节点关系'!$C$4:$C$709,B1037)</x:f>
        <x:v>1</x:v>
      </x:c>
      <x:c r="G1037" s="26" t="str">
        <x:f>IF(F1037=0,"未匹配（现有产业链范围未覆盖或证据不足）",IF(COUNTIFS('岗位-产业节点关系'!$C$4:$C$709,B1037,'岗位-产业节点关系'!$M$4:$M$709,"低")&gt;0,"已匹配，建议复核","已匹配"))</x:f>
        <x:v>已匹配</x:v>
      </x:c>
      <x:c r="H1037" s="26" t="str">
        <x:v>中</x:v>
      </x:c>
      <x:c r="I1037" s="26" t="str">
        <x:v>ICN003</x:v>
      </x:c>
      <x:c r="J1037" s="26" t="str">
        <x:v>数据要素与数字经济产业链/下游/数字经济场景应用与内容创意</x:v>
      </x:c>
      <x:c r="K1037" s="26" t="str">
        <x:v>平面设计经理/主管是设计行业中不可或缺的角色，负责领导和管理平面设计团队，确保项目从概念到成品的顺利实施。该职位不仅要求具备深厚的设计功底，还需拥有出色的项目管理和团队领导能力，以确保团队能够高效运作并达到预期目标。作为…</x:v>
      </x:c>
      <x:c r="L1037" s="26" t="str">
        <x:v>1. 负责制定并执行公司平面设计策略，确保所有视觉材料符合品牌形象及市场定位，提升品牌影响力。 2. 监督并指导团队完成各类平面设计任务，包括但不限于广告宣传册、包装设计、网站界面等，保证按时高质量交付。 3. 定期组织…</x:v>
      </x:c>
    </x:row>
    <x:row r="1038" ht="72" customHeight="1">
      <x:c r="A1038" s="25" t="n">
        <x:v>11930</x:v>
      </x:c>
      <x:c r="B1038" s="25" t="str">
        <x:v>IC-L3-1187</x:v>
      </x:c>
      <x:c r="C1038" s="25" t="str">
        <x:v>广告创意/设计经理</x:v>
      </x:c>
      <x:c r="D1038" s="25" t="str">
        <x:v>2-09-06-01</x:v>
      </x:c>
      <x:c r="E1038" s="25" t="str">
        <x:v>视觉传达设计人员</x:v>
      </x:c>
      <x:c r="F1038" s="28" t="n">
        <x:f>COUNTIF('岗位-产业节点关系'!$C$4:$C$709,B1038)</x:f>
        <x:v>1</x:v>
      </x:c>
      <x:c r="G1038" s="26" t="str">
        <x:f>IF(F1038=0,"未匹配（现有产业链范围未覆盖或证据不足）",IF(COUNTIFS('岗位-产业节点关系'!$C$4:$C$709,B1038,'岗位-产业节点关系'!$M$4:$M$709,"低")&gt;0,"已匹配，建议复核","已匹配"))</x:f>
        <x:v>已匹配</x:v>
      </x:c>
      <x:c r="H1038" s="26" t="str">
        <x:v>中</x:v>
      </x:c>
      <x:c r="I1038" s="26" t="str">
        <x:v>ICN003</x:v>
      </x:c>
      <x:c r="J1038" s="26" t="str">
        <x:v>数据要素与数字经济产业链/下游/数字经济场景应用与内容创意</x:v>
      </x:c>
      <x:c r="K1038" s="26" t="str">
        <x:v>广告创意/设计经理是设计行业中不可或缺的关键角色，负责领导并激发团队创造卓越的设计解决方案，以满足客户需求并推动品牌发展。此职位的核心目标在于确保所有创意作品不仅符合品牌形象，而且能够有效传达信息，提升市场竞争力，从而为…</x:v>
      </x:c>
      <x:c r="L1038" s="26" t="str">
        <x:v>1. 领导并指导设计团队进行广告创意开发，从概念构思到最终成品，确保每个阶段的设计方案均能准确体现品牌理念，达成预期传播效果。 2. 与客户沟通交流，深入理解其需求，结合市场趋势分析，提出创新性的设计方案建议，增强客户满…</x:v>
      </x:c>
    </x:row>
    <x:row r="1039" ht="72" customHeight="1">
      <x:c r="A1039" s="25" t="n">
        <x:v>11931</x:v>
      </x:c>
      <x:c r="B1039" s="25" t="str">
        <x:v>IC-L3-1188</x:v>
      </x:c>
      <x:c r="C1039" s="25" t="str">
        <x:v>广告创意总监</x:v>
      </x:c>
      <x:c r="D1039" s="25" t="str">
        <x:v>2-06-07-01</x:v>
      </x:c>
      <x:c r="E1039" s="25" t="str">
        <x:v>国际商务专业人员</x:v>
      </x:c>
      <x:c r="F1039" s="28" t="n">
        <x:f>COUNTIF('岗位-产业节点关系'!$C$4:$C$709,B1039)</x:f>
        <x:v>1</x:v>
      </x:c>
      <x:c r="G1039" s="26" t="str">
        <x:f>IF(F1039=0,"未匹配（现有产业链范围未覆盖或证据不足）",IF(COUNTIFS('岗位-产业节点关系'!$C$4:$C$709,B1039,'岗位-产业节点关系'!$M$4:$M$709,"低")&gt;0,"已匹配，建议复核","已匹配"))</x:f>
        <x:v>已匹配</x:v>
      </x:c>
      <x:c r="H1039" s="26" t="str">
        <x:v>中</x:v>
      </x:c>
      <x:c r="I1039" s="26" t="str">
        <x:v>ICN003</x:v>
      </x:c>
      <x:c r="J1039" s="26" t="str">
        <x:v>数据要素与数字经济产业链/下游/数字经济场景应用与内容创意</x:v>
      </x:c>
      <x:c r="K1039" s="26" t="str">
        <x:v>广告创意总监是设计行业中至关重要的领导角色，负责引领公司广告创意的方向与执行，确保品牌信息传达的有效性和创新性。作为企业与市场之间的桥梁，该职位不仅需要具备敏锐的市场洞察力，还应拥有丰富的设计经验和卓越的艺术鉴赏能力，能…</x:v>
      </x:c>
      <x:c r="L1039" s="26" t="str">
        <x:v>1. 负责制定并实施广告创意策略，确保所有广告作品符合品牌定位及市场需求，提高品牌知名度和影响力。 2. 领导并激励创意团队，激发团队创造力，监督项目从概念到成品的整个过程，保证按时交付高质量的作品。 3. 与客户保持良…</x:v>
      </x:c>
    </x:row>
    <x:row r="1040" ht="72" customHeight="1">
      <x:c r="A1040" s="25" t="n">
        <x:v>11932</x:v>
      </x:c>
      <x:c r="B1040" s="25" t="str">
        <x:v>IC-L3-1189</x:v>
      </x:c>
      <x:c r="C1040" s="25" t="str">
        <x:v>服装/纺织设计总监</x:v>
      </x:c>
      <x:c r="D1040" s="25" t="str">
        <x:v>2-06-07-01</x:v>
      </x:c>
      <x:c r="E1040" s="25" t="str">
        <x:v>国际商务专业人员</x:v>
      </x:c>
      <x:c r="F1040" s="28" t="n">
        <x:f>COUNTIF('岗位-产业节点关系'!$C$4:$C$709,B1040)</x:f>
        <x:v>1</x:v>
      </x:c>
      <x:c r="G1040" s="26" t="str">
        <x:f>IF(F1040=0,"未匹配（现有产业链范围未覆盖或证据不足）",IF(COUNTIFS('岗位-产业节点关系'!$C$4:$C$709,B1040,'岗位-产业节点关系'!$M$4:$M$709,"低")&gt;0,"已匹配，建议复核","已匹配"))</x:f>
        <x:v>已匹配</x:v>
      </x:c>
      <x:c r="H1040" s="26" t="str">
        <x:v>高</x:v>
      </x:c>
      <x:c r="I1040" s="26" t="str">
        <x:v>ICN051</x:v>
      </x:c>
      <x:c r="J1040" s="26" t="str">
        <x:v>纺织产业链/下游/服装家纺、品牌渠道与终端消费</x:v>
      </x:c>
      <x:c r="K1040" s="26" t="str">
        <x:v>服装/纺织设计总监是设计领域中不可或缺的角色，他们不仅负责领导创意团队，还确保产品从概念到市场的整个流程符合品牌定位和市场需求。该职位通过将艺术与商业相结合，推动公司创新能力和市场竞争力的提升，是连接创意与商业成功的关键…</x:v>
      </x:c>
      <x:c r="L1040" s="26" t="str">
        <x:v>1. 负责制定并执行年度设计战略计划，确保设计方向与公司整体业务目标相一致。 2. 领导并激励设计团队，指导团队成员完成高质量的设计作品，提升团队整体创造力和技术水平。 3. 与市场部紧密合作，分析流行趋势，收集消费者反…</x:v>
      </x:c>
    </x:row>
    <x:row r="1041" ht="72" customHeight="1">
      <x:c r="A1041" s="25" t="n">
        <x:v>11933</x:v>
      </x:c>
      <x:c r="B1041" s="25" t="str">
        <x:v>IC-L3-1190</x:v>
      </x:c>
      <x:c r="C1041" s="25" t="str">
        <x:v>会计师</x:v>
      </x:c>
      <x:c r="D1041" s="25" t="str">
        <x:v>2-06-03-00</x:v>
      </x:c>
      <x:c r="E1041" s="25" t="str">
        <x:v>会计专业人员</x:v>
      </x:c>
      <x:c r="F1041" s="28" t="n">
        <x:f>COUNTIF('岗位-产业节点关系'!$C$4:$C$709,B1041)</x:f>
        <x:v>0</x:v>
      </x:c>
      <x:c r="G1041" s="26" t="str">
        <x:f>IF(F1041=0,"未匹配（现有产业链范围未覆盖或证据不足）",IF(COUNTIFS('岗位-产业节点关系'!$C$4:$C$709,B1041,'岗位-产业节点关系'!$M$4:$M$709,"低")&gt;0,"已匹配，建议复核","已匹配"))</x:f>
        <x:v>未匹配（现有产业链范围未覆盖或证据不足）</x:v>
      </x:c>
      <x:c r="H1041" s="26" t="str">
        <x:v>-</x:v>
      </x:c>
      <x:c r="I1041" s="26" t="str"/>
      <x:c r="J1041" s="26" t="str"/>
      <x:c r="K1041" s="26" t="str">
        <x:v>会计师是财务/税务/法务行业中不可或缺的专业人才，负责确保企业的财务记录准确无误，对于维护企业财务健康和合规经营至关重要。作为企业的财务管理专家，会计师通过精确的账务处理、财务报表编制及分析，为企业决策层提供可靠的数据支…</x:v>
      </x:c>
      <x:c r="L1041" s="26" t="str">
        <x:v>1. 负责日常会计核算工作，包括审核原始凭证、编制记账凭证、登记账簿，确保所有交易事项得到及时、准确地反映。 2. 定期编制月度、季度和年度财务报告，分析财务状况，揭示潜在问题并提出改进建议，为管理层制定战略计划提供依据…</x:v>
      </x:c>
    </x:row>
    <x:row r="1042" ht="72" customHeight="1">
      <x:c r="A1042" s="25" t="n">
        <x:v>11934</x:v>
      </x:c>
      <x:c r="B1042" s="25" t="str">
        <x:v>IC-L3-1191</x:v>
      </x:c>
      <x:c r="C1042" s="25" t="str">
        <x:v>会计经理/主管</x:v>
      </x:c>
      <x:c r="D1042" s="25" t="str">
        <x:v>2-06-03-00</x:v>
      </x:c>
      <x:c r="E1042" s="25" t="str">
        <x:v>会计专业人员</x:v>
      </x:c>
      <x:c r="F1042" s="28" t="n">
        <x:f>COUNTIF('岗位-产业节点关系'!$C$4:$C$709,B1042)</x:f>
        <x:v>0</x:v>
      </x:c>
      <x:c r="G1042" s="26" t="str">
        <x:f>IF(F1042=0,"未匹配（现有产业链范围未覆盖或证据不足）",IF(COUNTIFS('岗位-产业节点关系'!$C$4:$C$709,B1042,'岗位-产业节点关系'!$M$4:$M$709,"低")&gt;0,"已匹配，建议复核","已匹配"))</x:f>
        <x:v>未匹配（现有产业链范围未覆盖或证据不足）</x:v>
      </x:c>
      <x:c r="H1042" s="26" t="str">
        <x:v>-</x:v>
      </x:c>
      <x:c r="I1042" s="26" t="str"/>
      <x:c r="J1042" s="26" t="str"/>
      <x:c r="K1042" s="26" t="str">
        <x:v>会计经理/主管是财务/税务/法务行业中不可或缺的角色，负责确保企业财务记录的准确性与合法性，同时支持管理层进行战略决策。作为公司的核心财务管理人员之一，他们不仅需要具备扎实的专业知识，还应拥有良好的沟通能力和领导力，以推…</x:v>
      </x:c>
      <x:c r="L1042" s="26" t="str">
        <x:v>1. 负责组织和指导会计团队完成日常账务处理工作，确保所有财务记录真实、完整、及时。 2. 定期审查公司各项财务报表，包括资产负债表、利润表、现金流量表等，确保其符合国家法律法规要求。 3. 与外部审计机构保持良好沟通，…</x:v>
      </x:c>
    </x:row>
    <x:row r="1043" ht="72" customHeight="1">
      <x:c r="A1043" s="25" t="n">
        <x:v>11935</x:v>
      </x:c>
      <x:c r="B1043" s="25" t="str">
        <x:v>IC-L3-1192</x:v>
      </x:c>
      <x:c r="C1043" s="25" t="str">
        <x:v>出纳</x:v>
      </x:c>
      <x:c r="D1043" s="25" t="str">
        <x:v>2-06-03-00</x:v>
      </x:c>
      <x:c r="E1043" s="25" t="str">
        <x:v>会计专业人员</x:v>
      </x:c>
      <x:c r="F1043" s="28" t="n">
        <x:f>COUNTIF('岗位-产业节点关系'!$C$4:$C$709,B1043)</x:f>
        <x:v>0</x:v>
      </x:c>
      <x:c r="G1043" s="26" t="str">
        <x:f>IF(F1043=0,"未匹配（现有产业链范围未覆盖或证据不足）",IF(COUNTIFS('岗位-产业节点关系'!$C$4:$C$709,B1043,'岗位-产业节点关系'!$M$4:$M$709,"低")&gt;0,"已匹配，建议复核","已匹配"))</x:f>
        <x:v>未匹配（现有产业链范围未覆盖或证据不足）</x:v>
      </x:c>
      <x:c r="H1043" s="26" t="str">
        <x:v>-</x:v>
      </x:c>
      <x:c r="I1043" s="26" t="str"/>
      <x:c r="J1043" s="26" t="str"/>
      <x:c r="K1043" s="26" t="str">
        <x:v>出纳作为财务/税务/法务行业中不可或缺的一部分，是确保企业资金流安全与准确的关键角色。通过日常的现金管理活动，如支付账单、处理客户付款等，出纳员不仅支持了公司内部的财务运作，还维护了与外部合作伙伴的良好关系。此外，出纳还…</x:v>
      </x:c>
      <x:c r="L1043" s="26" t="str">
        <x:v>1. 负责日常现金收支业务，包括但不限于接收现金和支票存款，以及发放工资和报销款项，确保每笔交易的准确性与及时性。 2. 定期核对银行账户余额与公司账簿记录的一致性，编制月度银行对账单，发现并解决任何差异问题，以保证财务…</x:v>
      </x:c>
    </x:row>
    <x:row r="1044" ht="72" customHeight="1">
      <x:c r="A1044" s="25" t="n">
        <x:v>11936</x:v>
      </x:c>
      <x:c r="B1044" s="25" t="str">
        <x:v>IC-L3-1193</x:v>
      </x:c>
      <x:c r="C1044" s="25" t="str">
        <x:v>固定资产会计</x:v>
      </x:c>
      <x:c r="D1044" s="25" t="str">
        <x:v>2-06-03-00</x:v>
      </x:c>
      <x:c r="E1044" s="25" t="str">
        <x:v>会计专业人员</x:v>
      </x:c>
      <x:c r="F1044" s="28" t="n">
        <x:f>COUNTIF('岗位-产业节点关系'!$C$4:$C$709,B1044)</x:f>
        <x:v>0</x:v>
      </x:c>
      <x:c r="G1044" s="26" t="str">
        <x:f>IF(F1044=0,"未匹配（现有产业链范围未覆盖或证据不足）",IF(COUNTIFS('岗位-产业节点关系'!$C$4:$C$709,B1044,'岗位-产业节点关系'!$M$4:$M$709,"低")&gt;0,"已匹配，建议复核","已匹配"))</x:f>
        <x:v>未匹配（现有产业链范围未覆盖或证据不足）</x:v>
      </x:c>
      <x:c r="H1044" s="26" t="str">
        <x:v>-</x:v>
      </x:c>
      <x:c r="I1044" s="26" t="str"/>
      <x:c r="J1044" s="26" t="str"/>
      <x:c r="K1044" s="26" t="str">
        <x:v>固定资产会计是财务/税务/法务行业中不可或缺的角色，主要负责管理公司固定资产的账目与报告，确保资产记录的准确性和及时性。该职位通过专业的资产管理，为企业的财务健康提供坚实的基础，是连接企业实物资产与财务报表的重要桥梁。 …</x:v>
      </x:c>
      <x:c r="L1044" s="26" t="str">
        <x:v>1. 负责公司固定资产的日常管理工作，包括但不限于资产采购、入库、调拨、报废等环节的账务处理，确保资产记录的真实性和完整性。 2. 定期组织并参与固定资产盘点工作，及时发现并解决盘点差异，保证账实相符。 3. 根据国家相…</x:v>
      </x:c>
    </x:row>
    <x:row r="1045" ht="72" customHeight="1">
      <x:c r="A1045" s="25" t="n">
        <x:v>11937</x:v>
      </x:c>
      <x:c r="B1045" s="25" t="str">
        <x:v>IC-L3-1194</x:v>
      </x:c>
      <x:c r="C1045" s="25" t="str">
        <x:v>建筑/工程会计</x:v>
      </x:c>
      <x:c r="D1045" s="25" t="str">
        <x:v>2-06-03-00</x:v>
      </x:c>
      <x:c r="E1045" s="25" t="str">
        <x:v>会计专业人员</x:v>
      </x:c>
      <x:c r="F1045" s="28" t="n">
        <x:f>COUNTIF('岗位-产业节点关系'!$C$4:$C$709,B1045)</x:f>
        <x:v>1</x:v>
      </x:c>
      <x:c r="G1045" s="26" t="str">
        <x:f>IF(F1045=0,"未匹配（现有产业链范围未覆盖或证据不足）",IF(COUNTIFS('岗位-产业节点关系'!$C$4:$C$709,B1045,'岗位-产业节点关系'!$M$4:$M$709,"低")&gt;0,"已匹配，建议复核","已匹配"))</x:f>
        <x:v>已匹配，建议复核</x:v>
      </x:c>
      <x:c r="H1045" s="26" t="str">
        <x:v>低</x:v>
      </x:c>
      <x:c r="I1045" s="26" t="str">
        <x:v>ICN008</x:v>
      </x:c>
      <x:c r="J1045" s="26" t="str">
        <x:v>基础设施与城市建设产业链/中游/基础设施建设与房地产开发</x:v>
      </x:c>
      <x:c r="K1045" s="26" t="str">
        <x:v>建筑/工程会计是财务/税务/法务领域中不可或缺的专业角色，主要负责处理建筑及工程项目中的所有财务事务。此职位不仅要求具备扎实的会计理论基础和实践经验，还需深入了解建筑行业的业务流程和成本管理方法。通过准确无误地记录和分析…</x:v>
      </x:c>
      <x:c r="L1045" s="26" t="str">
        <x:v>1. 负责建筑工程项目从启动到结束整个生命周期中的财务管理工作，包括但不限于成本预测、费用报销审核、账务处理等，确保所有财务活动符合国家法律法规及公司内部规章制度。 2. 编制详细的项目成本预算，定期跟踪实际支出情况并与…</x:v>
      </x:c>
    </x:row>
    <x:row r="1046" ht="72" customHeight="1">
      <x:c r="A1046" s="25" t="n">
        <x:v>11938</x:v>
      </x:c>
      <x:c r="B1046" s="25" t="str">
        <x:v>IC-L3-1195</x:v>
      </x:c>
      <x:c r="C1046" s="25" t="str">
        <x:v>总账会计</x:v>
      </x:c>
      <x:c r="D1046" s="25" t="str">
        <x:v>2-06-03-00</x:v>
      </x:c>
      <x:c r="E1046" s="25" t="str">
        <x:v>会计专业人员</x:v>
      </x:c>
      <x:c r="F1046" s="28" t="n">
        <x:f>COUNTIF('岗位-产业节点关系'!$C$4:$C$709,B1046)</x:f>
        <x:v>0</x:v>
      </x:c>
      <x:c r="G1046" s="26" t="str">
        <x:f>IF(F1046=0,"未匹配（现有产业链范围未覆盖或证据不足）",IF(COUNTIFS('岗位-产业节点关系'!$C$4:$C$709,B1046,'岗位-产业节点关系'!$M$4:$M$709,"低")&gt;0,"已匹配，建议复核","已匹配"))</x:f>
        <x:v>未匹配（现有产业链范围未覆盖或证据不足）</x:v>
      </x:c>
      <x:c r="H1046" s="26" t="str">
        <x:v>-</x:v>
      </x:c>
      <x:c r="I1046" s="26" t="str"/>
      <x:c r="J1046" s="26" t="str"/>
      <x:c r="K1046" s="26" t="str">
        <x:v>总账会计是财务/税务/法务行业中不可或缺的专业角色，负责公司财务数据的准确记录与分析，确保企业的财务健康和合规经营。通过高效地管理和维护公司总账系统，总账会计不仅能够支持管理层做出更加明智的业务决策，还能够为外部审计提供…</x:v>
      </x:c>
      <x:c r="L1046" s="26" t="str">
        <x:v>1. 负责公司日常会计凭证的制作，确保所有经济业务得到及时准确的记录，为月末结账提供可靠依据。 2. 定期审核并调整总账科目余额，保证账目清晰无误，符合国家相关法律法规要求。 3. 编制并提交各类财务报表（包括但不限于资…</x:v>
      </x:c>
    </x:row>
    <x:row r="1047" ht="72" customHeight="1">
      <x:c r="A1047" s="25" t="n">
        <x:v>11939</x:v>
      </x:c>
      <x:c r="B1047" s="25" t="str">
        <x:v>IC-L3-1196</x:v>
      </x:c>
      <x:c r="C1047" s="25" t="str">
        <x:v>注册会计师</x:v>
      </x:c>
      <x:c r="D1047" s="25" t="str">
        <x:v>2-06-03-00</x:v>
      </x:c>
      <x:c r="E1047" s="25" t="str">
        <x:v>会计专业人员</x:v>
      </x:c>
      <x:c r="F1047" s="28" t="n">
        <x:f>COUNTIF('岗位-产业节点关系'!$C$4:$C$709,B1047)</x:f>
        <x:v>0</x:v>
      </x:c>
      <x:c r="G1047" s="26" t="str">
        <x:f>IF(F1047=0,"未匹配（现有产业链范围未覆盖或证据不足）",IF(COUNTIFS('岗位-产业节点关系'!$C$4:$C$709,B1047,'岗位-产业节点关系'!$M$4:$M$709,"低")&gt;0,"已匹配，建议复核","已匹配"))</x:f>
        <x:v>未匹配（现有产业链范围未覆盖或证据不足）</x:v>
      </x:c>
      <x:c r="H1047" s="26" t="str">
        <x:v>-</x:v>
      </x:c>
      <x:c r="I1047" s="26" t="str"/>
      <x:c r="J1047" s="26" t="str"/>
      <x:c r="K1047" s="26" t="str">
        <x:v>注册会计师（CPA）是财务/税务/法务行业中至关重要的角色之一，他们通过专业的会计知识和技能，确保企业的财务记录准确无误，帮助企业在复杂的经济环境中做出明智的决策。作为注册会计师，其核心目标在于维护公司财务信息的真实性和…</x:v>
      </x:c>
      <x:c r="L1047" s="26" t="str">
        <x:v>1. 负责编制和审核各类财务报表，确保所有数据准确无误，符合国家相关法律法规及公司内部规定。 2. 对公司的日常交易进行账务处理，定期检查并调整账户余额，保证账目清晰可追溯。 3. 参与年度审计工作，配合内外部审计师完成…</x:v>
      </x:c>
    </x:row>
    <x:row r="1048" ht="72" customHeight="1">
      <x:c r="A1048" s="25" t="n">
        <x:v>11940</x:v>
      </x:c>
      <x:c r="B1048" s="25" t="str">
        <x:v>IC-L3-1197</x:v>
      </x:c>
      <x:c r="C1048" s="25" t="str">
        <x:v>结算会计</x:v>
      </x:c>
      <x:c r="D1048" s="25" t="str">
        <x:v>2-06-03-00</x:v>
      </x:c>
      <x:c r="E1048" s="25" t="str">
        <x:v>会计专业人员</x:v>
      </x:c>
      <x:c r="F1048" s="28" t="n">
        <x:f>COUNTIF('岗位-产业节点关系'!$C$4:$C$709,B1048)</x:f>
        <x:v>0</x:v>
      </x:c>
      <x:c r="G1048" s="26" t="str">
        <x:f>IF(F1048=0,"未匹配（现有产业链范围未覆盖或证据不足）",IF(COUNTIFS('岗位-产业节点关系'!$C$4:$C$709,B1048,'岗位-产业节点关系'!$M$4:$M$709,"低")&gt;0,"已匹配，建议复核","已匹配"))</x:f>
        <x:v>未匹配（现有产业链范围未覆盖或证据不足）</x:v>
      </x:c>
      <x:c r="H1048" s="26" t="str">
        <x:v>-</x:v>
      </x:c>
      <x:c r="I1048" s="26" t="str"/>
      <x:c r="J1048" s="26" t="str"/>
      <x:c r="K1048" s="26" t="str">
        <x:v>结算会计是财务/税务/法务行业中不可或缺的角色之一，主要负责公司内部及外部财务交易的核对与处理，确保所有财务记录的准确无误，对于维护企业的财务健康状态至关重要。通过精确的账目管理和及时的财务报告，结算会计能够帮助企业高层…</x:v>
      </x:c>
      <x:c r="L1048" s="26" t="str">
        <x:v>1. 负责日常财务结算工作，包括但不限于银行对账、费用报销审核等，确保所有财务数据的真实性和完整性。 2. 编制月度、季度及年度财务报表，提供准确的财务信息支持管理层决策。 3. 定期进行财务分析，识别潜在的财务问题并提…</x:v>
      </x:c>
    </x:row>
    <x:row r="1049" ht="72" customHeight="1">
      <x:c r="A1049" s="25" t="n">
        <x:v>11941</x:v>
      </x:c>
      <x:c r="B1049" s="25" t="str">
        <x:v>IC-L3-1198</x:v>
      </x:c>
      <x:c r="C1049" s="25" t="str">
        <x:v>信审核查</x:v>
      </x:c>
      <x:c r="D1049" s="25" t="str">
        <x:v>2-06-03-00</x:v>
      </x:c>
      <x:c r="E1049" s="25" t="str">
        <x:v>会计专业人员</x:v>
      </x:c>
      <x:c r="F1049" s="28" t="n">
        <x:f>COUNTIF('岗位-产业节点关系'!$C$4:$C$709,B1049)</x:f>
        <x:v>0</x:v>
      </x:c>
      <x:c r="G1049" s="26" t="str">
        <x:f>IF(F1049=0,"未匹配（现有产业链范围未覆盖或证据不足）",IF(COUNTIFS('岗位-产业节点关系'!$C$4:$C$709,B1049,'岗位-产业节点关系'!$M$4:$M$709,"低")&gt;0,"已匹配，建议复核","已匹配"))</x:f>
        <x:v>未匹配（现有产业链范围未覆盖或证据不足）</x:v>
      </x:c>
      <x:c r="H1049" s="26" t="str">
        <x:v>-</x:v>
      </x:c>
      <x:c r="I1049" s="26" t="str"/>
      <x:c r="J1049" s="26" t="str"/>
      <x:c r="K1049" s="26" t="str">
        <x:v>信审核查作为财务/税务/法务领域中的关键角色，负责确保企业所有交易活动符合相关法律法规的要求，是维护企业合法经营的第一道防线。通过精确地审查与评估各类财务记录和报告，信审核查员不仅能够帮助企业避免潜在的法律风险，还能促进…</x:v>
      </x:c>
      <x:c r="L1049" s="26" t="str">
        <x:v>1. 对公司内外部提交的所有财务文件进行详细审查，确保其准确无误且符合现行会计准则和税法规定。 2. 定期参与或主导内部审计项目，识别并报告潜在的合规风险点，提出改进措施以加强内部控制流程。 3. 与外部监管机构保持良好…</x:v>
      </x:c>
    </x:row>
    <x:row r="1050" ht="72" customHeight="1">
      <x:c r="A1050" s="25" t="n">
        <x:v>11942</x:v>
      </x:c>
      <x:c r="B1050" s="25" t="str">
        <x:v>IC-L3-1199</x:v>
      </x:c>
      <x:c r="C1050" s="25" t="str">
        <x:v>合规专员</x:v>
      </x:c>
      <x:c r="D1050" s="25" t="str">
        <x:v>2-06-03-00</x:v>
      </x:c>
      <x:c r="E1050" s="25" t="str">
        <x:v>会计专业人员</x:v>
      </x:c>
      <x:c r="F1050" s="28" t="n">
        <x:f>COUNTIF('岗位-产业节点关系'!$C$4:$C$709,B1050)</x:f>
        <x:v>0</x:v>
      </x:c>
      <x:c r="G1050" s="26" t="str">
        <x:f>IF(F1050=0,"未匹配（现有产业链范围未覆盖或证据不足）",IF(COUNTIFS('岗位-产业节点关系'!$C$4:$C$709,B1050,'岗位-产业节点关系'!$M$4:$M$709,"低")&gt;0,"已匹配，建议复核","已匹配"))</x:f>
        <x:v>未匹配（现有产业链范围未覆盖或证据不足）</x:v>
      </x:c>
      <x:c r="H1050" s="26" t="str">
        <x:v>-</x:v>
      </x:c>
      <x:c r="I1050" s="26" t="str"/>
      <x:c r="J1050" s="26" t="str"/>
      <x:c r="K1050" s="26" t="str">
        <x:v>合规专员在财务/税务/法务行业中扮演着至关重要的角色，确保企业遵守相关法律法规及内部规章制度，维护企业的合法运营与良好声誉。作为企业合规体系的关键一环，合规专员不仅需要具备扎实的专业知识和敏锐的风险意识，还应能够准确理解…</x:v>
      </x:c>
      <x:c r="L1050" s="26" t="str">
        <x:v>1. 负责跟踪国内外最新法律法规动态，评估其对公司业务的影响，制定相应的应对策略。 2. 定期审查公司的各项操作流程，识别潜在的合规风险点，提出改进措施以降低违规概率。 3. 协助建立和完善公司内部合规管理体系，包括但不…</x:v>
      </x:c>
    </x:row>
    <x:row r="1051" ht="72" customHeight="1">
      <x:c r="A1051" s="25" t="n">
        <x:v>11943</x:v>
      </x:c>
      <x:c r="B1051" s="25" t="str">
        <x:v>IC-L3-1200</x:v>
      </x:c>
      <x:c r="C1051" s="25" t="str">
        <x:v>合规主管</x:v>
      </x:c>
      <x:c r="D1051" s="25" t="str">
        <x:v>2-06-03-00</x:v>
      </x:c>
      <x:c r="E1051" s="25" t="str">
        <x:v>会计专业人员</x:v>
      </x:c>
      <x:c r="F1051" s="28" t="n">
        <x:f>COUNTIF('岗位-产业节点关系'!$C$4:$C$709,B1051)</x:f>
        <x:v>0</x:v>
      </x:c>
      <x:c r="G1051" s="26" t="str">
        <x:f>IF(F1051=0,"未匹配（现有产业链范围未覆盖或证据不足）",IF(COUNTIFS('岗位-产业节点关系'!$C$4:$C$709,B1051,'岗位-产业节点关系'!$M$4:$M$709,"低")&gt;0,"已匹配，建议复核","已匹配"))</x:f>
        <x:v>未匹配（现有产业链范围未覆盖或证据不足）</x:v>
      </x:c>
      <x:c r="H1051" s="26" t="str">
        <x:v>-</x:v>
      </x:c>
      <x:c r="I1051" s="26" t="str"/>
      <x:c r="J1051" s="26" t="str"/>
      <x:c r="K1051" s="26" t="str">
        <x:v>合规主管是财务/税务/法务行业中至关重要的角色，主要负责确保公司运营活动符合相关法律法规及内部政策要求，通过预防违规行为来保护公司免受法律风险。该职位不仅需要具备扎实的专业知识，还应拥有良好的判断力与决策能力。 该职位的…</x:v>
      </x:c>
      <x:c r="L1051" s="26" t="str">
        <x:v>1. 负责组织和实施公司的合规培训计划，提高员工对法律法规的认识水平，确保全体员工了解并遵守相关规定。 2. 对公司业务流程进行合规审查，识别潜在的风险点，提出改进建议，优化业务操作流程，降低违法风险。 3. 制定并执行…</x:v>
      </x:c>
    </x:row>
    <x:row r="1052" ht="72" customHeight="1">
      <x:c r="A1052" s="25" t="n">
        <x:v>11944</x:v>
      </x:c>
      <x:c r="B1052" s="25" t="str">
        <x:v>IC-L3-1201</x:v>
      </x:c>
      <x:c r="C1052" s="25" t="str">
        <x:v>合规经理</x:v>
      </x:c>
      <x:c r="D1052" s="25" t="str">
        <x:v>2-06-03-00</x:v>
      </x:c>
      <x:c r="E1052" s="25" t="str">
        <x:v>会计专业人员</x:v>
      </x:c>
      <x:c r="F1052" s="28" t="n">
        <x:f>COUNTIF('岗位-产业节点关系'!$C$4:$C$709,B1052)</x:f>
        <x:v>0</x:v>
      </x:c>
      <x:c r="G1052" s="26" t="str">
        <x:f>IF(F1052=0,"未匹配（现有产业链范围未覆盖或证据不足）",IF(COUNTIFS('岗位-产业节点关系'!$C$4:$C$709,B1052,'岗位-产业节点关系'!$M$4:$M$709,"低")&gt;0,"已匹配，建议复核","已匹配"))</x:f>
        <x:v>未匹配（现有产业链范围未覆盖或证据不足）</x:v>
      </x:c>
      <x:c r="H1052" s="26" t="str">
        <x:v>-</x:v>
      </x:c>
      <x:c r="I1052" s="26" t="str"/>
      <x:c r="J1052" s="26" t="str"/>
      <x:c r="K1052" s="26" t="str">
        <x:v>合规经理是财务/税务/法务领域中不可或缺的专业角色，主要负责确保企业遵守所有相关的法律法规及内部规章制度，从而保护企业的合法权益，降低法律风险。通过建立和完善合规管理体系，该职位能够有效促进公司运营的合法性和透明度，增强…</x:v>
      </x:c>
      <x:c r="L1052" s="26" t="str">
        <x:v>1. 制定并实施全面的合规政策和程序，确保公司在业务操作过程中遵循所有适用的法律、法规和行业标准。 2. 定期进行合规培训，提高员工的合规意识和能力，确保每位员工都能理解并执行公司的合规要求。 3. 对内外部审计发现的问…</x:v>
      </x:c>
    </x:row>
    <x:row r="1053" ht="72" customHeight="1">
      <x:c r="A1053" s="25" t="n">
        <x:v>11945</x:v>
      </x:c>
      <x:c r="B1053" s="25" t="str">
        <x:v>IC-L3-1202</x:v>
      </x:c>
      <x:c r="C1053" s="25" t="str">
        <x:v>监察人员</x:v>
      </x:c>
      <x:c r="D1053" s="25" t="str">
        <x:v>2-06-03-00</x:v>
      </x:c>
      <x:c r="E1053" s="25" t="str">
        <x:v>会计专业人员</x:v>
      </x:c>
      <x:c r="F1053" s="28" t="n">
        <x:f>COUNTIF('岗位-产业节点关系'!$C$4:$C$709,B1053)</x:f>
        <x:v>0</x:v>
      </x:c>
      <x:c r="G1053" s="26" t="str">
        <x:f>IF(F1053=0,"未匹配（现有产业链范围未覆盖或证据不足）",IF(COUNTIFS('岗位-产业节点关系'!$C$4:$C$709,B1053,'岗位-产业节点关系'!$M$4:$M$709,"低")&gt;0,"已匹配，建议复核","已匹配"))</x:f>
        <x:v>未匹配（现有产业链范围未覆盖或证据不足）</x:v>
      </x:c>
      <x:c r="H1053" s="26" t="str">
        <x:v>-</x:v>
      </x:c>
      <x:c r="I1053" s="26" t="str"/>
      <x:c r="J1053" s="26" t="str"/>
      <x:c r="K1053" s="26" t="str">
        <x:v>监察人员是财务/税务/法务领域中至关重要的角色，主要负责确保公司遵守所有相关的法律法规以及内部政策，维护企业的合法性和信誉。通过有效的监督和管理，监察人员能够帮助公司预防潜在的风险，促进企业健康稳定的发展，是企业合规管理…</x:v>
      </x:c>
      <x:c r="L1053" s="26" t="str">
        <x:v>1. 制定和完善公司内部的合规制度，确保各项业务活动符合国家法律法规的要求。 2. 对公司现有的业务流程进行定期审查，发现并解决存在的合规问题，提出改进措施。 3. 与外部监管机构保持良好沟通，及时了解最新的法律法规动态…</x:v>
      </x:c>
    </x:row>
    <x:row r="1054" ht="72" customHeight="1">
      <x:c r="A1054" s="25" t="n">
        <x:v>11946</x:v>
      </x:c>
      <x:c r="B1054" s="25" t="str">
        <x:v>IC-L3-1203</x:v>
      </x:c>
      <x:c r="C1054" s="25" t="str">
        <x:v>风险控制</x:v>
      </x:c>
      <x:c r="D1054" s="25" t="str">
        <x:v>2-06-03-00</x:v>
      </x:c>
      <x:c r="E1054" s="25" t="str">
        <x:v>会计专业人员</x:v>
      </x:c>
      <x:c r="F1054" s="28" t="n">
        <x:f>COUNTIF('岗位-产业节点关系'!$C$4:$C$709,B1054)</x:f>
        <x:v>0</x:v>
      </x:c>
      <x:c r="G1054" s="26" t="str">
        <x:f>IF(F1054=0,"未匹配（现有产业链范围未覆盖或证据不足）",IF(COUNTIFS('岗位-产业节点关系'!$C$4:$C$709,B1054,'岗位-产业节点关系'!$M$4:$M$709,"低")&gt;0,"已匹配，建议复核","已匹配"))</x:f>
        <x:v>未匹配（现有产业链范围未覆盖或证据不足）</x:v>
      </x:c>
      <x:c r="H1054" s="26" t="str">
        <x:v>-</x:v>
      </x:c>
      <x:c r="I1054" s="26" t="str"/>
      <x:c r="J1054" s="26" t="str"/>
      <x:c r="K1054" s="26" t="str">
        <x:v>风险控制专员是财务/税务/法务领域中至关重要的角色，负责确保企业遵守相关法律法规，维护公司利益不受损害。通过建立和实施有效的内部控制体系，他们能够帮助企业识别并管理潜在的风险因素，从而保障企业的稳定运营与可持续发展。在日…</x:v>
      </x:c>
      <x:c r="L1054" s="26" t="str">
        <x:v>1. 定期审查并更新公司的内部控制系统，确保其符合最新的法律法规及行业标准，以降低违规操作带来的法律风险。 2. 对公司内外部环境进行风险评估，制定相应的预防措施，包括但不限于财务风险、市场风险、操作风险等，旨在将各类风…</x:v>
      </x:c>
    </x:row>
    <x:row r="1055" ht="72" customHeight="1">
      <x:c r="A1055" s="25" t="n">
        <x:v>11947</x:v>
      </x:c>
      <x:c r="B1055" s="25" t="str">
        <x:v>IC-L3-1204</x:v>
      </x:c>
      <x:c r="C1055" s="25" t="str">
        <x:v>出纳</x:v>
      </x:c>
      <x:c r="D1055" s="25" t="str">
        <x:v>2-06-03-00</x:v>
      </x:c>
      <x:c r="E1055" s="25" t="str">
        <x:v>会计专业人员</x:v>
      </x:c>
      <x:c r="F1055" s="28" t="n">
        <x:f>COUNTIF('岗位-产业节点关系'!$C$4:$C$709,B1055)</x:f>
        <x:v>0</x:v>
      </x:c>
      <x:c r="G1055" s="26" t="str">
        <x:f>IF(F1055=0,"未匹配（现有产业链范围未覆盖或证据不足）",IF(COUNTIFS('岗位-产业节点关系'!$C$4:$C$709,B1055,'岗位-产业节点关系'!$M$4:$M$709,"低")&gt;0,"已匹配，建议复核","已匹配"))</x:f>
        <x:v>未匹配（现有产业链范围未覆盖或证据不足）</x:v>
      </x:c>
      <x:c r="H1055" s="26" t="str">
        <x:v>-</x:v>
      </x:c>
      <x:c r="I1055" s="26" t="str"/>
      <x:c r="J1055" s="26" t="str"/>
      <x:c r="K1055" s="26" t="str">
        <x:v>出纳是专门从事企业资金收支管理的专业人员。该职位的核心目标是通过严格执行财务制度和合规流程，确保企业资金安全与流转效率。在日常工作中，需要进行现金收付、银行结算、账务登记及资金日报编制等工作。</x:v>
      </x:c>
      <x:c r="L1055" s="26" t="str">
        <x:v>1. 管理日常现金收支 2. 登记核对银行账目 3. 审核报销单据凭证 4. 编制资金日报报表 5. 保管财务印章票据 6. 配合合规审计检查</x:v>
      </x:c>
    </x:row>
    <x:row r="1056" ht="72" customHeight="1">
      <x:c r="A1056" s="25" t="n">
        <x:v>11948</x:v>
      </x:c>
      <x:c r="B1056" s="25" t="str">
        <x:v>IC-L3-1205</x:v>
      </x:c>
      <x:c r="C1056" s="25" t="str">
        <x:v>审计专员/助理</x:v>
      </x:c>
      <x:c r="D1056" s="25" t="str">
        <x:v>2-06-03-00</x:v>
      </x:c>
      <x:c r="E1056" s="25" t="str">
        <x:v>会计专业人员</x:v>
      </x:c>
      <x:c r="F1056" s="28" t="n">
        <x:f>COUNTIF('岗位-产业节点关系'!$C$4:$C$709,B1056)</x:f>
        <x:v>0</x:v>
      </x:c>
      <x:c r="G1056" s="26" t="str">
        <x:f>IF(F1056=0,"未匹配（现有产业链范围未覆盖或证据不足）",IF(COUNTIFS('岗位-产业节点关系'!$C$4:$C$709,B1056,'岗位-产业节点关系'!$M$4:$M$709,"低")&gt;0,"已匹配，建议复核","已匹配"))</x:f>
        <x:v>未匹配（现有产业链范围未覆盖或证据不足）</x:v>
      </x:c>
      <x:c r="H1056" s="26" t="str">
        <x:v>-</x:v>
      </x:c>
      <x:c r="I1056" s="26" t="str"/>
      <x:c r="J1056" s="26" t="str"/>
      <x:c r="K1056" s="26" t="str">
        <x:v>审计专员/助理是财务/税务/法务领域中不可或缺的角色，主要负责确保企业内部各项经济活动的真实性、合法性和效益性。通过对财务报表和其他相关资料进行检查与评估，他们帮助公司发现潜在的风险点并提出改进建议，以促进组织健康稳定地…</x:v>
      </x:c>
      <x:c r="L1056" s="26" t="str">
        <x:v>1. 负责编制审计计划，明确审计范围、重点及方法，确保审计工作有序开展。 2. 对公司内部财务报告、账目记录等进行详细审查，识别可能存在的错误或违规行为。 3. 与被审计单位沟通交流，收集必要证据材料，形成初步审计意见。…</x:v>
      </x:c>
    </x:row>
    <x:row r="1057" ht="72" customHeight="1">
      <x:c r="A1057" s="25" t="n">
        <x:v>11949</x:v>
      </x:c>
      <x:c r="B1057" s="25" t="str">
        <x:v>IC-L3-1206</x:v>
      </x:c>
      <x:c r="C1057" s="25" t="str">
        <x:v>审计经理/主管</x:v>
      </x:c>
      <x:c r="D1057" s="25" t="str">
        <x:v>2-06-03-00</x:v>
      </x:c>
      <x:c r="E1057" s="25" t="str">
        <x:v>会计专业人员</x:v>
      </x:c>
      <x:c r="F1057" s="28" t="n">
        <x:f>COUNTIF('岗位-产业节点关系'!$C$4:$C$709,B1057)</x:f>
        <x:v>0</x:v>
      </x:c>
      <x:c r="G1057" s="26" t="str">
        <x:f>IF(F1057=0,"未匹配（现有产业链范围未覆盖或证据不足）",IF(COUNTIFS('岗位-产业节点关系'!$C$4:$C$709,B1057,'岗位-产业节点关系'!$M$4:$M$709,"低")&gt;0,"已匹配，建议复核","已匹配"))</x:f>
        <x:v>未匹配（现有产业链范围未覆盖或证据不足）</x:v>
      </x:c>
      <x:c r="H1057" s="26" t="str">
        <x:v>-</x:v>
      </x:c>
      <x:c r="I1057" s="26" t="str"/>
      <x:c r="J1057" s="26" t="str"/>
      <x:c r="K1057" s="26" t="str">
        <x:v>审计经理/主管在财务/税务行业中扮演着至关重要的角色，是确保企业财务健康与合规运营的关键人物。通过精准的审计工作，他们不仅能够发现并纠正潜在的财务风险，还能为企业提供宝贵的改进建议，从而提升整体管理水平。作为团队领导者，…</x:v>
      </x:c>
      <x:c r="L1057" s="26" t="str">
        <x:v>1. 负责制定并执行年度审计计划，确保所有财务报告的准确性和合法性，以降低企业的财务风险。 2. 组织并指导审计团队进行现场审计，审查账目记录、交易凭证等资料，识别潜在问题并提出整改建议。 3. 与高级管理层沟通审计结果…</x:v>
      </x:c>
    </x:row>
    <x:row r="1058" ht="72" customHeight="1">
      <x:c r="A1058" s="25" t="n">
        <x:v>11950</x:v>
      </x:c>
      <x:c r="B1058" s="25" t="str">
        <x:v>IC-L3-1207</x:v>
      </x:c>
      <x:c r="C1058" s="25" t="str">
        <x:v>税务专员/助理</x:v>
      </x:c>
      <x:c r="D1058" s="25" t="str">
        <x:v>2-06-03-00</x:v>
      </x:c>
      <x:c r="E1058" s="25" t="str">
        <x:v>会计专业人员</x:v>
      </x:c>
      <x:c r="F1058" s="28" t="n">
        <x:f>COUNTIF('岗位-产业节点关系'!$C$4:$C$709,B1058)</x:f>
        <x:v>0</x:v>
      </x:c>
      <x:c r="G1058" s="26" t="str">
        <x:f>IF(F1058=0,"未匹配（现有产业链范围未覆盖或证据不足）",IF(COUNTIFS('岗位-产业节点关系'!$C$4:$C$709,B1058,'岗位-产业节点关系'!$M$4:$M$709,"低")&gt;0,"已匹配，建议复核","已匹配"))</x:f>
        <x:v>未匹配（现有产业链范围未覆盖或证据不足）</x:v>
      </x:c>
      <x:c r="H1058" s="26" t="str">
        <x:v>-</x:v>
      </x:c>
      <x:c r="I1058" s="26" t="str"/>
      <x:c r="J1058" s="26" t="str"/>
      <x:c r="K1058" s="26" t="str">
        <x:v>税务专员/助理是财务/税务/法务领域中不可或缺的专业人才，主要负责处理企业日常涉税事务，确保企业遵守相关法律法规，避免因税务问题而产生的风险。该职位不仅需要具备扎实的税务知识，还应具有良好的沟通协调能力，以应对复杂多变的…</x:v>
      </x:c>
      <x:c r="L1058" s="26" t="str">
        <x:v>1. 负责公司各类税务申报工作，确保数据准确无误，按时完成税务报表的编制及提交，满足国家税务机关的要求。 2. 熟悉并掌握最新税收法规变化，为公司提供专业的税务咨询与培训服务，帮助企业规避潜在的税务风险。 3. 协助进行…</x:v>
      </x:c>
    </x:row>
    <x:row r="1059" ht="72" customHeight="1">
      <x:c r="A1059" s="25" t="n">
        <x:v>11951</x:v>
      </x:c>
      <x:c r="B1059" s="25" t="str">
        <x:v>IC-L3-1208</x:v>
      </x:c>
      <x:c r="C1059" s="25" t="str">
        <x:v>税务经理/主管</x:v>
      </x:c>
      <x:c r="D1059" s="25" t="str">
        <x:v>2-06-03-00</x:v>
      </x:c>
      <x:c r="E1059" s="25" t="str">
        <x:v>会计专业人员</x:v>
      </x:c>
      <x:c r="F1059" s="28" t="n">
        <x:f>COUNTIF('岗位-产业节点关系'!$C$4:$C$709,B1059)</x:f>
        <x:v>0</x:v>
      </x:c>
      <x:c r="G1059" s="26" t="str">
        <x:f>IF(F1059=0,"未匹配（现有产业链范围未覆盖或证据不足）",IF(COUNTIFS('岗位-产业节点关系'!$C$4:$C$709,B1059,'岗位-产业节点关系'!$M$4:$M$709,"低")&gt;0,"已匹配，建议复核","已匹配"))</x:f>
        <x:v>未匹配（现有产业链范围未覆盖或证据不足）</x:v>
      </x:c>
      <x:c r="H1059" s="26" t="str">
        <x:v>-</x:v>
      </x:c>
      <x:c r="I1059" s="26" t="str"/>
      <x:c r="J1059" s="26" t="str"/>
      <x:c r="K1059" s="26" t="str">
        <x:v>税务经理/主管是财务/税务/法务行业中至关重要的角色，主要负责企业税务战略的制定与实施，确保企业在遵守税法的同时实现税务优化。该职位不仅需要具备深厚的税务专业知识，还需要拥有良好的沟通协调能力和敏锐的市场洞察力，以应对日…</x:v>
      </x:c>
      <x:c r="L1059" s="26" t="str">
        <x:v>1. 制定并执行公司的税务策略，确保所有业务操作符合相关法律法规，避免潜在的税务风险。 2. 定期进行税务健康检查，识别并解决可能存在的税务问题，提出改进措施，优化税务流程。 3. 负责编制年度税务预算，监控实际税务支出…</x:v>
      </x:c>
    </x:row>
    <x:row r="1060" ht="72" customHeight="1">
      <x:c r="A1060" s="25" t="n">
        <x:v>11952</x:v>
      </x:c>
      <x:c r="B1060" s="25" t="str">
        <x:v>IC-L3-1209</x:v>
      </x:c>
      <x:c r="C1060" s="25" t="str">
        <x:v>法务专员/助理</x:v>
      </x:c>
      <x:c r="D1060" s="25" t="str">
        <x:v>4-14-04-04</x:v>
      </x:c>
      <x:c r="E1060" s="25" t="str">
        <x:v>社群健康助理员</x:v>
      </x:c>
      <x:c r="F1060" s="28" t="n">
        <x:f>COUNTIF('岗位-产业节点关系'!$C$4:$C$709,B1060)</x:f>
        <x:v>0</x:v>
      </x:c>
      <x:c r="G1060" s="26" t="str">
        <x:f>IF(F1060=0,"未匹配（现有产业链范围未覆盖或证据不足）",IF(COUNTIFS('岗位-产业节点关系'!$C$4:$C$709,B1060,'岗位-产业节点关系'!$M$4:$M$709,"低")&gt;0,"已匹配，建议复核","已匹配"))</x:f>
        <x:v>未匹配（现有产业链范围未覆盖或证据不足）</x:v>
      </x:c>
      <x:c r="H1060" s="26" t="str">
        <x:v>-</x:v>
      </x:c>
      <x:c r="I1060" s="26" t="str"/>
      <x:c r="J1060" s="26" t="str"/>
      <x:c r="K1060" s="26" t="str">
        <x:v>法务专员/助理是财务/税务/法务行业中不可或缺的角色，他们通过法律专业知识确保公司在商业活动中的合法性与合规性。该职位不仅能够为公司提供法律风险评估与管理服务，还能够在合同审核、纠纷解决等方面发挥重要作用，是企业稳健运营…</x:v>
      </x:c>
      <x:c r="L1060" s="26" t="str">
        <x:v>1. 负责起草、审核各类合同文件，确保其内容合法有效，避免因条款不当而引发的法律纠纷。 2. 对公司日常经营过程中遇到的法律问题进行研究分析，提出解决方案并给予专业意见。 3. 参与重大项目的谈判工作，从法律角度为项目组…</x:v>
      </x:c>
    </x:row>
    <x:row r="1061" ht="72" customHeight="1">
      <x:c r="A1061" s="25" t="n">
        <x:v>11953</x:v>
      </x:c>
      <x:c r="B1061" s="25" t="str">
        <x:v>IC-L3-1210</x:v>
      </x:c>
      <x:c r="C1061" s="25" t="str">
        <x:v>法务主管</x:v>
      </x:c>
      <x:c r="D1061" s="25" t="str">
        <x:v>2-07-04-00</x:v>
      </x:c>
      <x:c r="E1061" s="25" t="str">
        <x:v>律师</x:v>
      </x:c>
      <x:c r="F1061" s="28" t="n">
        <x:f>COUNTIF('岗位-产业节点关系'!$C$4:$C$709,B1061)</x:f>
        <x:v>0</x:v>
      </x:c>
      <x:c r="G1061" s="26" t="str">
        <x:f>IF(F1061=0,"未匹配（现有产业链范围未覆盖或证据不足）",IF(COUNTIFS('岗位-产业节点关系'!$C$4:$C$709,B1061,'岗位-产业节点关系'!$M$4:$M$709,"低")&gt;0,"已匹配，建议复核","已匹配"))</x:f>
        <x:v>未匹配（现有产业链范围未覆盖或证据不足）</x:v>
      </x:c>
      <x:c r="H1061" s="26" t="str">
        <x:v>-</x:v>
      </x:c>
      <x:c r="I1061" s="26" t="str"/>
      <x:c r="J1061" s="26" t="str"/>
      <x:c r="K1061" s="26" t="str">
        <x:v>法务主管是财务/税务/法务行业中不可或缺的关键角色，负责确保公司所有业务活动符合法律规范，避免潜在的法律责任风险。该职位不仅要求具备深厚的法律专业知识，还需要拥有良好的商业洞察力和战略思维能力，以支持公司的长期发展。 法…</x:v>
      </x:c>
      <x:c r="L1061" s="26" t="str">
        <x:v>1. 负责制定和完善公司内部的各项法律规章制度，确保其符合国家法律法规的要求。 2. 审核各类合同文件，识别潜在的法律风险点，并提出有效的规避措施。 3. 组织开展法律培训活动，提高员工的法律意识和合规操作水平。 4. …</x:v>
      </x:c>
    </x:row>
    <x:row r="1062" ht="72" customHeight="1">
      <x:c r="A1062" s="25" t="n">
        <x:v>11954</x:v>
      </x:c>
      <x:c r="B1062" s="25" t="str">
        <x:v>IC-L3-1211</x:v>
      </x:c>
      <x:c r="C1062" s="25" t="str">
        <x:v>法务总监</x:v>
      </x:c>
      <x:c r="D1062" s="25" t="str">
        <x:v>2-07-09-00</x:v>
      </x:c>
      <x:c r="E1062" s="25" t="str">
        <x:v>法律顾问</x:v>
      </x:c>
      <x:c r="F1062" s="28" t="n">
        <x:f>COUNTIF('岗位-产业节点关系'!$C$4:$C$709,B1062)</x:f>
        <x:v>0</x:v>
      </x:c>
      <x:c r="G1062" s="26" t="str">
        <x:f>IF(F1062=0,"未匹配（现有产业链范围未覆盖或证据不足）",IF(COUNTIFS('岗位-产业节点关系'!$C$4:$C$709,B1062,'岗位-产业节点关系'!$M$4:$M$709,"低")&gt;0,"已匹配，建议复核","已匹配"))</x:f>
        <x:v>未匹配（现有产业链范围未覆盖或证据不足）</x:v>
      </x:c>
      <x:c r="H1062" s="26" t="str">
        <x:v>-</x:v>
      </x:c>
      <x:c r="I1062" s="26" t="str"/>
      <x:c r="J1062" s="26" t="str"/>
      <x:c r="K1062" s="26" t="str">
        <x:v>法务总监是企业内部法律事务管理的关键角色，在财务/税务/法务行业中占据着举足轻重的地位。作为公司的高级管理人员之一，法务总监不仅负责确保公司所有业务活动符合法律法规要求，还承担着防范法律风险、维护公司合法权益的重要使命。…</x:v>
      </x:c>
      <x:c r="L1062" s="26" t="str">
        <x:v>1. 负责全面管理公司的法律事务工作，包括但不限于合同审核、知识产权保护、诉讼仲裁处理等，确保公司各项业务活动依法依规进行。 2. 制定并实施公司法律风险管理计划，定期评估潜在的法律风险点，提出预防措施，降低公司面临的法…</x:v>
      </x:c>
    </x:row>
    <x:row r="1063" ht="72" customHeight="1">
      <x:c r="A1063" s="25" t="n">
        <x:v>11955</x:v>
      </x:c>
      <x:c r="B1063" s="25" t="str">
        <x:v>IC-L3-1212</x:v>
      </x:c>
      <x:c r="C1063" s="25" t="str">
        <x:v>法务经理</x:v>
      </x:c>
      <x:c r="D1063" s="25" t="str">
        <x:v>2-07-09-00</x:v>
      </x:c>
      <x:c r="E1063" s="25" t="str">
        <x:v>法律顾问</x:v>
      </x:c>
      <x:c r="F1063" s="28" t="n">
        <x:f>COUNTIF('岗位-产业节点关系'!$C$4:$C$709,B1063)</x:f>
        <x:v>0</x:v>
      </x:c>
      <x:c r="G1063" s="26" t="str">
        <x:f>IF(F1063=0,"未匹配（现有产业链范围未覆盖或证据不足）",IF(COUNTIFS('岗位-产业节点关系'!$C$4:$C$709,B1063,'岗位-产业节点关系'!$M$4:$M$709,"低")&gt;0,"已匹配，建议复核","已匹配"))</x:f>
        <x:v>未匹配（现有产业链范围未覆盖或证据不足）</x:v>
      </x:c>
      <x:c r="H1063" s="26" t="str">
        <x:v>-</x:v>
      </x:c>
      <x:c r="I1063" s="26" t="str"/>
      <x:c r="J1063" s="26" t="str"/>
      <x:c r="K1063" s="26" t="str">
        <x:v>法务经理是财务/税务/法务行业中不可或缺的角色之一，负责确保公司遵守所有相关的法律法规，通过有效的法律风险管理策略来保护公司的合法权益。作为企业内部法律顾问的核心人物，法务经理不仅需要具备扎实的专业知识和丰富的实践经验，…</x:v>
      </x:c>
      <x:c r="L1063" s="26" t="str">
        <x:v>1. 负责起草、审核各类合同文件及相关法律文书，确保其合法有效，避免不必要的法律纠纷。 2. 定期对公司现有规章制度进行合规性检查，及时发现并解决存在的问题，提出改进意见。 3. 组织实施员工法律培训，提高全员法制意识，…</x:v>
      </x:c>
    </x:row>
    <x:row r="1064" ht="72" customHeight="1">
      <x:c r="A1064" s="25" t="n">
        <x:v>11956</x:v>
      </x:c>
      <x:c r="B1064" s="25" t="str">
        <x:v>IC-L3-1213</x:v>
      </x:c>
      <x:c r="C1064" s="25" t="str">
        <x:v>法律顾问</x:v>
      </x:c>
      <x:c r="D1064" s="25" t="str">
        <x:v>2-07-09-00</x:v>
      </x:c>
      <x:c r="E1064" s="25" t="str">
        <x:v>法律顾问</x:v>
      </x:c>
      <x:c r="F1064" s="28" t="n">
        <x:f>COUNTIF('岗位-产业节点关系'!$C$4:$C$709,B1064)</x:f>
        <x:v>0</x:v>
      </x:c>
      <x:c r="G1064" s="26" t="str">
        <x:f>IF(F1064=0,"未匹配（现有产业链范围未覆盖或证据不足）",IF(COUNTIFS('岗位-产业节点关系'!$C$4:$C$709,B1064,'岗位-产业节点关系'!$M$4:$M$709,"低")&gt;0,"已匹配，建议复核","已匹配"))</x:f>
        <x:v>未匹配（现有产业链范围未覆盖或证据不足）</x:v>
      </x:c>
      <x:c r="H1064" s="26" t="str">
        <x:v>-</x:v>
      </x:c>
      <x:c r="I1064" s="26" t="str"/>
      <x:c r="J1064" s="26" t="str"/>
      <x:c r="K1064" s="26" t="str">
        <x:v>法律顾问在财务/税务/法务行业中扮演着至关重要的角色，他们通过专业的法律知识和服务，确保公司在遵守法律法规的前提下开展业务活动。作为公司内部的法律专家，法律顾问不仅能够为管理层提供及时有效的法律咨询和支持，还能帮助企业在…</x:v>
      </x:c>
      <x:c r="L1064" s="26" t="str">
        <x:v>1. 负责审查公司各类合同文本，确保其合法性与合规性，预防潜在法律风险。 2. 为公司各部门提供日常法律咨询服务，解答有关法律法规方面的问题，协助制定相关制度和流程。 3. 参与重大项目的谈判过程，从法律角度提出建议并草…</x:v>
      </x:c>
    </x:row>
    <x:row r="1065" ht="72" customHeight="1">
      <x:c r="A1065" s="25" t="n">
        <x:v>11957</x:v>
      </x:c>
      <x:c r="B1065" s="25" t="str">
        <x:v>IC-L3-1214</x:v>
      </x:c>
      <x:c r="C1065" s="25" t="str">
        <x:v>知识产权/专利/商标</x:v>
      </x:c>
      <x:c r="D1065" s="25" t="str">
        <x:v>2-06-12-01</x:v>
      </x:c>
      <x:c r="E1065" s="25" t="str">
        <x:v>专利代理专业人员</x:v>
      </x:c>
      <x:c r="F1065" s="28" t="n">
        <x:f>COUNTIF('岗位-产业节点关系'!$C$4:$C$709,B1065)</x:f>
        <x:v>0</x:v>
      </x:c>
      <x:c r="G1065" s="26" t="str">
        <x:f>IF(F1065=0,"未匹配（现有产业链范围未覆盖或证据不足）",IF(COUNTIFS('岗位-产业节点关系'!$C$4:$C$709,B1065,'岗位-产业节点关系'!$M$4:$M$709,"低")&gt;0,"已匹配，建议复核","已匹配"))</x:f>
        <x:v>未匹配（现有产业链范围未覆盖或证据不足）</x:v>
      </x:c>
      <x:c r="H1065" s="26" t="str">
        <x:v>-</x:v>
      </x:c>
      <x:c r="I1065" s="26" t="str"/>
      <x:c r="J1065" s="26" t="str"/>
      <x:c r="K1065" s="26" t="str">
        <x:v>知识产权/专利/商标专员是财务/税务/法务领域中不可或缺的专业人才，在保护企业无形资产方面扮演着至关重要的角色。随着科技的发展与市场竞争加剧，知识产权成为企业核心竞争力的关键组成部分之一，该职位负责确保公司产品或服务在法…</x:v>
      </x:c>
      <x:c r="L1065" s="26" t="str">
        <x:v>1. 负责公司产品的专利申请工作，包括但不限于技术资料收集整理、撰写专利文件、提交相关申请材料以及跟踪审批流程，确保所有新发明创造能够及时获得法律保护。 2. 定期审查市场上的竞争对手专利状况，分析其可能对公司业务造成的…</x:v>
      </x:c>
    </x:row>
    <x:row r="1066" ht="72" customHeight="1">
      <x:c r="A1066" s="25" t="n">
        <x:v>11958</x:v>
      </x:c>
      <x:c r="B1066" s="25" t="str">
        <x:v>IC-L3-1215</x:v>
      </x:c>
      <x:c r="C1066" s="25" t="str">
        <x:v>出纳</x:v>
      </x:c>
      <x:c r="D1066" s="25" t="str">
        <x:v>2-06-03-00</x:v>
      </x:c>
      <x:c r="E1066" s="25" t="str">
        <x:v>会计专业人员</x:v>
      </x:c>
      <x:c r="F1066" s="28" t="n">
        <x:f>COUNTIF('岗位-产业节点关系'!$C$4:$C$709,B1066)</x:f>
        <x:v>0</x:v>
      </x:c>
      <x:c r="G1066" s="26" t="str">
        <x:f>IF(F1066=0,"未匹配（现有产业链范围未覆盖或证据不足）",IF(COUNTIFS('岗位-产业节点关系'!$C$4:$C$709,B1066,'岗位-产业节点关系'!$M$4:$M$709,"低")&gt;0,"已匹配，建议复核","已匹配"))</x:f>
        <x:v>未匹配（现有产业链范围未覆盖或证据不足）</x:v>
      </x:c>
      <x:c r="H1066" s="26" t="str">
        <x:v>-</x:v>
      </x:c>
      <x:c r="I1066" s="26" t="str"/>
      <x:c r="J1066" s="26" t="str"/>
      <x:c r="K1066" s="26" t="str">
        <x:v>出纳是财务/税务/法务行业中不可或缺的角色之一，负责处理公司日常的现金收支事务，确保资金流动的安全与准确。作为连接企业内部与外部金融活动的关键节点，出纳员不仅需要具备良好的会计知识，还应掌握一定的法律常识，以应对各种财务…</x:v>
      </x:c>
      <x:c r="L1066" s="26" t="str">
        <x:v>1. 负责公司所有现金收付业务的操作，包括但不限于银行转账、现金支付等，确保每笔交易的准确无误。 2. 定期核对银行账户余额与实际库存现金，及时发现并解决差异问题，保证账实相符。 3. 编制每日、每周及每月的资金报表，提…</x:v>
      </x:c>
    </x:row>
    <x:row r="1067" ht="72" customHeight="1">
      <x:c r="A1067" s="25" t="n">
        <x:v>11959</x:v>
      </x:c>
      <x:c r="B1067" s="25" t="str">
        <x:v>IC-L3-1216</x:v>
      </x:c>
      <x:c r="C1067" s="25" t="str">
        <x:v>成本管理员</x:v>
      </x:c>
      <x:c r="D1067" s="25" t="str">
        <x:v>2-06-03-00</x:v>
      </x:c>
      <x:c r="E1067" s="25" t="str">
        <x:v>会计专业人员</x:v>
      </x:c>
      <x:c r="F1067" s="28" t="n">
        <x:f>COUNTIF('岗位-产业节点关系'!$C$4:$C$709,B1067)</x:f>
        <x:v>0</x:v>
      </x:c>
      <x:c r="G1067" s="26" t="str">
        <x:f>IF(F1067=0,"未匹配（现有产业链范围未覆盖或证据不足）",IF(COUNTIFS('岗位-产业节点关系'!$C$4:$C$709,B1067,'岗位-产业节点关系'!$M$4:$M$709,"低")&gt;0,"已匹配，建议复核","已匹配"))</x:f>
        <x:v>未匹配（现有产业链范围未覆盖或证据不足）</x:v>
      </x:c>
      <x:c r="H1067" s="26" t="str">
        <x:v>-</x:v>
      </x:c>
      <x:c r="I1067" s="26" t="str"/>
      <x:c r="J1067" s="26" t="str"/>
      <x:c r="K1067" s="26" t="str">
        <x:v>成本管理员是财务领域中不可或缺的专业角色，主要负责控制和优化企业运营成本，确保企业资源的有效利用。在现代企业管理中，成本管理对于提升企业的竞争力和盈利能力至关重要，因此成本管理员在企业中的地位日益凸显。 该职位的核心目标…</x:v>
      </x:c>
      <x:c r="L1067" s="26" t="str">
        <x:v>1. 负责公司各项成本数据的收集、整理与分析，定期编制成本报告，为管理层提供决策依据。 2. 参与制定并执行成本控制政策，监督各部门成本预算的执行情况，确保成本目标的达成。 3. 与相关部门沟通协调，推动成本节约措施的落…</x:v>
      </x:c>
    </x:row>
    <x:row r="1068" ht="72" customHeight="1">
      <x:c r="A1068" s="25" t="n">
        <x:v>11960</x:v>
      </x:c>
      <x:c r="B1068" s="25" t="str">
        <x:v>IC-L3-1217</x:v>
      </x:c>
      <x:c r="C1068" s="25" t="str">
        <x:v>成本经理/成本主管</x:v>
      </x:c>
      <x:c r="D1068" s="25" t="str">
        <x:v>2-06-03-00</x:v>
      </x:c>
      <x:c r="E1068" s="25" t="str">
        <x:v>会计专业人员</x:v>
      </x:c>
      <x:c r="F1068" s="28" t="n">
        <x:f>COUNTIF('岗位-产业节点关系'!$C$4:$C$709,B1068)</x:f>
        <x:v>0</x:v>
      </x:c>
      <x:c r="G1068" s="26" t="str">
        <x:f>IF(F1068=0,"未匹配（现有产业链范围未覆盖或证据不足）",IF(COUNTIFS('岗位-产业节点关系'!$C$4:$C$709,B1068,'岗位-产业节点关系'!$M$4:$M$709,"低")&gt;0,"已匹配，建议复核","已匹配"))</x:f>
        <x:v>未匹配（现有产业链范围未覆盖或证据不足）</x:v>
      </x:c>
      <x:c r="H1068" s="26" t="str">
        <x:v>-</x:v>
      </x:c>
      <x:c r="I1068" s="26" t="str"/>
      <x:c r="J1068" s="26" t="str"/>
      <x:c r="K1068" s="26" t="str">
        <x:v>成本经理或成本主管在财务行业中扮演着至关重要的角色，他们负责管理企业的成本控制体系，确保企业能够有效地优化资源利用并实现经济效益最大化。这一职位不仅要求具备扎实的专业知识和技能，还需要拥有良好的领导力与决策能力，以适应快…</x:v>
      </x:c>
      <x:c r="L1068" s="26" t="str">
        <x:v>1. 负责组织编制公司成本预算，监督执行情况并定期进行成本效益分析，确保成本控制目标达成。 2. 设计并优化成本管理体系，引入先进的成本控制方法和技术，持续改进成本管理水平。 3. 协调跨部门工作，与供应链、制造等部门密…</x:v>
      </x:c>
    </x:row>
    <x:row r="1069" ht="72" customHeight="1">
      <x:c r="A1069" s="25" t="n">
        <x:v>11961</x:v>
      </x:c>
      <x:c r="B1069" s="25" t="str">
        <x:v>IC-L3-1218</x:v>
      </x:c>
      <x:c r="C1069" s="25" t="str">
        <x:v>统计员</x:v>
      </x:c>
      <x:c r="D1069" s="25" t="str">
        <x:v>2-06-03-00</x:v>
      </x:c>
      <x:c r="E1069" s="25" t="str">
        <x:v>会计专业人员</x:v>
      </x:c>
      <x:c r="F1069" s="28" t="n">
        <x:f>COUNTIF('岗位-产业节点关系'!$C$4:$C$709,B1069)</x:f>
        <x:v>0</x:v>
      </x:c>
      <x:c r="G1069" s="26" t="str">
        <x:f>IF(F1069=0,"未匹配（现有产业链范围未覆盖或证据不足）",IF(COUNTIFS('岗位-产业节点关系'!$C$4:$C$709,B1069,'岗位-产业节点关系'!$M$4:$M$709,"低")&gt;0,"已匹配，建议复核","已匹配"))</x:f>
        <x:v>未匹配（现有产业链范围未覆盖或证据不足）</x:v>
      </x:c>
      <x:c r="H1069" s="26" t="str">
        <x:v>-</x:v>
      </x:c>
      <x:c r="I1069" s="26" t="str"/>
      <x:c r="J1069" s="26" t="str"/>
      <x:c r="K1069" s="26" t="str">
        <x:v>统计员是财务/税务/法务行业中不可或缺的角色之一，他们通过精确的数据收集与分析，为企业提供决策支持，确保企业运营活动的高效与合规。在日常工作中，统计员负责处理大量财务数据，通过专业的统计方法和技术手段，为企业管理层提供准…</x:v>
      </x:c>
      <x:c r="L1069" s="26" t="str">
        <x:v>1. 负责公司各类财务数据的收集、整理与核对工作，确保数据的真实性和准确性。 2. 运用统计学原理和方法对公司财务状况进行深度分析，定期出具财务报告，为管理层制定战略决策提供依据。 3. 协助财务经理编制年度预算计划，跟…</x:v>
      </x:c>
    </x:row>
    <x:row r="1070" ht="72" customHeight="1">
      <x:c r="A1070" s="25" t="n">
        <x:v>11962</x:v>
      </x:c>
      <x:c r="B1070" s="25" t="str">
        <x:v>IC-L3-1219</x:v>
      </x:c>
      <x:c r="C1070" s="25" t="str">
        <x:v>财务专员</x:v>
      </x:c>
      <x:c r="D1070" s="25" t="str">
        <x:v>2-06-03-00</x:v>
      </x:c>
      <x:c r="E1070" s="25" t="str">
        <x:v>会计专业人员</x:v>
      </x:c>
      <x:c r="F1070" s="28" t="n">
        <x:f>COUNTIF('岗位-产业节点关系'!$C$4:$C$709,B1070)</x:f>
        <x:v>0</x:v>
      </x:c>
      <x:c r="G1070" s="26" t="str">
        <x:f>IF(F1070=0,"未匹配（现有产业链范围未覆盖或证据不足）",IF(COUNTIFS('岗位-产业节点关系'!$C$4:$C$709,B1070,'岗位-产业节点关系'!$M$4:$M$709,"低")&gt;0,"已匹配，建议复核","已匹配"))</x:f>
        <x:v>未匹配（现有产业链范围未覆盖或证据不足）</x:v>
      </x:c>
      <x:c r="H1070" s="26" t="str">
        <x:v>-</x:v>
      </x:c>
      <x:c r="I1070" s="26" t="str"/>
      <x:c r="J1070" s="26" t="str"/>
      <x:c r="K1070" s="26" t="str">
        <x:v>财务专员是财务/税务/法务行业中不可或缺的角色之一，他们通过准确的财务记录与分析支持企业的运营决策，确保公司财务活动符合相关法律法规要求。作为财务团队的一员，财务专员不仅需要具备扎实的专业知识，还应拥有良好的沟通能力和团…</x:v>
      </x:c>
      <x:c r="L1070" s="26" t="str">
        <x:v>1. 负责公司日常会计凭证的编制，确保所有交易记录及时、准确无误地录入系统，以满足内部管理和外部审计的需求。 2. 定期进行财务报表的编制与分析，包括但不限于资产负债表、利润表和现金流量表，为管理层提供必要的财务信息，支…</x:v>
      </x:c>
    </x:row>
    <x:row r="1071" ht="72" customHeight="1">
      <x:c r="A1071" s="25" t="n">
        <x:v>11963</x:v>
      </x:c>
      <x:c r="B1071" s="25" t="str">
        <x:v>IC-L3-1220</x:v>
      </x:c>
      <x:c r="C1071" s="25" t="str">
        <x:v>财务主管/总账主管</x:v>
      </x:c>
      <x:c r="D1071" s="25" t="str">
        <x:v>2-06-03-00</x:v>
      </x:c>
      <x:c r="E1071" s="25" t="str">
        <x:v>会计专业人员</x:v>
      </x:c>
      <x:c r="F1071" s="28" t="n">
        <x:f>COUNTIF('岗位-产业节点关系'!$C$4:$C$709,B1071)</x:f>
        <x:v>0</x:v>
      </x:c>
      <x:c r="G1071" s="26" t="str">
        <x:f>IF(F1071=0,"未匹配（现有产业链范围未覆盖或证据不足）",IF(COUNTIFS('岗位-产业节点关系'!$C$4:$C$709,B1071,'岗位-产业节点关系'!$M$4:$M$709,"低")&gt;0,"已匹配，建议复核","已匹配"))</x:f>
        <x:v>未匹配（现有产业链范围未覆盖或证据不足）</x:v>
      </x:c>
      <x:c r="H1071" s="26" t="str">
        <x:v>-</x:v>
      </x:c>
      <x:c r="I1071" s="26" t="str"/>
      <x:c r="J1071" s="26" t="str"/>
      <x:c r="K1071" s="26" t="str">
        <x:v>财务主管/总账主管是企业财务管理中的关键角色，负责监督和管理公司的会计和财务报告系统，确保财务数据的准确性和及时性。通过有效的财务管理，该职位能够帮助企业优化资源分配，提高运营效率，减少财务风险，从而支持企业的长期稳定发…</x:v>
      </x:c>
      <x:c r="L1071" s="26" t="str">
        <x:v>1. 负责制定和完善公司财务政策、流程及制度，指导下属员工执行并监控实施效果，确保公司财务运作规范有序。 2. 组织编制月度、季度和年度财务报表，进行财务分析，为管理层提供决策依据，确保财务信息的真实、完整、及时。 3.…</x:v>
      </x:c>
    </x:row>
    <x:row r="1072" ht="72" customHeight="1">
      <x:c r="A1072" s="25" t="n">
        <x:v>11964</x:v>
      </x:c>
      <x:c r="B1072" s="25" t="str">
        <x:v>IC-L3-1221</x:v>
      </x:c>
      <x:c r="C1072" s="25" t="str">
        <x:v>财务分析员</x:v>
      </x:c>
      <x:c r="D1072" s="25" t="str">
        <x:v>2-06-03-00</x:v>
      </x:c>
      <x:c r="E1072" s="25" t="str">
        <x:v>会计专业人员</x:v>
      </x:c>
      <x:c r="F1072" s="28" t="n">
        <x:f>COUNTIF('岗位-产业节点关系'!$C$4:$C$709,B1072)</x:f>
        <x:v>0</x:v>
      </x:c>
      <x:c r="G1072" s="26" t="str">
        <x:f>IF(F1072=0,"未匹配（现有产业链范围未覆盖或证据不足）",IF(COUNTIFS('岗位-产业节点关系'!$C$4:$C$709,B1072,'岗位-产业节点关系'!$M$4:$M$709,"低")&gt;0,"已匹配，建议复核","已匹配"))</x:f>
        <x:v>未匹配（现有产业链范围未覆盖或证据不足）</x:v>
      </x:c>
      <x:c r="H1072" s="26" t="str">
        <x:v>-</x:v>
      </x:c>
      <x:c r="I1072" s="26" t="str"/>
      <x:c r="J1072" s="26" t="str"/>
      <x:c r="K1072" s="26" t="str">
        <x:v>财务分析员是财务/税务/法务行业中不可或缺的专业人才，主要负责公司财务状况的全面分析与评估，通过深入研究财务数据来支持决策制定，确保企业运营的高效性和可持续性。这一角色不仅要求具备扎实的财务知识，还需要拥有敏锐的数据洞察…</x:v>
      </x:c>
      <x:c r="L1072" s="26" t="str">
        <x:v>1. 定期编制各类财务报告，包括但不限于利润表、资产负债表、现金流量表等，确保数据的真实性和准确性。 2. 对公司历史财务数据进行深度分析，识别关键财务指标的变化趋势，预测未来可能存在的风险点并提出改进建议。 3. 参与…</x:v>
      </x:c>
    </x:row>
    <x:row r="1073" ht="72" customHeight="1">
      <x:c r="A1073" s="25" t="n">
        <x:v>11965</x:v>
      </x:c>
      <x:c r="B1073" s="25" t="str">
        <x:v>IC-L3-1222</x:v>
      </x:c>
      <x:c r="C1073" s="25" t="str">
        <x:v>财务分析经理/主管</x:v>
      </x:c>
      <x:c r="D1073" s="25" t="str">
        <x:v>2-06-03-00</x:v>
      </x:c>
      <x:c r="E1073" s="25" t="str">
        <x:v>会计专业人员</x:v>
      </x:c>
      <x:c r="F1073" s="28" t="n">
        <x:f>COUNTIF('岗位-产业节点关系'!$C$4:$C$709,B1073)</x:f>
        <x:v>0</x:v>
      </x:c>
      <x:c r="G1073" s="26" t="str">
        <x:f>IF(F1073=0,"未匹配（现有产业链范围未覆盖或证据不足）",IF(COUNTIFS('岗位-产业节点关系'!$C$4:$C$709,B1073,'岗位-产业节点关系'!$M$4:$M$709,"低")&gt;0,"已匹配，建议复核","已匹配"))</x:f>
        <x:v>未匹配（现有产业链范围未覆盖或证据不足）</x:v>
      </x:c>
      <x:c r="H1073" s="26" t="str">
        <x:v>-</x:v>
      </x:c>
      <x:c r="I1073" s="26" t="str"/>
      <x:c r="J1073" s="26" t="str"/>
      <x:c r="K1073" s="26" t="str">
        <x:v>财务分析经理/主管是财务/税务/法务行业中不可或缺的专业人才，主要负责企业内部财务数据的分析与解读，为企业决策提供准确的数据支持。通过深入研究企业的财务状况，财务分析经理/主管能够帮助企业优化成本控制、提高资金使用效率，…</x:v>
      </x:c>
      <x:c r="L1073" s="26" t="str">
        <x:v>1. 定期收集并整理公司财务报表及市场信息，运用专业工具进行深入分析，形成财务报告，为管理层制定战略决策提供依据。 2. 对公司各项业务活动的成本效益进行评估，识别潜在风险点，提出改进建议，协助优化成本结构，提升盈利能力…</x:v>
      </x:c>
    </x:row>
    <x:row r="1074" ht="72" customHeight="1">
      <x:c r="A1074" s="25" t="n">
        <x:v>11966</x:v>
      </x:c>
      <x:c r="B1074" s="25" t="str">
        <x:v>IC-L3-1223</x:v>
      </x:c>
      <x:c r="C1074" s="25" t="str">
        <x:v>财务经理</x:v>
      </x:c>
      <x:c r="D1074" s="25" t="str">
        <x:v>2-06-03-00</x:v>
      </x:c>
      <x:c r="E1074" s="25" t="str">
        <x:v>会计专业人员</x:v>
      </x:c>
      <x:c r="F1074" s="28" t="n">
        <x:f>COUNTIF('岗位-产业节点关系'!$C$4:$C$709,B1074)</x:f>
        <x:v>0</x:v>
      </x:c>
      <x:c r="G1074" s="26" t="str">
        <x:f>IF(F1074=0,"未匹配（现有产业链范围未覆盖或证据不足）",IF(COUNTIFS('岗位-产业节点关系'!$C$4:$C$709,B1074,'岗位-产业节点关系'!$M$4:$M$709,"低")&gt;0,"已匹配，建议复核","已匹配"))</x:f>
        <x:v>未匹配（现有产业链范围未覆盖或证据不足）</x:v>
      </x:c>
      <x:c r="H1074" s="26" t="str">
        <x:v>-</x:v>
      </x:c>
      <x:c r="I1074" s="26" t="str"/>
      <x:c r="J1074" s="26" t="str"/>
      <x:c r="K1074" s="26" t="str">
        <x:v>财务经理是财务/税务/法务行业中至关重要的角色，负责确保公司财务活动的高效运行与合规管理。作为企业财务管理的核心人物，财务经理不仅需要具备扎实的专业知识和丰富的实践经验，还需要拥有敏锐的市场洞察力和卓越的领导能力，以适应…</x:v>
      </x:c>
      <x:c r="L1074" s="26" t="str">
        <x:v>1. 制定并执行全面的财务策略，包括预算编制、成本控制以及现金流管理，确保公司财务状况健康稳定。 2. 定期审核财务报表，分析财务数据，向管理层提供精准的财务报告和建议，辅助公司战略决策。 3. 负责税务筹划与申报工作，…</x:v>
      </x:c>
    </x:row>
    <x:row r="1075" ht="72" customHeight="1">
      <x:c r="A1075" s="25" t="n">
        <x:v>11967</x:v>
      </x:c>
      <x:c r="B1075" s="25" t="str">
        <x:v>IC-L3-1224</x:v>
      </x:c>
      <x:c r="C1075" s="25" t="str">
        <x:v>财务顾问</x:v>
      </x:c>
      <x:c r="D1075" s="25" t="str">
        <x:v>2-06-03-00</x:v>
      </x:c>
      <x:c r="E1075" s="25" t="str">
        <x:v>会计专业人员</x:v>
      </x:c>
      <x:c r="F1075" s="28" t="n">
        <x:f>COUNTIF('岗位-产业节点关系'!$C$4:$C$709,B1075)</x:f>
        <x:v>0</x:v>
      </x:c>
      <x:c r="G1075" s="26" t="str">
        <x:f>IF(F1075=0,"未匹配（现有产业链范围未覆盖或证据不足）",IF(COUNTIFS('岗位-产业节点关系'!$C$4:$C$709,B1075,'岗位-产业节点关系'!$M$4:$M$709,"低")&gt;0,"已匹配，建议复核","已匹配"))</x:f>
        <x:v>未匹配（现有产业链范围未覆盖或证据不足）</x:v>
      </x:c>
      <x:c r="H1075" s="26" t="str">
        <x:v>-</x:v>
      </x:c>
      <x:c r="I1075" s="26" t="str"/>
      <x:c r="J1075" s="26" t="str"/>
      <x:c r="K1075" s="26" t="str">
        <x:v>财务顾问是财务/税务/法务行业中不可或缺的专业人才，他们通过提供专业的财务咨询与服务，帮助客户或企业解决复杂的财务问题，优化财务流程，提高资金使用效率，从而在市场竞争中占据有利地位。作为公司财务战略的重要组成部分，财务顾…</x:v>
      </x:c>
      <x:c r="L1075" s="26" t="str">
        <x:v>1. 为客户提供全面的财务咨询服务，包括但不限于财务规划、成本控制、投资分析等，旨在帮助客户改善财务状况，实现资产增值。 2. 定期进行财务报表分析，识别潜在的财务风险点，提出有效的风险防控措施，保障企业资金安全。 3.…</x:v>
      </x:c>
    </x:row>
    <x:row r="1076" ht="72" customHeight="1">
      <x:c r="A1076" s="25" t="n">
        <x:v>11968</x:v>
      </x:c>
      <x:c r="B1076" s="25" t="str">
        <x:v>IC-L3-1225</x:v>
      </x:c>
      <x:c r="C1076" s="25" t="str">
        <x:v>资金专员</x:v>
      </x:c>
      <x:c r="D1076" s="25" t="str">
        <x:v>2-06-03-00</x:v>
      </x:c>
      <x:c r="E1076" s="25" t="str">
        <x:v>会计专业人员</x:v>
      </x:c>
      <x:c r="F1076" s="28" t="n">
        <x:f>COUNTIF('岗位-产业节点关系'!$C$4:$C$709,B1076)</x:f>
        <x:v>0</x:v>
      </x:c>
      <x:c r="G1076" s="26" t="str">
        <x:f>IF(F1076=0,"未匹配（现有产业链范围未覆盖或证据不足）",IF(COUNTIFS('岗位-产业节点关系'!$C$4:$C$709,B1076,'岗位-产业节点关系'!$M$4:$M$709,"低")&gt;0,"已匹配，建议复核","已匹配"))</x:f>
        <x:v>未匹配（现有产业链范围未覆盖或证据不足）</x:v>
      </x:c>
      <x:c r="H1076" s="26" t="str">
        <x:v>-</x:v>
      </x:c>
      <x:c r="I1076" s="26" t="str"/>
      <x:c r="J1076" s="26" t="str"/>
      <x:c r="K1076" s="26" t="str">
        <x:v>资金专员是财务/税务/法务行业中不可或缺的专业人才，在企业资金管理中扮演着至关重要的角色。通过确保公司资金的安全与高效运作，资金专员不仅能够支持日常运营，还能为企业的长远发展提供坚实的财务保障。此外，资金专员还需要与其他…</x:v>
      </x:c>
      <x:c r="L1076" s="26" t="str">
        <x:v>1. 负责公司银行账户的日常管理和维护，确保所有交易记录准确无误，及时更新账户信息，保障资金安全。 2. 定期编制并审核现金流量表，分析资金流入流出情况，预测未来资金需求，协助管理层做出合理决策。 3. 与金融机构建立良…</x:v>
      </x:c>
    </x:row>
    <x:row r="1077" ht="72" customHeight="1">
      <x:c r="A1077" s="25" t="n">
        <x:v>11969</x:v>
      </x:c>
      <x:c r="B1077" s="25" t="str">
        <x:v>IC-L3-1226</x:v>
      </x:c>
      <x:c r="C1077" s="25" t="str">
        <x:v>资金经理/主管</x:v>
      </x:c>
      <x:c r="D1077" s="25" t="str">
        <x:v>2-06-03-00</x:v>
      </x:c>
      <x:c r="E1077" s="25" t="str">
        <x:v>会计专业人员</x:v>
      </x:c>
      <x:c r="F1077" s="28" t="n">
        <x:f>COUNTIF('岗位-产业节点关系'!$C$4:$C$709,B1077)</x:f>
        <x:v>0</x:v>
      </x:c>
      <x:c r="G1077" s="26" t="str">
        <x:f>IF(F1077=0,"未匹配（现有产业链范围未覆盖或证据不足）",IF(COUNTIFS('岗位-产业节点关系'!$C$4:$C$709,B1077,'岗位-产业节点关系'!$M$4:$M$709,"低")&gt;0,"已匹配，建议复核","已匹配"))</x:f>
        <x:v>未匹配（现有产业链范围未覆盖或证据不足）</x:v>
      </x:c>
      <x:c r="H1077" s="26" t="str">
        <x:v>-</x:v>
      </x:c>
      <x:c r="I1077" s="26" t="str"/>
      <x:c r="J1077" s="26" t="str"/>
      <x:c r="K1077" s="26" t="str">
        <x:v>资金经理/主管是财务领域中至关重要的角色，负责管理企业的资金流动，确保公司能够有效地利用财务资源以支持其战略目标。此职位不仅需要具备出色的财务管理能力，还需要拥有敏锐的市场洞察力，以便于及时调整资金策略应对市场变化。作为…</x:v>
      </x:c>
      <x:c r="L1077" s="26" t="str">
        <x:v>资金经理/主管的主要职责包括：负责公司资金运作的整体规划与管理，确保资金安全与合理配置；制定并执行资金筹集、投资、融资策略；监控资金流动状况，及时调整资金使用计划；与金融机构保持良好沟通，维护资金渠道；进行财务分析，为公…</x:v>
      </x:c>
    </x:row>
    <x:row r="1078" ht="72" customHeight="1">
      <x:c r="A1078" s="25" t="n">
        <x:v>11970</x:v>
      </x:c>
      <x:c r="B1078" s="25" t="str">
        <x:v>IC-L3-1227</x:v>
      </x:c>
      <x:c r="C1078" s="25" t="str">
        <x:v>首席财务官CFO</x:v>
      </x:c>
      <x:c r="D1078" s="25" t="str">
        <x:v>2-06-03-00</x:v>
      </x:c>
      <x:c r="E1078" s="25" t="str">
        <x:v>会计专业人员</x:v>
      </x:c>
      <x:c r="F1078" s="28" t="n">
        <x:f>COUNTIF('岗位-产业节点关系'!$C$4:$C$709,B1078)</x:f>
        <x:v>0</x:v>
      </x:c>
      <x:c r="G1078" s="26" t="str">
        <x:f>IF(F1078=0,"未匹配（现有产业链范围未覆盖或证据不足）",IF(COUNTIFS('岗位-产业节点关系'!$C$4:$C$709,B1078,'岗位-产业节点关系'!$M$4:$M$709,"低")&gt;0,"已匹配，建议复核","已匹配"))</x:f>
        <x:v>未匹配（现有产业链范围未覆盖或证据不足）</x:v>
      </x:c>
      <x:c r="H1078" s="26" t="str">
        <x:v>-</x:v>
      </x:c>
      <x:c r="I1078" s="26" t="str"/>
      <x:c r="J1078" s="26" t="str"/>
      <x:c r="K1078" s="26" t="str">
        <x:v>首席财务官（CFO）是财务/税务/法务行业中不可或缺的关键角色，负责领导企业的财务战略和决策，确保公司财务健康与合规运营。作为企业最高级别的财务管理者，CFO不仅需要具备卓越的财务管理能力，还需拥有前瞻性的商业洞察力，以…</x:v>
      </x:c>
      <x:c r="L1078" s="26" t="str">
        <x:v>1. 制定公司中长期财务规划，指导各部门编制年度预算，确保资源合理分配，达成公司整体业绩目标。 2. 监控日常财务活动，定期审查财务报表，及时发现潜在问题并提出改进措施，保障公司资产安全。 3. 负责与外部审计机构沟通协…</x:v>
      </x:c>
    </x:row>
    <x:row r="1079" ht="72" customHeight="1">
      <x:c r="A1079" s="25" t="n">
        <x:v>11971</x:v>
      </x:c>
      <x:c r="B1079" s="25" t="str">
        <x:v>IC-L3-1228</x:v>
      </x:c>
      <x:c r="C1079" s="25" t="str">
        <x:v>高级财务总监/财务总监</x:v>
      </x:c>
      <x:c r="D1079" s="25" t="str">
        <x:v>2-06-03-00</x:v>
      </x:c>
      <x:c r="E1079" s="25" t="str">
        <x:v>会计专业人员</x:v>
      </x:c>
      <x:c r="F1079" s="28" t="n">
        <x:f>COUNTIF('岗位-产业节点关系'!$C$4:$C$709,B1079)</x:f>
        <x:v>0</x:v>
      </x:c>
      <x:c r="G1079" s="26" t="str">
        <x:f>IF(F1079=0,"未匹配（现有产业链范围未覆盖或证据不足）",IF(COUNTIFS('岗位-产业节点关系'!$C$4:$C$709,B1079,'岗位-产业节点关系'!$M$4:$M$709,"低")&gt;0,"已匹配，建议复核","已匹配"))</x:f>
        <x:v>未匹配（现有产业链范围未覆盖或证据不足）</x:v>
      </x:c>
      <x:c r="H1079" s="26" t="str">
        <x:v>-</x:v>
      </x:c>
      <x:c r="I1079" s="26" t="str"/>
      <x:c r="J1079" s="26" t="str"/>
      <x:c r="K1079" s="26" t="str">
        <x:v>高级财务总监或财务总监是企业中不可或缺的关键角色，他们负责监督公司的财务健康，确保企业的长期稳定发展。作为财务部门的领导者，他们不仅需要具备深厚的专业知识，还需拥有卓越的战略思维能力，以应对复杂的市场环境变化。 该职位的…</x:v>
      </x:c>
      <x:c r="L1079" s="26" t="str">
        <x:v>1. 制定并执行全面的财务战略，确保公司财务目标的实现及长期可持续发展。 2. 监控日常财务活动，包括预算编制、成本控制、资金调度等，确保公司财务健康运行。 3. 组织开展内部审计工作，评估内部控制体系的有效性，及时发现…</x:v>
      </x:c>
    </x:row>
    <x:row r="1080" ht="72" customHeight="1">
      <x:c r="A1080" s="25" t="n">
        <x:v>11972</x:v>
      </x:c>
      <x:c r="B1080" s="25" t="str">
        <x:v>IC-L3-1229</x:v>
      </x:c>
      <x:c r="C1080" s="25" t="str">
        <x:v>首席财务官CFO</x:v>
      </x:c>
      <x:c r="D1080" s="25" t="str">
        <x:v>2-06-03-00</x:v>
      </x:c>
      <x:c r="E1080" s="25" t="str">
        <x:v>会计专业人员</x:v>
      </x:c>
      <x:c r="F1080" s="28" t="n">
        <x:f>COUNTIF('岗位-产业节点关系'!$C$4:$C$709,B1080)</x:f>
        <x:v>0</x:v>
      </x:c>
      <x:c r="G1080" s="26" t="str">
        <x:f>IF(F1080=0,"未匹配（现有产业链范围未覆盖或证据不足）",IF(COUNTIFS('岗位-产业节点关系'!$C$4:$C$709,B1080,'岗位-产业节点关系'!$M$4:$M$709,"低")&gt;0,"已匹配，建议复核","已匹配"))</x:f>
        <x:v>未匹配（现有产业链范围未覆盖或证据不足）</x:v>
      </x:c>
      <x:c r="H1080" s="26" t="str">
        <x:v>-</x:v>
      </x:c>
      <x:c r="I1080" s="26" t="str"/>
      <x:c r="J1080" s="26" t="str"/>
      <x:c r="K1080" s="26" t="str">
        <x:v>首席财务官（CFO）是企业中至关重要的领导角色之一，在财务/税务/法务行业中尤其突出。作为企业的财务战略家，CFO不仅负责监督和管理公司的所有财务活动，还参与制定公司的长期发展战略，确保公司的财务健康与稳定发展。 首席财…</x:v>
      </x:c>
      <x:c r="L1080" s="26" t="str">
        <x:v>1. 制定并执行全面的财务政策、流程及控制体系，确保符合相关法律法规要求，降低企业运营风险。 2. 分析评估公司财务状况，定期编制财务报表，向董事会汇报财务成果及预测未来趋势，支持决策层做出明智的商业判断。 3. 负责融…</x:v>
      </x:c>
    </x:row>
    <x:row r="1081" ht="72" customHeight="1">
      <x:c r="A1081" s="25" t="n">
        <x:v>11973</x:v>
      </x:c>
      <x:c r="B1081" s="25" t="str">
        <x:v>IC-L3-1230</x:v>
      </x:c>
      <x:c r="C1081" s="25" t="str">
        <x:v>高级财务总监/财务总监</x:v>
      </x:c>
      <x:c r="D1081" s="25" t="str">
        <x:v>2-06-03-00</x:v>
      </x:c>
      <x:c r="E1081" s="25" t="str">
        <x:v>会计专业人员</x:v>
      </x:c>
      <x:c r="F1081" s="28" t="n">
        <x:f>COUNTIF('岗位-产业节点关系'!$C$4:$C$709,B1081)</x:f>
        <x:v>0</x:v>
      </x:c>
      <x:c r="G1081" s="26" t="str">
        <x:f>IF(F1081=0,"未匹配（现有产业链范围未覆盖或证据不足）",IF(COUNTIFS('岗位-产业节点关系'!$C$4:$C$709,B1081,'岗位-产业节点关系'!$M$4:$M$709,"低")&gt;0,"已匹配，建议复核","已匹配"))</x:f>
        <x:v>未匹配（现有产业链范围未覆盖或证据不足）</x:v>
      </x:c>
      <x:c r="H1081" s="26" t="str">
        <x:v>-</x:v>
      </x:c>
      <x:c r="I1081" s="26" t="str"/>
      <x:c r="J1081" s="26" t="str"/>
      <x:c r="K1081" s="26" t="str">
        <x:v>高级财务总监/财务总监是财务/税务/法务领域中的关键领导角色，负责监督公司的整体财务状况，确保公司财务健康和合规运营。作为公司的财务战略家，他们不仅需要具备出色的财务分析能力和敏锐的市场洞察力，还需能够制定并执行有效的财…</x:v>
      </x:c>
      <x:c r="L1081" s="26" t="str">
        <x:v>1. 制定并实施全面的财务政策、程序和内部控制体系，确保所有财务活动符合相关法律法规要求，降低企业风险。 2. 监控和预测公司的财务表现，定期向董事会报告财务状况、现金流情况及盈利水平，提出改进建议以提高经济效益。 3.…</x:v>
      </x:c>
    </x:row>
    <x:row r="1082" ht="72" customHeight="1">
      <x:c r="A1082" s="25" t="n">
        <x:v>11974</x:v>
      </x:c>
      <x:c r="B1082" s="25" t="str">
        <x:v>IC-L3-1231</x:v>
      </x:c>
      <x:c r="C1082" s="25" t="str">
        <x:v>资产管理</x:v>
      </x:c>
      <x:c r="D1082" s="25" t="str">
        <x:v>2-06-03-00</x:v>
      </x:c>
      <x:c r="E1082" s="25" t="str">
        <x:v>会计专业人员</x:v>
      </x:c>
      <x:c r="F1082" s="28" t="n">
        <x:f>COUNTIF('岗位-产业节点关系'!$C$4:$C$709,B1082)</x:f>
        <x:v>0</x:v>
      </x:c>
      <x:c r="G1082" s="26" t="str">
        <x:f>IF(F1082=0,"未匹配（现有产业链范围未覆盖或证据不足）",IF(COUNTIFS('岗位-产业节点关系'!$C$4:$C$709,B1082,'岗位-产业节点关系'!$M$4:$M$709,"低")&gt;0,"已匹配，建议复核","已匹配"))</x:f>
        <x:v>未匹配（现有产业链范围未覆盖或证据不足）</x:v>
      </x:c>
      <x:c r="H1082" s="26" t="str">
        <x:v>-</x:v>
      </x:c>
      <x:c r="I1082" s="26" t="str"/>
      <x:c r="J1082" s="26" t="str"/>
      <x:c r="K1082" s="26" t="str">
        <x:v>资产管理是专门从事资产配置、投资分析和风险管控的高级财务专业人员。该职位的核心目标是通过优化资产组合和提升投资回报率，实现公司资产保值增值。在日常工作中，需要进行投资策略制定、资产绩效评估、市场趋势分析及风险管理等工作。</x:v>
      </x:c>
      <x:c r="L1082" s="26" t="str">
        <x:v>1. 制定资产配置方案 2. 优化投资组合结构 3. 监控市场风险变化 4. 评估资产运营效益 5. 编制财务分析报告 6. 执行资产处置决策</x:v>
      </x:c>
    </x:row>
    <x:row r="1083" ht="72" customHeight="1">
      <x:c r="A1083" s="25" t="n">
        <x:v>11975</x:v>
      </x:c>
      <x:c r="B1083" s="25" t="str">
        <x:v>IC-L3-1232</x:v>
      </x:c>
      <x:c r="C1083" s="25" t="str">
        <x:v>成本管理员</x:v>
      </x:c>
      <x:c r="D1083" s="25" t="str">
        <x:v>2-06-03-00</x:v>
      </x:c>
      <x:c r="E1083" s="25" t="str">
        <x:v>会计专业人员</x:v>
      </x:c>
      <x:c r="F1083" s="28" t="n">
        <x:f>COUNTIF('岗位-产业节点关系'!$C$4:$C$709,B1083)</x:f>
        <x:v>0</x:v>
      </x:c>
      <x:c r="G1083" s="26" t="str">
        <x:f>IF(F1083=0,"未匹配（现有产业链范围未覆盖或证据不足）",IF(COUNTIFS('岗位-产业节点关系'!$C$4:$C$709,B1083,'岗位-产业节点关系'!$M$4:$M$709,"低")&gt;0,"已匹配，建议复核","已匹配"))</x:f>
        <x:v>未匹配（现有产业链范围未覆盖或证据不足）</x:v>
      </x:c>
      <x:c r="H1083" s="26" t="str">
        <x:v>-</x:v>
      </x:c>
      <x:c r="I1083" s="26" t="str"/>
      <x:c r="J1083" s="26" t="str"/>
      <x:c r="K1083" s="26" t="str">
        <x:v>成本管理员是专门从事企业成本核算与管控的专业人员。该职位的核心目标是通过精细化成本管理，实现企业降本增效和利润最大化。在日常工作中，需要进行成本数据收集与分析、预算编制与执行监控、成本优化方案制定与实施等工作。</x:v>
      </x:c>
      <x:c r="L1083" s="26" t="str">
        <x:v>1. 编制成本预算方案 2. 监控成本执行情况 3. 分析成本差异原因 4. 优化成本控制流程 5. 编制成本分析报告 6. 参与财务决策支持</x:v>
      </x:c>
    </x:row>
    <x:row r="1084" ht="72" customHeight="1">
      <x:c r="A1084" s="25" t="n">
        <x:v>11976</x:v>
      </x:c>
      <x:c r="B1084" s="25" t="str">
        <x:v>IC-L3-1233</x:v>
      </x:c>
      <x:c r="C1084" s="25" t="str">
        <x:v>产品运营</x:v>
      </x:c>
      <x:c r="D1084" s="25" t="str">
        <x:v>4-04-05-01</x:v>
      </x:c>
      <x:c r="E1084" s="25" t="str">
        <x:v>计算机程序设计员</x:v>
      </x:c>
      <x:c r="F1084" s="28" t="n">
        <x:f>COUNTIF('岗位-产业节点关系'!$C$4:$C$709,B1084)</x:f>
        <x:v>1</x:v>
      </x:c>
      <x:c r="G1084" s="26" t="str">
        <x:f>IF(F1084=0,"未匹配（现有产业链范围未覆盖或证据不足）",IF(COUNTIFS('岗位-产业节点关系'!$C$4:$C$709,B1084,'岗位-产业节点关系'!$M$4:$M$709,"低")&gt;0,"已匹配，建议复核","已匹配"))</x:f>
        <x:v>已匹配，建议复核</x:v>
      </x:c>
      <x:c r="H1084" s="26" t="str">
        <x:v>低</x:v>
      </x:c>
      <x:c r="I1084" s="26" t="str">
        <x:v>ICN002</x:v>
      </x:c>
      <x:c r="J1084" s="26" t="str">
        <x:v>数据要素与数字经济产业链/中游/数据治理、流通与服务</x:v>
      </x:c>
      <x:c r="K1084" s="26" t="str">
        <x:v>产品运营是运营领域中不可或缺的一部分，它不仅连接了产品与用户之间的桥梁，还起到了推动产品持续优化和市场适应性的关键作用。作为业务运营的重要分支，产品运营人员通过深入了解用户需求，不断挖掘产品的潜在价值，以提高用户体验和满…</x:v>
      </x:c>
      <x:c r="L1084" s="26" t="str">
        <x:v>1. 负责收集并分析用户反馈及市场数据，定期向产品团队提供改进建议，确保产品功能满足市场需求，提升用户体验。 2. 制定并执行产品推广计划，通过线上线下活动等形式扩大品牌影响力，提高产品的市场占有率。 3. 协调跨部门资…</x:v>
      </x:c>
    </x:row>
    <x:row r="1085" ht="72" customHeight="1">
      <x:c r="A1085" s="25" t="n">
        <x:v>11977</x:v>
      </x:c>
      <x:c r="B1085" s="25" t="str">
        <x:v>IC-L3-1234</x:v>
      </x:c>
      <x:c r="C1085" s="25" t="str">
        <x:v>数据运营</x:v>
      </x:c>
      <x:c r="D1085" s="25" t="str">
        <x:v>2-02-10-03</x:v>
      </x:c>
      <x:c r="E1085" s="25" t="str">
        <x:v>计算机软件工程技术人员</x:v>
      </x:c>
      <x:c r="F1085" s="28" t="n">
        <x:f>COUNTIF('岗位-产业节点关系'!$C$4:$C$709,B1085)</x:f>
        <x:v>1</x:v>
      </x:c>
      <x:c r="G1085" s="26" t="str">
        <x:f>IF(F1085=0,"未匹配（现有产业链范围未覆盖或证据不足）",IF(COUNTIFS('岗位-产业节点关系'!$C$4:$C$709,B1085,'岗位-产业节点关系'!$M$4:$M$709,"低")&gt;0,"已匹配，建议复核","已匹配"))</x:f>
        <x:v>已匹配</x:v>
      </x:c>
      <x:c r="H1085" s="26" t="str">
        <x:v>中</x:v>
      </x:c>
      <x:c r="I1085" s="26" t="str">
        <x:v>ICN003</x:v>
      </x:c>
      <x:c r="J1085" s="26" t="str">
        <x:v>数据要素与数字经济产业链/下游/数字经济场景应用与内容创意</x:v>
      </x:c>
      <x:c r="K1085" s="26" t="str">
        <x:v>数据运营是业务运营领域中不可或缺的角色，通过数据分析来优化产品和服务，提高用户体验和满意度，从而推动业务增长。数据运营人员不仅需要具备强大的数据处理能力，还需要对业务有深刻的理解，能够将数据转化为有价值的洞察，为企业决策…</x:v>
      </x:c>
      <x:c r="L1085" s="26" t="str">
        <x:v>1. 负责收集、整理和分析用户行为数据，识别潜在问题并提出改进建议，以提升用户活跃度和留存率。 2. 定期制作业务报告，监控关键指标变化趋势，及时发现异常情况并向相关部门反馈，确保各项运营活动的有效执行。 3. 与产品团…</x:v>
      </x:c>
    </x:row>
    <x:row r="1086" ht="72" customHeight="1">
      <x:c r="A1086" s="25" t="n">
        <x:v>11978</x:v>
      </x:c>
      <x:c r="B1086" s="25" t="str">
        <x:v>IC-L3-1235</x:v>
      </x:c>
      <x:c r="C1086" s="25" t="str">
        <x:v>活动运营</x:v>
      </x:c>
      <x:c r="D1086" s="25" t="str">
        <x:v>4-04-05-01</x:v>
      </x:c>
      <x:c r="E1086" s="25" t="str">
        <x:v>计算机程序设计员</x:v>
      </x:c>
      <x:c r="F1086" s="28" t="n">
        <x:f>COUNTIF('岗位-产业节点关系'!$C$4:$C$709,B1086)</x:f>
        <x:v>0</x:v>
      </x:c>
      <x:c r="G1086" s="26" t="str">
        <x:f>IF(F1086=0,"未匹配（现有产业链范围未覆盖或证据不足）",IF(COUNTIFS('岗位-产业节点关系'!$C$4:$C$709,B1086,'岗位-产业节点关系'!$M$4:$M$709,"低")&gt;0,"已匹配，建议复核","已匹配"))</x:f>
        <x:v>未匹配（现有产业链范围未覆盖或证据不足）</x:v>
      </x:c>
      <x:c r="H1086" s="26" t="str">
        <x:v>-</x:v>
      </x:c>
      <x:c r="I1086" s="26" t="str"/>
      <x:c r="J1086" s="26" t="str"/>
      <x:c r="K1086" s="26" t="str">
        <x:v>活动运营是业务运营中不可或缺的一环，负责策划并执行各类线上线下的营销活动，以吸引用户参与、提升品牌知名度和促进销售转化。作为活动运营人员，您的核心目标是通过创新的活动设计与高效的执行策略，增强用户体验，提高用户活跃度和忠…</x:v>
      </x:c>
      <x:c r="L1086" s="26" t="str">
        <x:v>1. 负责制定全年活动计划，根据业务目标及市场需求，设计并实施各类线上线下活动方案，旨在扩大用户基础、增加用户粘性。 2. 与设计、开发等部门沟通协作，确保活动页面的设计美观、功能完善，以及活动流程顺畅无误。 3. 监控…</x:v>
      </x:c>
    </x:row>
    <x:row r="1087" ht="72" customHeight="1">
      <x:c r="A1087" s="25" t="n">
        <x:v>11979</x:v>
      </x:c>
      <x:c r="B1087" s="25" t="str">
        <x:v>IC-L3-1236</x:v>
      </x:c>
      <x:c r="C1087" s="25" t="str">
        <x:v>游戏运营</x:v>
      </x:c>
      <x:c r="D1087" s="25" t="str">
        <x:v>2-09-06-01</x:v>
      </x:c>
      <x:c r="E1087" s="25" t="str">
        <x:v>视觉传达设计人员</x:v>
      </x:c>
      <x:c r="F1087" s="28" t="n">
        <x:f>COUNTIF('岗位-产业节点关系'!$C$4:$C$709,B1087)</x:f>
        <x:v>1</x:v>
      </x:c>
      <x:c r="G1087" s="26" t="str">
        <x:f>IF(F1087=0,"未匹配（现有产业链范围未覆盖或证据不足）",IF(COUNTIFS('岗位-产业节点关系'!$C$4:$C$709,B1087,'岗位-产业节点关系'!$M$4:$M$709,"低")&gt;0,"已匹配，建议复核","已匹配"))</x:f>
        <x:v>已匹配</x:v>
      </x:c>
      <x:c r="H1087" s="26" t="str">
        <x:v>中</x:v>
      </x:c>
      <x:c r="I1087" s="26" t="str">
        <x:v>ICN054</x:v>
      </x:c>
      <x:c r="J1087" s="26" t="str">
        <x:v>新型显示与虚拟现实产业链/下游/沉浸式内容、行业应用与消费场景</x:v>
      </x:c>
      <x:c r="K1087" s="26" t="str">
        <x:v>游戏运营业务作为运营领域的一个重要分支，在游戏行业中扮演着至关重要的角色。它不仅连接了产品与用户之间的桥梁，还肩负着提升用户体验、促进用户活跃度及留存率的重要使命。通过精准的市场分析、有效的活动策划以及用户行为数据的深度…</x:v>
      </x:c>
      <x:c r="L1087" s="26" t="str">
        <x:v>1. 负责制定并执行游戏运营策略，包括但不限于版本更新、活动策划等，旨在提高用户满意度和活跃度。 2. 分析用户反馈和行为数据，及时调整运营方案，解决用户问题，优化用户体验，以达成提高用户留存率的目标。 3. 协调内部资…</x:v>
      </x:c>
    </x:row>
    <x:row r="1088" ht="72" customHeight="1">
      <x:c r="A1088" s="25" t="n">
        <x:v>11980</x:v>
      </x:c>
      <x:c r="B1088" s="25" t="str">
        <x:v>IC-L3-1237</x:v>
      </x:c>
      <x:c r="C1088" s="25" t="str">
        <x:v>用户运营</x:v>
      </x:c>
      <x:c r="D1088" s="25" t="str">
        <x:v>4-04-05-01</x:v>
      </x:c>
      <x:c r="E1088" s="25" t="str">
        <x:v>计算机程序设计员</x:v>
      </x:c>
      <x:c r="F1088" s="28" t="n">
        <x:f>COUNTIF('岗位-产业节点关系'!$C$4:$C$709,B1088)</x:f>
        <x:v>1</x:v>
      </x:c>
      <x:c r="G1088" s="26" t="str">
        <x:f>IF(F1088=0,"未匹配（现有产业链范围未覆盖或证据不足）",IF(COUNTIFS('岗位-产业节点关系'!$C$4:$C$709,B1088,'岗位-产业节点关系'!$M$4:$M$709,"低")&gt;0,"已匹配，建议复核","已匹配"))</x:f>
        <x:v>已匹配，建议复核</x:v>
      </x:c>
      <x:c r="H1088" s="26" t="str">
        <x:v>低</x:v>
      </x:c>
      <x:c r="I1088" s="26" t="str">
        <x:v>ICN002</x:v>
      </x:c>
      <x:c r="J1088" s="26" t="str">
        <x:v>数据要素与数字经济产业链/中游/数据治理、流通与服务</x:v>
      </x:c>
      <x:c r="K1088" s="26" t="str">
        <x:v>用户运营是运营领域中至关重要的环节之一，它专注于通过各种策略和活动来提升用户体验，增强用户粘性，从而促进用户的活跃度与忠诚度。该职位不仅在推动产品或服务的发展上扮演着核心角色，还直接关系到企业品牌形象的建立与维护。 作为…</x:v>
      </x:c>
      <x:c r="L1088" s="26" t="str">
        <x:v>1. 负责制定并执行用户增长策略，定期评估效果并进行调整优化，以达到既定的用户规模目标。 2. 分析用户行为数据，挖掘用户需求与痛点，据此设计有针对性的运营活动，提高用户满意度和参与度。 3. 与产品和技术团队沟通协作，…</x:v>
      </x:c>
    </x:row>
    <x:row r="1089" ht="72" customHeight="1">
      <x:c r="A1089" s="25" t="n">
        <x:v>11981</x:v>
      </x:c>
      <x:c r="B1089" s="25" t="str">
        <x:v>IC-L3-1238</x:v>
      </x:c>
      <x:c r="C1089" s="25" t="str">
        <x:v>电子竞技运营</x:v>
      </x:c>
      <x:c r="D1089" s="25" t="str">
        <x:v>2-02-09-02</x:v>
      </x:c>
      <x:c r="E1089" s="25" t="str">
        <x:v>电子元器件工程技术人员</x:v>
      </x:c>
      <x:c r="F1089" s="28" t="n">
        <x:f>COUNTIF('岗位-产业节点关系'!$C$4:$C$709,B1089)</x:f>
        <x:v>0</x:v>
      </x:c>
      <x:c r="G1089" s="26" t="str">
        <x:f>IF(F1089=0,"未匹配（现有产业链范围未覆盖或证据不足）",IF(COUNTIFS('岗位-产业节点关系'!$C$4:$C$709,B1089,'岗位-产业节点关系'!$M$4:$M$709,"低")&gt;0,"已匹配，建议复核","已匹配"))</x:f>
        <x:v>未匹配（现有产业链范围未覆盖或证据不足）</x:v>
      </x:c>
      <x:c r="H1089" s="26" t="str">
        <x:v>-</x:v>
      </x:c>
      <x:c r="I1089" s="26" t="str"/>
      <x:c r="J1089" s="26" t="str"/>
      <x:c r="K1089" s="26" t="str">
        <x:v>电子竞技运营作为业务运营领域的一个新兴分支，在电子竞技行业的快速发展中扮演着至关重要的角色。通过精准的市场分析与用户洞察，该职位不仅能够推动赛事活动的成功举办，还能促进品牌影响力的有效提升，对于塑造公司形象及扩大市场份额…</x:v>
      </x:c>
      <x:c r="L1089" s="26" t="str">
        <x:v>1. 负责策划并执行各类线上线下的电子竞技赛事活动，确保活动顺利进行并达到预期效果。 2. 分析目标用户群体特征，制定相应的推广策略，提高用户参与度和满意度。 3. 与赞助商、媒体平台建立良好合作关系，拓展商业合作渠道，…</x:v>
      </x:c>
    </x:row>
    <x:row r="1090" ht="72" customHeight="1">
      <x:c r="A1090" s="25" t="n">
        <x:v>11982</x:v>
      </x:c>
      <x:c r="B1090" s="25" t="str">
        <x:v>IC-L3-1239</x:v>
      </x:c>
      <x:c r="C1090" s="25" t="str">
        <x:v>网站运营</x:v>
      </x:c>
      <x:c r="D1090" s="25" t="str">
        <x:v>4-04-05-01</x:v>
      </x:c>
      <x:c r="E1090" s="25" t="str">
        <x:v>计算机程序设计员</x:v>
      </x:c>
      <x:c r="F1090" s="28" t="n">
        <x:f>COUNTIF('岗位-产业节点关系'!$C$4:$C$709,B1090)</x:f>
        <x:v>0</x:v>
      </x:c>
      <x:c r="G1090" s="26" t="str">
        <x:f>IF(F1090=0,"未匹配（现有产业链范围未覆盖或证据不足）",IF(COUNTIFS('岗位-产业节点关系'!$C$4:$C$709,B1090,'岗位-产业节点关系'!$M$4:$M$709,"低")&gt;0,"已匹配，建议复核","已匹配"))</x:f>
        <x:v>未匹配（现有产业链范围未覆盖或证据不足）</x:v>
      </x:c>
      <x:c r="H1090" s="26" t="str">
        <x:v>-</x:v>
      </x:c>
      <x:c r="I1090" s="26" t="str"/>
      <x:c r="J1090" s="26" t="str"/>
      <x:c r="K1090" s="26" t="str">
        <x:v>网站运营是运营行业中不可或缺的一环，其核心在于通过优化网站功能与用户体验，促进用户增长及活跃度提升，从而实现商业目标。该职位不仅需要具备敏锐的数据分析能力，还需拥有良好的创新意识和服务意识，以确保网站能够满足用户需求并持…</x:v>
      </x:c>
      <x:c r="L1090" s="26" t="str">
        <x:v>1. 负责网站日常运营管理，包括内容更新、活动策划与执行，以提高网站流量和用户粘性。 2. 运用数据分析工具监测网站运营状况，定期出具运营报告，为决策提供数据支持。 3. 与产品经理和技术团队沟通协作，提出改进建议，不断…</x:v>
      </x:c>
    </x:row>
    <x:row r="1091" ht="72" customHeight="1">
      <x:c r="A1091" s="25" t="n">
        <x:v>11983</x:v>
      </x:c>
      <x:c r="B1091" s="25" t="str">
        <x:v>IC-L3-1240</x:v>
      </x:c>
      <x:c r="C1091" s="25" t="str">
        <x:v>网络推广</x:v>
      </x:c>
      <x:c r="D1091" s="25" t="str">
        <x:v>2-02-10-01</x:v>
      </x:c>
      <x:c r="E1091" s="25" t="str">
        <x:v>通信工程技术人员</x:v>
      </x:c>
      <x:c r="F1091" s="28" t="n">
        <x:f>COUNTIF('岗位-产业节点关系'!$C$4:$C$709,B1091)</x:f>
        <x:v>1</x:v>
      </x:c>
      <x:c r="G1091" s="26" t="str">
        <x:f>IF(F1091=0,"未匹配（现有产业链范围未覆盖或证据不足）",IF(COUNTIFS('岗位-产业节点关系'!$C$4:$C$709,B1091,'岗位-产业节点关系'!$M$4:$M$709,"低")&gt;0,"已匹配，建议复核","已匹配"))</x:f>
        <x:v>已匹配，建议复核</x:v>
      </x:c>
      <x:c r="H1091" s="26" t="str">
        <x:v>低</x:v>
      </x:c>
      <x:c r="I1091" s="26" t="str">
        <x:v>ICN003</x:v>
      </x:c>
      <x:c r="J1091" s="26" t="str">
        <x:v>数据要素与数字经济产业链/下游/数字经济场景应用与内容创意</x:v>
      </x:c>
      <x:c r="K1091" s="26" t="str">
        <x:v>网络推广专员是业务运营领域中不可或缺的角色之一。在当今数字化时代，随着互联网技术的迅速发展以及消费者行为模式的变化，网络推广成为了企业获取用户、提高品牌知名度及市场竞争力的重要手段。网络推广专员通过运用各种网络营销工具与…</x:v>
      </x:c>
      <x:c r="L1091" s="26" t="str">
        <x:v>1. 负责公司网站及各大社交平台的内容策划与发布，定期更新维护，确保信息准确无误，符合品牌形象。 2. 分析研究目标用户群体特征，结合行业动态和竞争对手情况，制定并实施有效的网络推广方案。 3. 运用SEO、SEM、SM…</x:v>
      </x:c>
    </x:row>
    <x:row r="1092" ht="72" customHeight="1">
      <x:c r="A1092" s="25" t="n">
        <x:v>11984</x:v>
      </x:c>
      <x:c r="B1092" s="25" t="str">
        <x:v>IC-L3-1241</x:v>
      </x:c>
      <x:c r="C1092" s="25" t="str">
        <x:v>运营专员</x:v>
      </x:c>
      <x:c r="D1092" s="25" t="str">
        <x:v>4-01-02-01</x:v>
      </x:c>
      <x:c r="E1092" s="25" t="str">
        <x:v>营销员</x:v>
      </x:c>
      <x:c r="F1092" s="28" t="n">
        <x:f>COUNTIF('岗位-产业节点关系'!$C$4:$C$709,B1092)</x:f>
        <x:v>0</x:v>
      </x:c>
      <x:c r="G1092" s="26" t="str">
        <x:f>IF(F1092=0,"未匹配（现有产业链范围未覆盖或证据不足）",IF(COUNTIFS('岗位-产业节点关系'!$C$4:$C$709,B1092,'岗位-产业节点关系'!$M$4:$M$709,"低")&gt;0,"已匹配，建议复核","已匹配"))</x:f>
        <x:v>未匹配（现有产业链范围未覆盖或证据不足）</x:v>
      </x:c>
      <x:c r="H1092" s="26" t="str">
        <x:v>-</x:v>
      </x:c>
      <x:c r="I1092" s="26" t="str"/>
      <x:c r="J1092" s="26" t="str"/>
      <x:c r="K1092" s="26" t="str">
        <x:v>运营专员是业务运营领域中不可或缺的角色，负责确保公司产品或服务能够高效地触达目标客户群体，通过优化运营流程提高客户满意度和品牌忠诚度，从而为企业创造持续的价值。该职位不仅需要具备敏锐的市场洞察力，还要求有良好的数据分析能…</x:v>
      </x:c>
      <x:c r="L1092" s="26" t="str">
        <x:v>1. 负责制定并执行各项运营计划，包括但不限于用户增长、活动策划、内容推广等，以实现公司设定的业绩指标。 2. 分析运营数据，定期出具报告，及时发现潜在问题并提出改进建议，确保运营活动的有效性和可持续性。 3. 与产品和…</x:v>
      </x:c>
    </x:row>
    <x:row r="1093" ht="72" customHeight="1">
      <x:c r="A1093" s="25" t="n">
        <x:v>11985</x:v>
      </x:c>
      <x:c r="B1093" s="25" t="str">
        <x:v>IC-L3-1242</x:v>
      </x:c>
      <x:c r="C1093" s="25" t="str">
        <x:v>运营主管</x:v>
      </x:c>
      <x:c r="D1093" s="25" t="str">
        <x:v>4-04-05-01</x:v>
      </x:c>
      <x:c r="E1093" s="25" t="str">
        <x:v>计算机程序设计员</x:v>
      </x:c>
      <x:c r="F1093" s="28" t="n">
        <x:f>COUNTIF('岗位-产业节点关系'!$C$4:$C$709,B1093)</x:f>
        <x:v>0</x:v>
      </x:c>
      <x:c r="G1093" s="26" t="str">
        <x:f>IF(F1093=0,"未匹配（现有产业链范围未覆盖或证据不足）",IF(COUNTIFS('岗位-产业节点关系'!$C$4:$C$709,B1093,'岗位-产业节点关系'!$M$4:$M$709,"低")&gt;0,"已匹配，建议复核","已匹配"))</x:f>
        <x:v>未匹配（现有产业链范围未覆盖或证据不足）</x:v>
      </x:c>
      <x:c r="H1093" s="26" t="str">
        <x:v>-</x:v>
      </x:c>
      <x:c r="I1093" s="26" t="str"/>
      <x:c r="J1093" s="26" t="str"/>
      <x:c r="K1093" s="26" t="str">
        <x:v>运营主管是业务运营领域中不可或缺的关键角色，主要负责推动公司产品或服务的市场表现，确保运营活动的有效执行与优化。通过数据分析、市场洞察以及客户反馈等手段，运营主管能够为公司制定出更为精准的运营策略，以实现更高的用户满意度…</x:v>
      </x:c>
      <x:c r="L1093" s="26" t="str">
        <x:v>1. 负责制定并实施全面的业务运营计划，确保各项指标按时完成，提高整体运营效果。 2. 分析业务数据，识别潜在问题与机遇，及时调整运营策略，以应对市场变化。 3. 组织开展各类线上线下推广活动，增强品牌影响力，吸引更多潜…</x:v>
      </x:c>
    </x:row>
    <x:row r="1094" ht="72" customHeight="1">
      <x:c r="A1094" s="25" t="n">
        <x:v>11986</x:v>
      </x:c>
      <x:c r="B1094" s="25" t="str">
        <x:v>IC-L3-1243</x:v>
      </x:c>
      <x:c r="C1094" s="25" t="str">
        <x:v>运营助理</x:v>
      </x:c>
      <x:c r="D1094" s="25" t="str">
        <x:v>4-04-05-01</x:v>
      </x:c>
      <x:c r="E1094" s="25" t="str">
        <x:v>计算机程序设计员</x:v>
      </x:c>
      <x:c r="F1094" s="28" t="n">
        <x:f>COUNTIF('岗位-产业节点关系'!$C$4:$C$709,B1094)</x:f>
        <x:v>0</x:v>
      </x:c>
      <x:c r="G1094" s="26" t="str">
        <x:f>IF(F1094=0,"未匹配（现有产业链范围未覆盖或证据不足）",IF(COUNTIFS('岗位-产业节点关系'!$C$4:$C$709,B1094,'岗位-产业节点关系'!$M$4:$M$709,"低")&gt;0,"已匹配，建议复核","已匹配"))</x:f>
        <x:v>未匹配（现有产业链范围未覆盖或证据不足）</x:v>
      </x:c>
      <x:c r="H1094" s="26" t="str">
        <x:v>-</x:v>
      </x:c>
      <x:c r="I1094" s="26" t="str"/>
      <x:c r="J1094" s="26" t="str"/>
      <x:c r="K1094" s="26" t="str">
        <x:v>运营助理是业务运营中不可或缺的一部分，他们通过协助制定并执行业务策略，确保公司能够高效地达到其商业目标。在日常工作中，运营助理负责协调各个部门之间的合作，确保所有活动都能够顺利进行，从而支持公司的整体运营效率和市场竞争力…</x:v>
      </x:c>
      <x:c r="L1094" s="26" t="str">
        <x:v>1. 协助上级完成业务运营计划的编制与执行，确保各项任务按时按质完成。 2. 负责收集并分析市场数据，识别潜在问题，为决策提供依据。 3. 与相关部门沟通协调，解决业务流程中的难点和瓶颈，优化工作流程。 4. 参与线上线…</x:v>
      </x:c>
    </x:row>
    <x:row r="1095" ht="72" customHeight="1">
      <x:c r="A1095" s="25" t="n">
        <x:v>11987</x:v>
      </x:c>
      <x:c r="B1095" s="25" t="str">
        <x:v>IC-L3-1244</x:v>
      </x:c>
      <x:c r="C1095" s="25" t="str">
        <x:v>运营经理</x:v>
      </x:c>
      <x:c r="D1095" s="25" t="str">
        <x:v>4-04-05-01</x:v>
      </x:c>
      <x:c r="E1095" s="25" t="str">
        <x:v>计算机程序设计员</x:v>
      </x:c>
      <x:c r="F1095" s="28" t="n">
        <x:f>COUNTIF('岗位-产业节点关系'!$C$4:$C$709,B1095)</x:f>
        <x:v>0</x:v>
      </x:c>
      <x:c r="G1095" s="26" t="str">
        <x:f>IF(F1095=0,"未匹配（现有产业链范围未覆盖或证据不足）",IF(COUNTIFS('岗位-产业节点关系'!$C$4:$C$709,B1095,'岗位-产业节点关系'!$M$4:$M$709,"低")&gt;0,"已匹配，建议复核","已匹配"))</x:f>
        <x:v>未匹配（现有产业链范围未覆盖或证据不足）</x:v>
      </x:c>
      <x:c r="H1095" s="26" t="str">
        <x:v>-</x:v>
      </x:c>
      <x:c r="I1095" s="26" t="str"/>
      <x:c r="J1095" s="26" t="str"/>
      <x:c r="K1095" s="26" t="str">
        <x:v>运营经理是业务运营领域中不可或缺的角色，负责推动产品或服务从概念到市场的全过程，确保业务目标的实现。作为公司与市场之间的桥梁，运营经理不仅需要具备敏锐的市场洞察力，还需拥有出色的项目管理能力和团队领导能力，以确保业务流程…</x:v>
      </x:c>
      <x:c r="L1095" s="26" t="str">
        <x:v>1. 负责制定并执行业务运营策略，确保公司产品或服务顺利上线，达到预期的市场表现。 2. 监控业务数据，定期分析运营效果，及时调整运营方案，以提升用户体验和客户满意度。 3. 协调内部资源，建立高效的业务流程，优化成本结…</x:v>
      </x:c>
    </x:row>
    <x:row r="1096" ht="72" customHeight="1">
      <x:c r="A1096" s="25" t="n">
        <x:v>11988</x:v>
      </x:c>
      <x:c r="B1096" s="25" t="str">
        <x:v>IC-L3-1245</x:v>
      </x:c>
      <x:c r="C1096" s="25" t="str">
        <x:v>品类运营</x:v>
      </x:c>
      <x:c r="D1096" s="25" t="str">
        <x:v>4-01-02-03</x:v>
      </x:c>
      <x:c r="E1096" s="25" t="str">
        <x:v>商品营业员</x:v>
      </x:c>
      <x:c r="F1096" s="28" t="n">
        <x:f>COUNTIF('岗位-产业节点关系'!$C$4:$C$709,B1096)</x:f>
        <x:v>0</x:v>
      </x:c>
      <x:c r="G1096" s="26" t="str">
        <x:f>IF(F1096=0,"未匹配（现有产业链范围未覆盖或证据不足）",IF(COUNTIFS('岗位-产业节点关系'!$C$4:$C$709,B1096,'岗位-产业节点关系'!$M$4:$M$709,"低")&gt;0,"已匹配，建议复核","已匹配"))</x:f>
        <x:v>未匹配（现有产业链范围未覆盖或证据不足）</x:v>
      </x:c>
      <x:c r="H1096" s="26" t="str">
        <x:v>-</x:v>
      </x:c>
      <x:c r="I1096" s="26" t="str"/>
      <x:c r="J1096" s="26" t="str"/>
      <x:c r="K1096" s="26" t="str">
        <x:v>品类运营是专门从事商品品类规划与管理的专业人员。该职位的核心目标是通过优化品类结构及运营策略，实现销售增长与利润提升。在日常工作中，需要进行市场分析、品类规划、竞品监测、促销策划及销售数据复盘等工作。</x:v>
      </x:c>
      <x:c r="L1096" s="26" t="str">
        <x:v>1. 制定品类运营策略 2. 分析市场销售数据 3. 优化商品结构布局 4. 跟进供应商合作 5. 策划促销活动方案 6. 监控品类经营指标</x:v>
      </x:c>
    </x:row>
    <x:row r="1097" ht="72" customHeight="1">
      <x:c r="A1097" s="25" t="n">
        <x:v>11989</x:v>
      </x:c>
      <x:c r="B1097" s="25" t="str">
        <x:v>IC-L3-1246</x:v>
      </x:c>
      <x:c r="C1097" s="25" t="str">
        <x:v>内容审核</x:v>
      </x:c>
      <x:c r="D1097" s="25" t="str">
        <x:v>4-04-05-01</x:v>
      </x:c>
      <x:c r="E1097" s="25" t="str">
        <x:v>计算机程序设计员</x:v>
      </x:c>
      <x:c r="F1097" s="28" t="n">
        <x:f>COUNTIF('岗位-产业节点关系'!$C$4:$C$709,B1097)</x:f>
        <x:v>0</x:v>
      </x:c>
      <x:c r="G1097" s="26" t="str">
        <x:f>IF(F1097=0,"未匹配（现有产业链范围未覆盖或证据不足）",IF(COUNTIFS('岗位-产业节点关系'!$C$4:$C$709,B1097,'岗位-产业节点关系'!$M$4:$M$709,"低")&gt;0,"已匹配，建议复核","已匹配"))</x:f>
        <x:v>未匹配（现有产业链范围未覆盖或证据不足）</x:v>
      </x:c>
      <x:c r="H1097" s="26" t="str">
        <x:v>-</x:v>
      </x:c>
      <x:c r="I1097" s="26" t="str"/>
      <x:c r="J1097" s="26" t="str"/>
      <x:c r="K1097" s="26" t="str">
        <x:v>内容审核作为内容运营方向的关键岗位，在确保平台内容质量与合规性方面扮演着至关重要的角色。通过精准高效地审查各类用户生成的内容，该职位不仅能够有效防止不良信息的传播，还能维护良好的社区氛围，提升用户体验，增强品牌形象。此外…</x:v>
      </x:c>
      <x:c r="L1097" s="26" t="str">
        <x:v>1. 负责日常内容的审核工作，依据国家法律法规及公司政策标准，对图文、视频等多种形式的内容进行快速准确的判断与处理，确保所有发布的信息合法合规。 2. 及时发现并上报潜在的风险点，协助制定和完善内容安全规范，降低企业运营…</x:v>
      </x:c>
    </x:row>
    <x:row r="1098" ht="72" customHeight="1">
      <x:c r="A1098" s="25" t="n">
        <x:v>11990</x:v>
      </x:c>
      <x:c r="B1098" s="25" t="str">
        <x:v>IC-L3-1247</x:v>
      </x:c>
      <x:c r="C1098" s="25" t="str">
        <x:v>新媒体运营</x:v>
      </x:c>
      <x:c r="D1098" s="25" t="str">
        <x:v>4-04-05-01</x:v>
      </x:c>
      <x:c r="E1098" s="25" t="str">
        <x:v>计算机程序设计员</x:v>
      </x:c>
      <x:c r="F1098" s="28" t="n">
        <x:f>COUNTIF('岗位-产业节点关系'!$C$4:$C$709,B1098)</x:f>
        <x:v>1</x:v>
      </x:c>
      <x:c r="G1098" s="26" t="str">
        <x:f>IF(F1098=0,"未匹配（现有产业链范围未覆盖或证据不足）",IF(COUNTIFS('岗位-产业节点关系'!$C$4:$C$709,B1098,'岗位-产业节点关系'!$M$4:$M$709,"低")&gt;0,"已匹配，建议复核","已匹配"))</x:f>
        <x:v>已匹配</x:v>
      </x:c>
      <x:c r="H1098" s="26" t="str">
        <x:v>中</x:v>
      </x:c>
      <x:c r="I1098" s="26" t="str">
        <x:v>ICN003</x:v>
      </x:c>
      <x:c r="J1098" s="26" t="str">
        <x:v>数据要素与数字经济产业链/下游/数字经济场景应用与内容创意</x:v>
      </x:c>
      <x:c r="K1098" s="26" t="str">
        <x:v>新媒体运营是内容运营领域中不可或缺的一部分，随着互联网的快速发展，新媒体平台成为了企业与用户沟通的重要桥梁。该职位不仅能够帮助企业建立品牌形象，还能通过高质量的内容吸引并维护用户群体，从而提升企业的市场竞争力。新媒体运营…</x:v>
      </x:c>
      <x:c r="L1098" s="26" t="str">
        <x:v>1. 负责公司官方账号（微博、微信公众号、抖音等）的日常运营工作，包括但不限于内容策划、编辑、发布及互动管理，以提高粉丝活跃度和忠诚度。 2. 根据公司业务特点及目标人群特征，定期策划并实施线上活动，通过创新的营销手段促…</x:v>
      </x:c>
    </x:row>
    <x:row r="1099" ht="72" customHeight="1">
      <x:c r="A1099" s="25" t="n">
        <x:v>11991</x:v>
      </x:c>
      <x:c r="B1099" s="25" t="str">
        <x:v>IC-L3-1248</x:v>
      </x:c>
      <x:c r="C1099" s="25" t="str">
        <x:v>直播运营</x:v>
      </x:c>
      <x:c r="D1099" s="25" t="str">
        <x:v>4-04-05-01</x:v>
      </x:c>
      <x:c r="E1099" s="25" t="str">
        <x:v>计算机程序设计员</x:v>
      </x:c>
      <x:c r="F1099" s="28" t="n">
        <x:f>COUNTIF('岗位-产业节点关系'!$C$4:$C$709,B1099)</x:f>
        <x:v>1</x:v>
      </x:c>
      <x:c r="G1099" s="26" t="str">
        <x:f>IF(F1099=0,"未匹配（现有产业链范围未覆盖或证据不足）",IF(COUNTIFS('岗位-产业节点关系'!$C$4:$C$709,B1099,'岗位-产业节点关系'!$M$4:$M$709,"低")&gt;0,"已匹配，建议复核","已匹配"))</x:f>
        <x:v>已匹配</x:v>
      </x:c>
      <x:c r="H1099" s="26" t="str">
        <x:v>中</x:v>
      </x:c>
      <x:c r="I1099" s="26" t="str">
        <x:v>ICN003</x:v>
      </x:c>
      <x:c r="J1099" s="26" t="str">
        <x:v>数据要素与数字经济产业链/下游/数字经济场景应用与内容创意</x:v>
      </x:c>
      <x:c r="K1099" s="26" t="str">
        <x:v>直播运营是内容运营领域中一个至关重要的角色，主要负责通过直播平台吸引并维护用户群体，提高品牌影响力与用户粘性。在当前互联网时代背景下，随着直播行业的蓬勃发展，直播运营已成为企业实现营销目标不可或缺的一环，其重要性日益凸显…</x:v>
      </x:c>
      <x:c r="L1099" s="26" t="str">
        <x:v>1. 负责制定并执行直播计划，包括但不限于选题策划、脚本编写、嘉宾邀请等工作，确保每次直播都能精准触达目标受众。 2. 监控直播过程中的各项数据指标（如在线人数、点赞量、评论数等），及时调整策略以优化用户体验，提高用户留…</x:v>
      </x:c>
    </x:row>
    <x:row r="1100" ht="72" customHeight="1">
      <x:c r="A1100" s="25" t="n">
        <x:v>11992</x:v>
      </x:c>
      <x:c r="B1100" s="25" t="str">
        <x:v>IC-L3-1249</x:v>
      </x:c>
      <x:c r="C1100" s="25" t="str">
        <x:v>记者</x:v>
      </x:c>
      <x:c r="D1100" s="25" t="str">
        <x:v>4-04-05-01</x:v>
      </x:c>
      <x:c r="E1100" s="25" t="str">
        <x:v>计算机程序设计员</x:v>
      </x:c>
      <x:c r="F1100" s="28" t="n">
        <x:f>COUNTIF('岗位-产业节点关系'!$C$4:$C$709,B1100)</x:f>
        <x:v>1</x:v>
      </x:c>
      <x:c r="G1100" s="26" t="str">
        <x:f>IF(F1100=0,"未匹配（现有产业链范围未覆盖或证据不足）",IF(COUNTIFS('岗位-产业节点关系'!$C$4:$C$709,B1100,'岗位-产业节点关系'!$M$4:$M$709,"低")&gt;0,"已匹配，建议复核","已匹配"))</x:f>
        <x:v>已匹配</x:v>
      </x:c>
      <x:c r="H1100" s="26" t="str">
        <x:v>中</x:v>
      </x:c>
      <x:c r="I1100" s="26" t="str">
        <x:v>ICN003</x:v>
      </x:c>
      <x:c r="J1100" s="26" t="str">
        <x:v>数据要素与数字经济产业链/下游/数字经济场景应用与内容创意</x:v>
      </x:c>
      <x:c r="K1100" s="26" t="str">
        <x:v>记者是专门从事新闻采集和内容创作的专业人员。该职位的核心目标是通过深入调研和客观报道，为内容运营提供高质量的新闻素材。在日常工作中，需要进行选题策划、现场采访、新闻撰写和多媒体内容制作等工作。</x:v>
      </x:c>
      <x:c r="L1100" s="26" t="str">
        <x:v>1. 采集新闻素材 2. 撰写原创内容 3. 核实信息真实性 4. 策划专题报道 5. 维护媒体关系 6. 分析内容数据</x:v>
      </x:c>
    </x:row>
    <x:row r="1101" ht="72" customHeight="1">
      <x:c r="A1101" s="25" t="n">
        <x:v>11993</x:v>
      </x:c>
      <x:c r="B1101" s="25" t="str">
        <x:v>IC-L3-1250</x:v>
      </x:c>
      <x:c r="C1101" s="25" t="str">
        <x:v>电商专员</x:v>
      </x:c>
      <x:c r="D1101" s="25" t="str">
        <x:v>4-04-05-01</x:v>
      </x:c>
      <x:c r="E1101" s="25" t="str">
        <x:v>计算机程序设计员</x:v>
      </x:c>
      <x:c r="F1101" s="28" t="n">
        <x:f>COUNTIF('岗位-产业节点关系'!$C$4:$C$709,B1101)</x:f>
        <x:v>1</x:v>
      </x:c>
      <x:c r="G1101" s="26" t="str">
        <x:f>IF(F1101=0,"未匹配（现有产业链范围未覆盖或证据不足）",IF(COUNTIFS('岗位-产业节点关系'!$C$4:$C$709,B1101,'岗位-产业节点关系'!$M$4:$M$709,"低")&gt;0,"已匹配，建议复核","已匹配"))</x:f>
        <x:v>已匹配</x:v>
      </x:c>
      <x:c r="H1101" s="26" t="str">
        <x:v>中</x:v>
      </x:c>
      <x:c r="I1101" s="26" t="str">
        <x:v>ICN003</x:v>
      </x:c>
      <x:c r="J1101" s="26" t="str">
        <x:v>数据要素与数字经济产业链/下游/数字经济场景应用与内容创意</x:v>
      </x:c>
      <x:c r="K1101" s="26" t="str">
        <x:v>电商专员是电子商务领域中不可或缺的专业人才，负责电商平台的整体运营与管理，确保商品销售流程顺畅高效，同时通过优化用户体验来提升品牌形象和客户满意度。作为公司电商战略的重要执行者，该职位的核心目标在于通过数据分析、市场调研…</x:v>
      </x:c>
      <x:c r="L1101" s="26" t="str">
        <x:v>1. 负责电商平台日常运营管理，包括但不限于产品上架、库存控制、促销活动策划等，确保各项业务顺利开展并达到预期效果。 2. 定期进行市场分析，结合用户反馈调整营销方案，提高转化率和复购率，实现销售目标。 3. 与供应链、…</x:v>
      </x:c>
    </x:row>
    <x:row r="1102" ht="72" customHeight="1">
      <x:c r="A1102" s="25" t="n">
        <x:v>11994</x:v>
      </x:c>
      <x:c r="B1102" s="25" t="str">
        <x:v>IC-L3-1251</x:v>
      </x:c>
      <x:c r="C1102" s="25" t="str">
        <x:v>电商总监</x:v>
      </x:c>
      <x:c r="D1102" s="25" t="str">
        <x:v>4-04-05-01</x:v>
      </x:c>
      <x:c r="E1102" s="25" t="str">
        <x:v>计算机程序设计员</x:v>
      </x:c>
      <x:c r="F1102" s="28" t="n">
        <x:f>COUNTIF('岗位-产业节点关系'!$C$4:$C$709,B1102)</x:f>
        <x:v>1</x:v>
      </x:c>
      <x:c r="G1102" s="26" t="str">
        <x:f>IF(F1102=0,"未匹配（现有产业链范围未覆盖或证据不足）",IF(COUNTIFS('岗位-产业节点关系'!$C$4:$C$709,B1102,'岗位-产业节点关系'!$M$4:$M$709,"低")&gt;0,"已匹配，建议复核","已匹配"))</x:f>
        <x:v>已匹配</x:v>
      </x:c>
      <x:c r="H1102" s="26" t="str">
        <x:v>中</x:v>
      </x:c>
      <x:c r="I1102" s="26" t="str">
        <x:v>ICN003</x:v>
      </x:c>
      <x:c r="J1102" s="26" t="str">
        <x:v>数据要素与数字经济产业链/下游/数字经济场景应用与内容创意</x:v>
      </x:c>
      <x:c r="K1102" s="26" t="str">
        <x:v>电商总监是电商行业中至关重要的高级管理职位，负责领导公司电商平台的整体战略规划与实施。作为电商团队的核心领导者，其不仅需要具备深厚的电商专业知识，还应拥有卓越的战略思维能力和市场洞察力，以确保公司在激烈的市场竞争中保持领…</x:v>
      </x:c>
      <x:c r="L1102" s="26" t="str">
        <x:v>1. 负责制定并执行公司电商板块的长期发展战略，包括但不限于品类拓展、渠道建设、供应链优化等方面，确保公司电商业务稳健增长。 2. 监控并分析电商平台的运营数据，及时发现问题并提出解决方案，持续改进用户体验，提高转化率和…</x:v>
      </x:c>
    </x:row>
    <x:row r="1103" ht="72" customHeight="1">
      <x:c r="A1103" s="25" t="n">
        <x:v>11995</x:v>
      </x:c>
      <x:c r="B1103" s="25" t="str">
        <x:v>IC-L3-1252</x:v>
      </x:c>
      <x:c r="C1103" s="25" t="str">
        <x:v>电商经理/电商主管</x:v>
      </x:c>
      <x:c r="D1103" s="25" t="str">
        <x:v>4-04-05-01</x:v>
      </x:c>
      <x:c r="E1103" s="25" t="str">
        <x:v>计算机程序设计员</x:v>
      </x:c>
      <x:c r="F1103" s="28" t="n">
        <x:f>COUNTIF('岗位-产业节点关系'!$C$4:$C$709,B1103)</x:f>
        <x:v>1</x:v>
      </x:c>
      <x:c r="G1103" s="26" t="str">
        <x:f>IF(F1103=0,"未匹配（现有产业链范围未覆盖或证据不足）",IF(COUNTIFS('岗位-产业节点关系'!$C$4:$C$709,B1103,'岗位-产业节点关系'!$M$4:$M$709,"低")&gt;0,"已匹配，建议复核","已匹配"))</x:f>
        <x:v>已匹配</x:v>
      </x:c>
      <x:c r="H1103" s="26" t="str">
        <x:v>中</x:v>
      </x:c>
      <x:c r="I1103" s="26" t="str">
        <x:v>ICN003</x:v>
      </x:c>
      <x:c r="J1103" s="26" t="str">
        <x:v>数据要素与数字经济产业链/下游/数字经济场景应用与内容创意</x:v>
      </x:c>
      <x:c r="K1103" s="26" t="str">
        <x:v>电商经理或电商主管是电商行业中至关重要的角色之一，负责领导整个电商业务的运营与管理。该职位不仅需要具备敏锐的市场洞察力和创新思维，还需要拥有扎实的专业技能和丰富的管理经验，以确保公司能够在激烈的市场竞争中脱颖而出。 该职…</x:v>
      </x:c>
      <x:c r="L1103" s="26" t="str">
        <x:v>1. 制定并执行电商平台的整体运营策略，包括但不限于商品上架、促销活动策划、库存管理等方面，确保达成销售目标。 2. 分析市场趋势和用户行为数据，定期评估电商业绩，提出改进措施，提高转化率和复购率。 3. 负责跨部门沟通…</x:v>
      </x:c>
    </x:row>
    <x:row r="1104" ht="72" customHeight="1">
      <x:c r="A1104" s="25" t="n">
        <x:v>11996</x:v>
      </x:c>
      <x:c r="B1104" s="25" t="str">
        <x:v>IC-L3-1253</x:v>
      </x:c>
      <x:c r="C1104" s="25" t="str">
        <x:v>网店店长</x:v>
      </x:c>
      <x:c r="D1104" s="25" t="str">
        <x:v>4-01-02-03</x:v>
      </x:c>
      <x:c r="E1104" s="25" t="str">
        <x:v>商品营业员</x:v>
      </x:c>
      <x:c r="F1104" s="28" t="n">
        <x:f>COUNTIF('岗位-产业节点关系'!$C$4:$C$709,B1104)</x:f>
        <x:v>0</x:v>
      </x:c>
      <x:c r="G1104" s="26" t="str">
        <x:f>IF(F1104=0,"未匹配（现有产业链范围未覆盖或证据不足）",IF(COUNTIFS('岗位-产业节点关系'!$C$4:$C$709,B1104,'岗位-产业节点关系'!$M$4:$M$709,"低")&gt;0,"已匹配，建议复核","已匹配"))</x:f>
        <x:v>未匹配（现有产业链范围未覆盖或证据不足）</x:v>
      </x:c>
      <x:c r="H1104" s="26" t="str">
        <x:v>-</x:v>
      </x:c>
      <x:c r="I1104" s="26" t="str"/>
      <x:c r="J1104" s="26" t="str"/>
      <x:c r="K1104" s="26" t="str">
        <x:v>网店店长是电子商务领域中不可或缺的关键角色，负责整个网店的日常运营与管理，确保店铺的高效运作和持续增长。作为公司在线业务的核心驱动力，网店店长需制定并执行全面的营销策略，优化商品展示、提高客户满意度及复购率，以实现销售目…</x:v>
      </x:c>
      <x:c r="L1104" s="26" t="str">
        <x:v>1. 负责网店的整体规划、商品上架、页面设计以及促销活动的策划与实施，以提升店铺流量和转化率。 2. 定期分析店铺运营数据，监控关键指标（如访问量、订单数、客单价等），及时调整运营策略，确保达成业绩目标。 3. 组织并指…</x:v>
      </x:c>
    </x:row>
    <x:row r="1105" ht="72" customHeight="1">
      <x:c r="A1105" s="25" t="n">
        <x:v>11997</x:v>
      </x:c>
      <x:c r="B1105" s="25" t="str">
        <x:v>IC-L3-1254</x:v>
      </x:c>
      <x:c r="C1105" s="25" t="str">
        <x:v>品类运营</x:v>
      </x:c>
      <x:c r="D1105" s="25" t="str">
        <x:v>4-01-02-03</x:v>
      </x:c>
      <x:c r="E1105" s="25" t="str">
        <x:v>商品营业员</x:v>
      </x:c>
      <x:c r="F1105" s="28" t="n">
        <x:f>COUNTIF('岗位-产业节点关系'!$C$4:$C$709,B1105)</x:f>
        <x:v>0</x:v>
      </x:c>
      <x:c r="G1105" s="26" t="str">
        <x:f>IF(F1105=0,"未匹配（现有产业链范围未覆盖或证据不足）",IF(COUNTIFS('岗位-产业节点关系'!$C$4:$C$709,B1105,'岗位-产业节点关系'!$M$4:$M$709,"低")&gt;0,"已匹配，建议复核","已匹配"))</x:f>
        <x:v>未匹配（现有产业链范围未覆盖或证据不足）</x:v>
      </x:c>
      <x:c r="H1105" s="26" t="str">
        <x:v>-</x:v>
      </x:c>
      <x:c r="I1105" s="26" t="str"/>
      <x:c r="J1105" s="26" t="str"/>
      <x:c r="K1105" s="26" t="str">
        <x:v>品类运营是电商运营领域中一个至关重要的角色，它不仅直接影响着平台的商品结构与用户体验，还关系到商家的销售业绩与品牌形象。通过深入分析市场趋势及用户需求，品类运营人员能够制定出有效的商品分类策略，优化库存管理，确保所负责类…</x:v>
      </x:c>
      <x:c r="L1105" s="26" t="str">
        <x:v>1. 负责指定品类的商品规划与管理，包括但不限于新品引进、价格策略调整等，以提升销售额和市场份额为目标。 2. 定期进行市场调研，收集并分析竞品数据，及时调整运营策略，确保所负责品类的竞争优势。 3. 与供应商建立良好的…</x:v>
      </x:c>
    </x:row>
    <x:row r="1106" ht="72" customHeight="1">
      <x:c r="A1106" s="25" t="n">
        <x:v>11998</x:v>
      </x:c>
      <x:c r="B1106" s="25" t="str">
        <x:v>IC-L3-1255</x:v>
      </x:c>
      <x:c r="C1106" s="25" t="str">
        <x:v>国内电商运营</x:v>
      </x:c>
      <x:c r="D1106" s="25" t="str">
        <x:v>4-04-05-01</x:v>
      </x:c>
      <x:c r="E1106" s="25" t="str">
        <x:v>计算机程序设计员</x:v>
      </x:c>
      <x:c r="F1106" s="28" t="n">
        <x:f>COUNTIF('岗位-产业节点关系'!$C$4:$C$709,B1106)</x:f>
        <x:v>1</x:v>
      </x:c>
      <x:c r="G1106" s="26" t="str">
        <x:f>IF(F1106=0,"未匹配（现有产业链范围未覆盖或证据不足）",IF(COUNTIFS('岗位-产业节点关系'!$C$4:$C$709,B1106,'岗位-产业节点关系'!$M$4:$M$709,"低")&gt;0,"已匹配，建议复核","已匹配"))</x:f>
        <x:v>已匹配</x:v>
      </x:c>
      <x:c r="H1106" s="26" t="str">
        <x:v>中</x:v>
      </x:c>
      <x:c r="I1106" s="26" t="str">
        <x:v>ICN003</x:v>
      </x:c>
      <x:c r="J1106" s="26" t="str">
        <x:v>数据要素与数字经济产业链/下游/数字经济场景应用与内容创意</x:v>
      </x:c>
      <x:c r="K1106" s="26" t="str">
        <x:v>国内电商运营是电商行业中不可或缺的关键角色，负责推动线上平台的日常运作与业务增长，确保用户体验的持续优化，同时通过数据分析指导策略调整，以适应快速变化的市场环境。作为公司业绩增长的重要驱动力，该职位的核心目标在于提升品牌…</x:v>
      </x:c>
      <x:c r="L1106" s="26" t="str">
        <x:v>1. 负责电商平台的整体规划与日常运营管理，包括但不限于商品上架、活动策划、页面优化等工作，以提高用户粘性和复购率。 2. 分析用户行为数据，定期出具运营报告，针对发现的问题提出改进措施并落实执行，旨在持续改善用户体验，…</x:v>
      </x:c>
    </x:row>
    <x:row r="1107" ht="72" customHeight="1">
      <x:c r="A1107" s="25" t="n">
        <x:v>11999</x:v>
      </x:c>
      <x:c r="B1107" s="25" t="str">
        <x:v>IC-L3-1256</x:v>
      </x:c>
      <x:c r="C1107" s="25" t="str">
        <x:v>店铺推广</x:v>
      </x:c>
      <x:c r="D1107" s="25" t="str">
        <x:v>4-04-05-01</x:v>
      </x:c>
      <x:c r="E1107" s="25" t="str">
        <x:v>计算机程序设计员</x:v>
      </x:c>
      <x:c r="F1107" s="28" t="n">
        <x:f>COUNTIF('岗位-产业节点关系'!$C$4:$C$709,B1107)</x:f>
        <x:v>1</x:v>
      </x:c>
      <x:c r="G1107" s="26" t="str">
        <x:f>IF(F1107=0,"未匹配（现有产业链范围未覆盖或证据不足）",IF(COUNTIFS('岗位-产业节点关系'!$C$4:$C$709,B1107,'岗位-产业节点关系'!$M$4:$M$709,"低")&gt;0,"已匹配，建议复核","已匹配"))</x:f>
        <x:v>已匹配，建议复核</x:v>
      </x:c>
      <x:c r="H1107" s="26" t="str">
        <x:v>低</x:v>
      </x:c>
      <x:c r="I1107" s="26" t="str">
        <x:v>ICN003</x:v>
      </x:c>
      <x:c r="J1107" s="26" t="str">
        <x:v>数据要素与数字经济产业链/下游/数字经济场景应用与内容创意</x:v>
      </x:c>
      <x:c r="K1107" s="26" t="str">
        <x:v>电商运营中的店铺推广职位，在当前快速发展的电子商务行业中扮演着至关重要的角色。作为连接产品与消费者的桥梁，店铺推广人员通过精准的市场分析和高效的营销策略，不仅能够提升品牌知名度，还能促进销售额的增长，是企业实现线上业务增…</x:v>
      </x:c>
      <x:c r="L1107" s="26" t="str">
        <x:v>1. 负责制定并实施店铺的年度及季度推广计划，确保达成销售目标。 2. 分析竞争对手动态及市场趋势，调整优化推广策略，提高广告投入产出比。 3. 利用社交媒体、电子邮件等多种渠道进行品牌宣传，增强用户粘性和复购率。 4.…</x:v>
      </x:c>
    </x:row>
    <x:row r="1108" ht="72" customHeight="1">
      <x:c r="A1108" s="25" t="n">
        <x:v>12000</x:v>
      </x:c>
      <x:c r="B1108" s="25" t="str">
        <x:v>IC-L3-1257</x:v>
      </x:c>
      <x:c r="C1108" s="25" t="str">
        <x:v>跨境电商运营</x:v>
      </x:c>
      <x:c r="D1108" s="25" t="str">
        <x:v>4-04-05-01</x:v>
      </x:c>
      <x:c r="E1108" s="25" t="str">
        <x:v>计算机程序设计员</x:v>
      </x:c>
      <x:c r="F1108" s="28" t="n">
        <x:f>COUNTIF('岗位-产业节点关系'!$C$4:$C$709,B1108)</x:f>
        <x:v>1</x:v>
      </x:c>
      <x:c r="G1108" s="26" t="str">
        <x:f>IF(F1108=0,"未匹配（现有产业链范围未覆盖或证据不足）",IF(COUNTIFS('岗位-产业节点关系'!$C$4:$C$709,B1108,'岗位-产业节点关系'!$M$4:$M$709,"低")&gt;0,"已匹配，建议复核","已匹配"))</x:f>
        <x:v>已匹配</x:v>
      </x:c>
      <x:c r="H1108" s="26" t="str">
        <x:v>中</x:v>
      </x:c>
      <x:c r="I1108" s="26" t="str">
        <x:v>ICN003</x:v>
      </x:c>
      <x:c r="J1108" s="26" t="str">
        <x:v>数据要素与数字经济产业链/下游/数字经济场景应用与内容创意</x:v>
      </x:c>
      <x:c r="K1108" s="26" t="str">
        <x:v>跨境电商运营是电商行业中至关重要的角色之一，它不仅连接了国内市场与全球消费者，还促进了商品和服务的国际流通。此职位通过深入了解国际市场动态，制定并执行有效的跨境电商业务策略，确保产品能够顺利进入目标市场，并获得良好的销售…</x:v>
      </x:c>
      <x:c r="L1108" s="26" t="str">
        <x:v>1. 负责研究分析目标市场的消费者行为特征，制定符合当地市场需求的产品上线计划。 2. 结合节假日等时间节点策划线上促销活动，提高用户活跃度及转化率。 3. 与供应链管理团队沟通协调，确保库存合理、物流顺畅，满足海外市场…</x:v>
      </x:c>
    </x:row>
    <x:row r="1109" ht="72" customHeight="1">
      <x:c r="A1109" s="25" t="n">
        <x:v>12001</x:v>
      </x:c>
      <x:c r="B1109" s="25" t="str">
        <x:v>IC-L3-1258</x:v>
      </x:c>
      <x:c r="C1109" s="25" t="str">
        <x:v>线下推广</x:v>
      </x:c>
      <x:c r="D1109" s="25" t="str">
        <x:v>4-01-02-01</x:v>
      </x:c>
      <x:c r="E1109" s="25" t="str">
        <x:v>营销员</x:v>
      </x:c>
      <x:c r="F1109" s="28" t="n">
        <x:f>COUNTIF('岗位-产业节点关系'!$C$4:$C$709,B1109)</x:f>
        <x:v>0</x:v>
      </x:c>
      <x:c r="G1109" s="26" t="str">
        <x:f>IF(F1109=0,"未匹配（现有产业链范围未覆盖或证据不足）",IF(COUNTIFS('岗位-产业节点关系'!$C$4:$C$709,B1109,'岗位-产业节点关系'!$M$4:$M$709,"低")&gt;0,"已匹配，建议复核","已匹配"))</x:f>
        <x:v>未匹配（现有产业链范围未覆盖或证据不足）</x:v>
      </x:c>
      <x:c r="H1109" s="26" t="str">
        <x:v>-</x:v>
      </x:c>
      <x:c r="I1109" s="26" t="str"/>
      <x:c r="J1109" s="26" t="str"/>
      <x:c r="K1109" s="26" t="str">
        <x:v>线下推广专员是运营领域中不可或缺的角色，通过策划并执行各种线下活动来提升品牌知名度和用户参与度。这一职位不仅要求具备优秀的市场洞察力和活动策划能力，还需要能够精准把握消费者心理，从而设计出既符合品牌形象又能吸引目标客户群…</x:v>
      </x:c>
      <x:c r="L1109" s="26" t="str">
        <x:v>1. 负责策划并组织实施各类线下宣传活动，包括但不限于展会、路演等，以提高品牌知名度和影响力。 2. 与内部团队紧密配合，协调资源完成活动筹备工作，确保活动流程顺畅无误。 3. 收集活动现场数据，分析活动效果，提出改进建…</x:v>
      </x:c>
    </x:row>
    <x:row r="1110" ht="72" customHeight="1">
      <x:c r="A1110" s="25" t="n">
        <x:v>12002</x:v>
      </x:c>
      <x:c r="B1110" s="25" t="str">
        <x:v>IC-L3-1259</x:v>
      </x:c>
      <x:c r="C1110" s="25" t="str">
        <x:v>车辆运营</x:v>
      </x:c>
      <x:c r="D1110" s="25" t="str">
        <x:v>4-01-02-01</x:v>
      </x:c>
      <x:c r="E1110" s="25" t="str">
        <x:v>营销员</x:v>
      </x:c>
      <x:c r="F1110" s="28" t="n">
        <x:f>COUNTIF('岗位-产业节点关系'!$C$4:$C$709,B1110)</x:f>
        <x:v>0</x:v>
      </x:c>
      <x:c r="G1110" s="26" t="str">
        <x:f>IF(F1110=0,"未匹配（现有产业链范围未覆盖或证据不足）",IF(COUNTIFS('岗位-产业节点关系'!$C$4:$C$709,B1110,'岗位-产业节点关系'!$M$4:$M$709,"低")&gt;0,"已匹配，建议复核","已匹配"))</x:f>
        <x:v>未匹配（现有产业链范围未覆盖或证据不足）</x:v>
      </x:c>
      <x:c r="H1110" s="26" t="str">
        <x:v>-</x:v>
      </x:c>
      <x:c r="I1110" s="26" t="str"/>
      <x:c r="J1110" s="26" t="str"/>
      <x:c r="K1110" s="26" t="str">
        <x:v>车辆运营作为线下运营的重要组成部分，在交通出行行业中扮演着关键角色。通过高效管理和优化车辆资源，确保服务的顺畅运行，满足用户需求的同时提升用户体验，是该职位的核心价值所在。此外，车辆运营专员还需与产品、技术、市场等多个部…</x:v>
      </x:c>
      <x:c r="L1110" s="26" t="str">
        <x:v>1. 负责车辆的日常调度工作，确保车辆合理分配至各服务点，满足客户需求。 2. 定期检查车辆状态，安排必要的维护保养计划，保障车辆安全可靠地运行。 3. 分析运营数据，识别并解决影响车辆利用率的问题，持续优化运营流程。 …</x:v>
      </x:c>
    </x:row>
    <x:row r="1111" ht="72" customHeight="1">
      <x:c r="A1111" s="25" t="n">
        <x:v>12003</x:v>
      </x:c>
      <x:c r="B1111" s="25" t="str">
        <x:v>IC-L3-1260</x:v>
      </x:c>
      <x:c r="C1111" s="25" t="str">
        <x:v>活动运营</x:v>
      </x:c>
      <x:c r="D1111" s="25" t="str">
        <x:v>4-01-02-01</x:v>
      </x:c>
      <x:c r="E1111" s="25" t="str">
        <x:v>营销员</x:v>
      </x:c>
      <x:c r="F1111" s="28" t="n">
        <x:f>COUNTIF('岗位-产业节点关系'!$C$4:$C$709,B1111)</x:f>
        <x:v>0</x:v>
      </x:c>
      <x:c r="G1111" s="26" t="str">
        <x:f>IF(F1111=0,"未匹配（现有产业链范围未覆盖或证据不足）",IF(COUNTIFS('岗位-产业节点关系'!$C$4:$C$709,B1111,'岗位-产业节点关系'!$M$4:$M$709,"低")&gt;0,"已匹配，建议复核","已匹配"))</x:f>
        <x:v>未匹配（现有产业链范围未覆盖或证据不足）</x:v>
      </x:c>
      <x:c r="H1111" s="26" t="str">
        <x:v>-</x:v>
      </x:c>
      <x:c r="I1111" s="26" t="str"/>
      <x:c r="J1111" s="26" t="str"/>
      <x:c r="K1111" s="26" t="str">
        <x:v>活动运营是专门从事线下活动策划与执行的专业人员。该职位的核心目标是通过策划优质活动方案，提升品牌影响力和用户参与度。在日常工作中，需要进行活动策划、现场执行、数据分析和效果复盘等工作。</x:v>
      </x:c>
      <x:c r="L1111" s="26" t="str">
        <x:v>1. 策划线下活动方案 2. 协调场地人员安排 3. 控制活动执行流程 4. 管理活动现场秩序 5. 收集整理活动数据 6. 优化后续活动方案</x:v>
      </x:c>
    </x:row>
    <x:row r="1112" ht="72" customHeight="1">
      <x:c r="A1112" s="25" t="n">
        <x:v>12004</x:v>
      </x:c>
      <x:c r="B1112" s="25" t="str">
        <x:v>IC-L3-1261</x:v>
      </x:c>
      <x:c r="C1112" s="25" t="str">
        <x:v>运营总监</x:v>
      </x:c>
      <x:c r="D1112" s="25" t="str">
        <x:v>2-06-07-01</x:v>
      </x:c>
      <x:c r="E1112" s="25" t="str">
        <x:v>国际商务专业人员</x:v>
      </x:c>
      <x:c r="F1112" s="28" t="n">
        <x:f>COUNTIF('岗位-产业节点关系'!$C$4:$C$709,B1112)</x:f>
        <x:v>0</x:v>
      </x:c>
      <x:c r="G1112" s="26" t="str">
        <x:f>IF(F1112=0,"未匹配（现有产业链范围未覆盖或证据不足）",IF(COUNTIFS('岗位-产业节点关系'!$C$4:$C$709,B1112,'岗位-产业节点关系'!$M$4:$M$709,"低")&gt;0,"已匹配，建议复核","已匹配"))</x:f>
        <x:v>未匹配（现有产业链范围未覆盖或证据不足）</x:v>
      </x:c>
      <x:c r="H1112" s="26" t="str">
        <x:v>-</x:v>
      </x:c>
      <x:c r="I1112" s="26" t="str"/>
      <x:c r="J1112" s="26" t="str"/>
      <x:c r="K1112" s="26" t="str">
        <x:v>运营总监是企业运营体系中的核心领导角色，负责制定并执行公司整体运营战略，确保业务高效运转与持续增长。该职位不仅在推动公司内部流程优化方面发挥关键作用，也是连接市场动态与内部管理的重要桥梁，通过精准的数据分析和市场洞察，为…</x:v>
      </x:c>
      <x:c r="L1112" s="26" t="str">
        <x:v>1. 制定并实施全面的运营策略，确保公司各项业务流程顺畅运行，达成年度业绩目标。 2. 监控日常运营数据，定期进行市场趋势分析，及时调整运营方案以适应外部环境的变化。 3. 与各部门密切配合，协调资源分配，解决运营过程中…</x:v>
      </x:c>
    </x:row>
    <x:row r="1113" ht="72" customHeight="1">
      <x:c r="A1113" s="25" t="n">
        <x:v>12005</x:v>
      </x:c>
      <x:c r="B1113" s="25" t="str">
        <x:v>IC-L3-1262</x:v>
      </x:c>
      <x:c r="C1113" s="25" t="str">
        <x:v>首席营销官CMO</x:v>
      </x:c>
      <x:c r="D1113" s="25" t="str">
        <x:v>4-01-02-01</x:v>
      </x:c>
      <x:c r="E1113" s="25" t="str">
        <x:v>营销员</x:v>
      </x:c>
      <x:c r="F1113" s="28" t="n">
        <x:f>COUNTIF('岗位-产业节点关系'!$C$4:$C$709,B1113)</x:f>
        <x:v>0</x:v>
      </x:c>
      <x:c r="G1113" s="26" t="str">
        <x:f>IF(F1113=0,"未匹配（现有产业链范围未覆盖或证据不足）",IF(COUNTIFS('岗位-产业节点关系'!$C$4:$C$709,B1113,'岗位-产业节点关系'!$M$4:$M$709,"低")&gt;0,"已匹配，建议复核","已匹配"))</x:f>
        <x:v>未匹配（现有产业链范围未覆盖或证据不足）</x:v>
      </x:c>
      <x:c r="H1113" s="26" t="str">
        <x:v>-</x:v>
      </x:c>
      <x:c r="I1113" s="26" t="str"/>
      <x:c r="J1113" s="26" t="str"/>
      <x:c r="K1113" s="26" t="str">
        <x:v>首席营销官（CMO）是运营领域中至关重要的领导角色，负责制定并执行公司的市场营销策略，以实现业务增长和品牌价值提升。作为公司最高级别的营销负责人，CMO不仅需要具备卓越的战略思维能力，还需要拥有丰富的市场洞察力和创新能力…</x:v>
      </x:c>
      <x:c r="L1113" s="26" t="str">
        <x:v>1. 制定全面的市场营销计划，包括但不限于品牌建设、产品推广、渠道拓展等方面，旨在提升品牌影响力及市场份额。 2. 分析市场趋势和竞争对手动态，指导团队进行针对性的营销策略调整，确保公司在竞争中保持领先地位。 3. 负责…</x:v>
      </x:c>
    </x:row>
    <x:row r="1114" ht="72" customHeight="1">
      <x:c r="A1114" s="25" t="n">
        <x:v>12006</x:v>
      </x:c>
      <x:c r="B1114" s="25" t="str">
        <x:v>IC-L3-1263</x:v>
      </x:c>
      <x:c r="C1114" s="25" t="str">
        <x:v>首席运营官COO</x:v>
      </x:c>
      <x:c r="D1114" s="25" t="str">
        <x:v>2-06-07-01</x:v>
      </x:c>
      <x:c r="E1114" s="25" t="str">
        <x:v>国际商务专业人员</x:v>
      </x:c>
      <x:c r="F1114" s="28" t="n">
        <x:f>COUNTIF('岗位-产业节点关系'!$C$4:$C$709,B1114)</x:f>
        <x:v>0</x:v>
      </x:c>
      <x:c r="G1114" s="26" t="str">
        <x:f>IF(F1114=0,"未匹配（现有产业链范围未覆盖或证据不足）",IF(COUNTIFS('岗位-产业节点关系'!$C$4:$C$709,B1114,'岗位-产业节点关系'!$M$4:$M$709,"低")&gt;0,"已匹配，建议复核","已匹配"))</x:f>
        <x:v>未匹配（现有产业链范围未覆盖或证据不足）</x:v>
      </x:c>
      <x:c r="H1114" s="26" t="str">
        <x:v>-</x:v>
      </x:c>
      <x:c r="I1114" s="26" t="str"/>
      <x:c r="J1114" s="26" t="str"/>
      <x:c r="K1114" s="26" t="str">
        <x:v>首席运营官（COO）是公司运营领域的最高管理者，在企业中占据核心地位。作为运营领域的领军人物，COO负责制定和实施高效的运营策略，确保公司内部流程顺畅，提高工作效率和盈利能力，同时保证服务质量，为企业的可持续发展提供坚实…</x:v>
      </x:c>
      <x:c r="L1114" s="26" t="str">
        <x:v>1. 制定全面的运营策略，指导各部门优化工作流程，以达到提高效率、降低成本的目标。 2. 监控日常运营状况，定期分析关键绩效指标(KPIs)，及时调整计划以应对内外部环境的变化。 3. 与CEO及董事会沟通，提出改善建议…</x:v>
      </x:c>
    </x:row>
    <x:row r="1115" ht="72" customHeight="1">
      <x:c r="A1115" s="25" t="n">
        <x:v>12007</x:v>
      </x:c>
      <x:c r="B1115" s="25" t="str">
        <x:v>IC-L3-1264</x:v>
      </x:c>
      <x:c r="C1115" s="25" t="str">
        <x:v>EDA工程师</x:v>
      </x:c>
      <x:c r="D1115" s="25" t="str">
        <x:v>2-02-09-02</x:v>
      </x:c>
      <x:c r="E1115" s="25" t="str">
        <x:v>电子元器件工程技术人员</x:v>
      </x:c>
      <x:c r="F1115" s="28" t="n">
        <x:f>COUNTIF('岗位-产业节点关系'!$C$4:$C$709,B1115)</x:f>
        <x:v>3</x:v>
      </x:c>
      <x:c r="G1115" s="26" t="str">
        <x:f>IF(F1115=0,"未匹配（现有产业链范围未覆盖或证据不足）",IF(COUNTIFS('岗位-产业节点关系'!$C$4:$C$709,B1115,'岗位-产业节点关系'!$M$4:$M$709,"低")&gt;0,"已匹配，建议复核","已匹配"))</x:f>
        <x:v>已匹配，建议复核</x:v>
      </x:c>
      <x:c r="H1115" s="26" t="str">
        <x:v>中</x:v>
      </x:c>
      <x:c r="I1115" s="26" t="str">
        <x:v>ICN046、ICN047、ICN016</x:v>
      </x:c>
      <x:c r="J1115" s="26" t="str">
        <x:v>半导体与集成电路产业链/上游/半导体材料与制造设备；半导体与集成电路产业链/中游/芯片设计、制造、封测与集成电路；智能物联与消费电子产业链/上游/传感器、芯片模组与基础器件</x:v>
      </x:c>
      <x:c r="K1115" s="26" t="str">
        <x:v>EDA工程师是通信/电子行业中不可或缺的专业人才，在半导体/芯片设计领域扮演着关键角色。他们通过运用先进的电子设计自动化工具，为复杂电路的设计、验证与优化提供技术支持，确保产品性能达到预期标准，加速研发进程，降低开发成本…</x:v>
      </x:c>
      <x:c r="L1115" s="26" t="str">
        <x:v>1. 负责使用EDA工具进行数字或模拟集成电路的逻辑设计、仿真测试及物理实现，确保设计方案满足功能需求和性能指标。 2. 对现有设计流程进行评估与改进，引入新的设计方法和技术以提高工作效率和设计质量。 3. 协同硬件、软…</x:v>
      </x:c>
    </x:row>
    <x:row r="1116" ht="72" customHeight="1">
      <x:c r="A1116" s="25" t="n">
        <x:v>12008</x:v>
      </x:c>
      <x:c r="B1116" s="25" t="str">
        <x:v>IC-L3-1265</x:v>
      </x:c>
      <x:c r="C1116" s="25" t="str">
        <x:v>FAE 现场应用工程师</x:v>
      </x:c>
      <x:c r="D1116" s="25" t="str">
        <x:v>2-02-09-02</x:v>
      </x:c>
      <x:c r="E1116" s="25" t="str">
        <x:v>电子元器件工程技术人员</x:v>
      </x:c>
      <x:c r="F1116" s="28" t="n">
        <x:f>COUNTIF('岗位-产业节点关系'!$C$4:$C$709,B1116)</x:f>
        <x:v>0</x:v>
      </x:c>
      <x:c r="G1116" s="26" t="str">
        <x:f>IF(F1116=0,"未匹配（现有产业链范围未覆盖或证据不足）",IF(COUNTIFS('岗位-产业节点关系'!$C$4:$C$709,B1116,'岗位-产业节点关系'!$M$4:$M$709,"低")&gt;0,"已匹配，建议复核","已匹配"))</x:f>
        <x:v>未匹配（现有产业链范围未覆盖或证据不足）</x:v>
      </x:c>
      <x:c r="H1116" s="26" t="str">
        <x:v>-</x:v>
      </x:c>
      <x:c r="I1116" s="26" t="str"/>
      <x:c r="J1116" s="26" t="str"/>
      <x:c r="K1116" s="26" t="str">
        <x:v>现场应用工程师（FAE）是通信/电子行业中不可或缺的角色，特别是在半导体/芯片领域，他们充当了技术与市场的桥梁，确保产品从设计到实现的顺利过渡。作为客户与公司之间的联络人，FAE负责提供技术支持，解决客户在使用过程中遇到…</x:v>
      </x:c>
      <x:c r="L1116" s="26" t="str">
        <x:v>1. 为客户提供全面的技术支持，包括但不限于产品选型指导、方案设计建议以及故障排除服务，确保客户能够高效地利用公司的半导体/芯片解决方案。 2. 参与新产品的开发流程，与研发团队紧密配合，确保产品功能符合市场需求，同时为…</x:v>
      </x:c>
    </x:row>
    <x:row r="1117" ht="72" customHeight="1">
      <x:c r="A1117" s="25" t="n">
        <x:v>12009</x:v>
      </x:c>
      <x:c r="B1117" s="25" t="str">
        <x:v>IC-L3-1266</x:v>
      </x:c>
      <x:c r="C1117" s="25" t="str">
        <x:v>FPGA原型验证工程师</x:v>
      </x:c>
      <x:c r="D1117" s="25" t="str">
        <x:v>2-02-09-02</x:v>
      </x:c>
      <x:c r="E1117" s="25" t="str">
        <x:v>电子元器件工程技术人员</x:v>
      </x:c>
      <x:c r="F1117" s="28" t="n">
        <x:f>COUNTIF('岗位-产业节点关系'!$C$4:$C$709,B1117)</x:f>
        <x:v>2</x:v>
      </x:c>
      <x:c r="G1117" s="26" t="str">
        <x:f>IF(F1117=0,"未匹配（现有产业链范围未覆盖或证据不足）",IF(COUNTIFS('岗位-产业节点关系'!$C$4:$C$709,B1117,'岗位-产业节点关系'!$M$4:$M$709,"低")&gt;0,"已匹配，建议复核","已匹配"))</x:f>
        <x:v>已匹配，建议复核</x:v>
      </x:c>
      <x:c r="H1117" s="26" t="str">
        <x:v>中</x:v>
      </x:c>
      <x:c r="I1117" s="26" t="str">
        <x:v>ICN047、ICN016</x:v>
      </x:c>
      <x:c r="J1117" s="26" t="str">
        <x:v>半导体与集成电路产业链/中游/芯片设计、制造、封测与集成电路；智能物联与消费电子产业链/上游/传感器、芯片模组与基础器件</x:v>
      </x:c>
      <x:c r="K1117" s="26" t="str">
        <x:v>FPGA原型验证工程师是通信/电子行业中半导体/芯片领域的重要角色，他们负责确保设计的正确性和可靠性，对于加速产品开发周期、降低研发成本具有不可替代的作用。通过构建和优化FPGA原型系统，工程师们能够快速测试和验证新的算…</x:v>
      </x:c>
      <x:c r="L1117" s="26" t="str">
        <x:v>1. 负责基于FPGA的原型验证平台的设计与实现，确保设计方案满足性能要求。 2. 对SoC/IP模块进行功能验证，编写高质量的测试用例，发现并定位潜在的问题点。 3. 与研发团队密切配合，参与需求分析和技术评审，提出合…</x:v>
      </x:c>
    </x:row>
    <x:row r="1118" ht="72" customHeight="1">
      <x:c r="A1118" s="25" t="n">
        <x:v>12010</x:v>
      </x:c>
      <x:c r="B1118" s="25" t="str">
        <x:v>IC-L3-1267</x:v>
      </x:c>
      <x:c r="C1118" s="25" t="str">
        <x:v>FPGA开发工程师</x:v>
      </x:c>
      <x:c r="D1118" s="25" t="str">
        <x:v>2-02-09-02</x:v>
      </x:c>
      <x:c r="E1118" s="25" t="str">
        <x:v>电子元器件工程技术人员</x:v>
      </x:c>
      <x:c r="F1118" s="28" t="n">
        <x:f>COUNTIF('岗位-产业节点关系'!$C$4:$C$709,B1118)</x:f>
        <x:v>2</x:v>
      </x:c>
      <x:c r="G1118" s="26" t="str">
        <x:f>IF(F1118=0,"未匹配（现有产业链范围未覆盖或证据不足）",IF(COUNTIFS('岗位-产业节点关系'!$C$4:$C$709,B1118,'岗位-产业节点关系'!$M$4:$M$709,"低")&gt;0,"已匹配，建议复核","已匹配"))</x:f>
        <x:v>已匹配，建议复核</x:v>
      </x:c>
      <x:c r="H1118" s="26" t="str">
        <x:v>中</x:v>
      </x:c>
      <x:c r="I1118" s="26" t="str">
        <x:v>ICN047、ICN016</x:v>
      </x:c>
      <x:c r="J1118" s="26" t="str">
        <x:v>半导体与集成电路产业链/中游/芯片设计、制造、封测与集成电路；智能物联与消费电子产业链/上游/传感器、芯片模组与基础器件</x:v>
      </x:c>
      <x:c r="K1118" s="26" t="str">
        <x:v>FPGA开发工程师是通信与电子行业中不可或缺的技术力量，特别是在半导体和芯片领域中扮演着至关重要的角色。通过利用现场可编程门阵列（FPGA）技术，他们能够实现快速原型设计和灵活的产品定制，从而加速产品上市时间并降低研发成…</x:v>
      </x:c>
      <x:c r="L1118" s="26" t="str">
        <x:v>1. 负责FPGA逻辑的设计与实现，包括但不限于算法模型建立、模块划分以及代码编写等工作，确保满足性能指标要求。 2. 进行FPGA功能仿真测试，通过编写测试用例来检查设计正确性，及时发现并解决潜在问题，提高产品的可靠性…</x:v>
      </x:c>
    </x:row>
    <x:row r="1119" ht="72" customHeight="1">
      <x:c r="A1119" s="25" t="n">
        <x:v>12011</x:v>
      </x:c>
      <x:c r="B1119" s="25" t="str">
        <x:v>IC-L3-1268</x:v>
      </x:c>
      <x:c r="C1119" s="25" t="str">
        <x:v>IC版图设计</x:v>
      </x:c>
      <x:c r="D1119" s="25" t="str">
        <x:v>2-02-09-02</x:v>
      </x:c>
      <x:c r="E1119" s="25" t="str">
        <x:v>电子元器件工程技术人员</x:v>
      </x:c>
      <x:c r="F1119" s="28" t="n">
        <x:f>COUNTIF('岗位-产业节点关系'!$C$4:$C$709,B1119)</x:f>
        <x:v>1</x:v>
      </x:c>
      <x:c r="G1119" s="26" t="str">
        <x:f>IF(F1119=0,"未匹配（现有产业链范围未覆盖或证据不足）",IF(COUNTIFS('岗位-产业节点关系'!$C$4:$C$709,B1119,'岗位-产业节点关系'!$M$4:$M$709,"低")&gt;0,"已匹配，建议复核","已匹配"))</x:f>
        <x:v>已匹配，建议复核</x:v>
      </x:c>
      <x:c r="H1119" s="26" t="str">
        <x:v>低</x:v>
      </x:c>
      <x:c r="I1119" s="26" t="str">
        <x:v>ICN047</x:v>
      </x:c>
      <x:c r="J1119" s="26" t="str">
        <x:v>半导体与集成电路产业链/中游/芯片设计、制造、封测与集成电路</x:v>
      </x:c>
      <x:c r="K1119" s="26" t="str">
        <x:v>IC版图设计师是通信/电子行业中半导体/芯片领域的重要角色之一，负责芯片物理设计的关键环节，确保集成电路的设计能够准确无误地转化为实际产品。该职位不仅需要具备深厚的技术背景，还需拥有良好的创新意识与问题解决能力，对于推动…</x:v>
      </x:c>
      <x:c r="L1119" s="26" t="str">
        <x:v>1. 负责基于特定工艺库的集成电路版图设计，确保满足电气特性和物理尺寸的要求。 2. 与前端设计工程师沟通协调，确保版图设计符合逻辑设计意图，有效支持整体项目进度。 3. 进行版图验证工作，包括DRC（设计规则检查）、L…</x:v>
      </x:c>
    </x:row>
    <x:row r="1120" ht="72" customHeight="1">
      <x:c r="A1120" s="25" t="n">
        <x:v>12012</x:v>
      </x:c>
      <x:c r="B1120" s="25" t="str">
        <x:v>IC-L3-1269</x:v>
      </x:c>
      <x:c r="C1120" s="25" t="str">
        <x:v>IC验证工程师</x:v>
      </x:c>
      <x:c r="D1120" s="25" t="str">
        <x:v>2-02-09-02</x:v>
      </x:c>
      <x:c r="E1120" s="25" t="str">
        <x:v>电子元器件工程技术人员</x:v>
      </x:c>
      <x:c r="F1120" s="28" t="n">
        <x:f>COUNTIF('岗位-产业节点关系'!$C$4:$C$709,B1120)</x:f>
        <x:v>1</x:v>
      </x:c>
      <x:c r="G1120" s="26" t="str">
        <x:f>IF(F1120=0,"未匹配（现有产业链范围未覆盖或证据不足）",IF(COUNTIFS('岗位-产业节点关系'!$C$4:$C$709,B1120,'岗位-产业节点关系'!$M$4:$M$709,"低")&gt;0,"已匹配，建议复核","已匹配"))</x:f>
        <x:v>已匹配，建议复核</x:v>
      </x:c>
      <x:c r="H1120" s="26" t="str">
        <x:v>低</x:v>
      </x:c>
      <x:c r="I1120" s="26" t="str">
        <x:v>ICN047</x:v>
      </x:c>
      <x:c r="J1120" s="26" t="str">
        <x:v>半导体与集成电路产业链/中游/芯片设计、制造、封测与集成电路</x:v>
      </x:c>
      <x:c r="K1120" s="26" t="str">
        <x:v>IC验证工程师是半导体/芯片行业中不可或缺的专业技术人才，负责确保集成电路设计的正确性和可靠性。在高度复杂的设计过程中，他们通过构建和执行验证计划来检测潜在的设计缺陷，从而保证产品性能达到预期标准。这一角色不仅对于提高产…</x:v>
      </x:c>
      <x:c r="L1120" s="26" t="str">
        <x:v>1. 负责制定详细的IC验证策略及测试计划，确保涵盖所有关键功能点，以实现高质量的设计输出。 2. 开发和维护高效的验证平台，利用自动化工具提高验证效率，减少人为错误，确保验证过程的稳定性和可重复性。 3. 执行系统级和…</x:v>
      </x:c>
    </x:row>
    <x:row r="1121" ht="72" customHeight="1">
      <x:c r="A1121" s="25" t="n">
        <x:v>12013</x:v>
      </x:c>
      <x:c r="B1121" s="25" t="str">
        <x:v>IC-L3-1270</x:v>
      </x:c>
      <x:c r="C1121" s="25" t="str">
        <x:v>MEMS工程师</x:v>
      </x:c>
      <x:c r="D1121" s="25" t="str">
        <x:v>2-02-09-02</x:v>
      </x:c>
      <x:c r="E1121" s="25" t="str">
        <x:v>电子元器件工程技术人员</x:v>
      </x:c>
      <x:c r="F1121" s="28" t="n">
        <x:f>COUNTIF('岗位-产业节点关系'!$C$4:$C$709,B1121)</x:f>
        <x:v>1</x:v>
      </x:c>
      <x:c r="G1121" s="26" t="str">
        <x:f>IF(F1121=0,"未匹配（现有产业链范围未覆盖或证据不足）",IF(COUNTIFS('岗位-产业节点关系'!$C$4:$C$709,B1121,'岗位-产业节点关系'!$M$4:$M$709,"低")&gt;0,"已匹配，建议复核","已匹配"))</x:f>
        <x:v>已匹配，建议复核</x:v>
      </x:c>
      <x:c r="H1121" s="26" t="str">
        <x:v>低</x:v>
      </x:c>
      <x:c r="I1121" s="26" t="str">
        <x:v>ICN016</x:v>
      </x:c>
      <x:c r="J1121" s="26" t="str">
        <x:v>智能物联与消费电子产业链/上游/传感器、芯片模组与基础器件</x:v>
      </x:c>
      <x:c r="K1121" s="26" t="str">
        <x:v>MEMS工程师在通信/电子行业的半导体/芯片领域中扮演着至关重要的角色。随着物联网、智能设备等技术的发展，对于微型化、低功耗、高精度传感器的需求日益增长，这使得MEMS（微机电系统）技术成为推动行业进步的关键力量。作为M…</x:v>
      </x:c>
      <x:c r="L1121" s="26" t="str">
        <x:v>1. 负责MEMS器件的设计与仿真工作，依据项目需求制定合理的技术路线图，确保设计方案满足功能要求并具有良好的可制造性。 2. 参与新产品的研发流程，从概念阶段到原型制作，全程跟踪项目进度，及时调整设计参数以优化产品性能…</x:v>
      </x:c>
    </x:row>
    <x:row r="1122" ht="72" customHeight="1">
      <x:c r="A1122" s="25" t="n">
        <x:v>12014</x:v>
      </x:c>
      <x:c r="B1122" s="25" t="str">
        <x:v>IC-L3-1271</x:v>
      </x:c>
      <x:c r="C1122" s="25" t="str">
        <x:v>半导体产品经理/产品工程师</x:v>
      </x:c>
      <x:c r="D1122" s="25" t="str">
        <x:v>2-02-09-02</x:v>
      </x:c>
      <x:c r="E1122" s="25" t="str">
        <x:v>电子元器件工程技术人员</x:v>
      </x:c>
      <x:c r="F1122" s="28" t="n">
        <x:f>COUNTIF('岗位-产业节点关系'!$C$4:$C$709,B1122)</x:f>
        <x:v>1</x:v>
      </x:c>
      <x:c r="G1122" s="26" t="str">
        <x:f>IF(F1122=0,"未匹配（现有产业链范围未覆盖或证据不足）",IF(COUNTIFS('岗位-产业节点关系'!$C$4:$C$709,B1122,'岗位-产业节点关系'!$M$4:$M$709,"低")&gt;0,"已匹配，建议复核","已匹配"))</x:f>
        <x:v>已匹配</x:v>
      </x:c>
      <x:c r="H1122" s="26" t="str">
        <x:v>中</x:v>
      </x:c>
      <x:c r="I1122" s="26" t="str">
        <x:v>ICN048</x:v>
      </x:c>
      <x:c r="J1122" s="26" t="str">
        <x:v>半导体与集成电路产业链/下游/电子终端、汽车与工业芯片应用</x:v>
      </x:c>
      <x:c r="K1122" s="26" t="str">
        <x:v>半导体产品经理/产品工程师是通信与电子行业中至关重要的角色，特别是在快速发展的半导体/芯片领域。这一职位不仅要求具备深厚的技术背景，还需要有敏锐的市场洞察力和强大的项目管理能力，以确保产品从概念到市场的顺利过渡。 该职位…</x:v>
      </x:c>
      <x:c r="L1122" s="26" t="str">
        <x:v>1. 负责收集并分析市场需求，结合公司战略和技术路线图，制定清晰的产品规划及路线图。 2. 协调跨部门资源，监督项目进度，确保新产品按时按质完成开发并顺利上市。 3. 与研发团队密切合作，参与产品设计评审，提出改进建议，…</x:v>
      </x:c>
    </x:row>
    <x:row r="1123" ht="72" customHeight="1">
      <x:c r="A1123" s="25" t="n">
        <x:v>12015</x:v>
      </x:c>
      <x:c r="B1123" s="25" t="str">
        <x:v>IC-L3-1272</x:v>
      </x:c>
      <x:c r="C1123" s="25" t="str">
        <x:v>半导体器件工程师</x:v>
      </x:c>
      <x:c r="D1123" s="25" t="str">
        <x:v>2-02-09-02</x:v>
      </x:c>
      <x:c r="E1123" s="25" t="str">
        <x:v>电子元器件工程技术人员</x:v>
      </x:c>
      <x:c r="F1123" s="28" t="n">
        <x:f>COUNTIF('岗位-产业节点关系'!$C$4:$C$709,B1123)</x:f>
        <x:v>1</x:v>
      </x:c>
      <x:c r="G1123" s="26" t="str">
        <x:f>IF(F1123=0,"未匹配（现有产业链范围未覆盖或证据不足）",IF(COUNTIFS('岗位-产业节点关系'!$C$4:$C$709,B1123,'岗位-产业节点关系'!$M$4:$M$709,"低")&gt;0,"已匹配，建议复核","已匹配"))</x:f>
        <x:v>已匹配</x:v>
      </x:c>
      <x:c r="H1123" s="26" t="str">
        <x:v>中</x:v>
      </x:c>
      <x:c r="I1123" s="26" t="str">
        <x:v>ICN046</x:v>
      </x:c>
      <x:c r="J1123" s="26" t="str">
        <x:v>半导体与集成电路产业链/上游/半导体材料与制造设备</x:v>
      </x:c>
      <x:c r="K1123" s="26" t="str">
        <x:v>半导体器件工程师是通信与电子行业中不可或缺的专业人才，在半导体/芯片领域扮演着至关重要的角色。他们负责研究、设计与开发新型半导体材料及器件，确保产品性能达到最优标准。此外，半导体器件工程师还致力于提高生产效率，降低成本，…</x:v>
      </x:c>
      <x:c r="L1123" s="26" t="str">
        <x:v>1. 负责半导体材料的选择与评估，基于项目需求进行深入分析，确保所选材料符合产品性能要求。 2. 进行半导体器件的设计与仿真工作，利用专业软件模拟器件运行状态，优化设计方案以满足功能指标。 3. 参与新产品的试制与测试过…</x:v>
      </x:c>
    </x:row>
    <x:row r="1124" ht="72" customHeight="1">
      <x:c r="A1124" s="25" t="n">
        <x:v>12016</x:v>
      </x:c>
      <x:c r="B1124" s="25" t="str">
        <x:v>IC-L3-1273</x:v>
      </x:c>
      <x:c r="C1124" s="25" t="str">
        <x:v>半导体工艺工程师</x:v>
      </x:c>
      <x:c r="D1124" s="25" t="str">
        <x:v>2-02-09-02</x:v>
      </x:c>
      <x:c r="E1124" s="25" t="str">
        <x:v>电子元器件工程技术人员</x:v>
      </x:c>
      <x:c r="F1124" s="28" t="n">
        <x:f>COUNTIF('岗位-产业节点关系'!$C$4:$C$709,B1124)</x:f>
        <x:v>1</x:v>
      </x:c>
      <x:c r="G1124" s="26" t="str">
        <x:f>IF(F1124=0,"未匹配（现有产业链范围未覆盖或证据不足）",IF(COUNTIFS('岗位-产业节点关系'!$C$4:$C$709,B1124,'岗位-产业节点关系'!$M$4:$M$709,"低")&gt;0,"已匹配，建议复核","已匹配"))</x:f>
        <x:v>已匹配</x:v>
      </x:c>
      <x:c r="H1124" s="26" t="str">
        <x:v>中</x:v>
      </x:c>
      <x:c r="I1124" s="26" t="str">
        <x:v>ICN047</x:v>
      </x:c>
      <x:c r="J1124" s="26" t="str">
        <x:v>半导体与集成电路产业链/中游/芯片设计、制造、封测与集成电路</x:v>
      </x:c>
      <x:c r="K1124" s="26" t="str">
        <x:v>半导体工艺工程师是通信/电子行业中不可或缺的专业人才，特别是在半导体/芯片领域，他们负责设计和优化制造流程，确保产品的高质量与高效率生产。该职位不仅需要扎实的理论基础，更强调实践操作能力，对于推动技术创新和提升企业竞争力…</x:v>
      </x:c>
      <x:c r="L1124" s="26" t="str">
        <x:v>1. 负责新产品的工艺开发与验证工作，确保其符合设计要求并具备良好的可制造性。 2. 分析现有生产线上的问题点，提出有效的改善措施，持续优化生产工艺流程。 3. 协同相关部门完成设备选型、安装调试以及维护保养等工作，保障…</x:v>
      </x:c>
    </x:row>
    <x:row r="1125" ht="72" customHeight="1">
      <x:c r="A1125" s="25" t="n">
        <x:v>12017</x:v>
      </x:c>
      <x:c r="B1125" s="25" t="str">
        <x:v>IC-L3-1274</x:v>
      </x:c>
      <x:c r="C1125" s="25" t="str">
        <x:v>半导体设备工程师</x:v>
      </x:c>
      <x:c r="D1125" s="25" t="str">
        <x:v>2-02-09-02</x:v>
      </x:c>
      <x:c r="E1125" s="25" t="str">
        <x:v>电子元器件工程技术人员</x:v>
      </x:c>
      <x:c r="F1125" s="28" t="n">
        <x:f>COUNTIF('岗位-产业节点关系'!$C$4:$C$709,B1125)</x:f>
        <x:v>1</x:v>
      </x:c>
      <x:c r="G1125" s="26" t="str">
        <x:f>IF(F1125=0,"未匹配（现有产业链范围未覆盖或证据不足）",IF(COUNTIFS('岗位-产业节点关系'!$C$4:$C$709,B1125,'岗位-产业节点关系'!$M$4:$M$709,"低")&gt;0,"已匹配，建议复核","已匹配"))</x:f>
        <x:v>已匹配</x:v>
      </x:c>
      <x:c r="H1125" s="26" t="str">
        <x:v>中</x:v>
      </x:c>
      <x:c r="I1125" s="26" t="str">
        <x:v>ICN046</x:v>
      </x:c>
      <x:c r="J1125" s="26" t="str">
        <x:v>半导体与集成电路产业链/上游/半导体材料与制造设备</x:v>
      </x:c>
      <x:c r="K1125" s="26" t="str">
        <x:v>半导体设备工程师是通信/电子行业中不可或缺的专业人才，尤其在半导体/芯片领域扮演着关键角色。他们负责确保生产过程中使用的复杂设备高效、稳定地运行，对于提高产品质量和生产效率至关重要。 该职位的核心目标在于通过维护和优化生…</x:v>
      </x:c>
      <x:c r="L1125" s="26" t="str">
        <x:v>1. 负责半导体生产设备的日常维护保养，定期进行巡检，记录并分析设备运行状态，确保其处于最佳工作状态。 2. 针对设备故障迅速响应，准确判断问题原因，采取有效措施及时修复，保障生产线正常运作。 3. 参与新设备的引进过程…</x:v>
      </x:c>
    </x:row>
    <x:row r="1126" ht="72" customHeight="1">
      <x:c r="A1126" s="25" t="n">
        <x:v>12018</x:v>
      </x:c>
      <x:c r="B1126" s="25" t="str">
        <x:v>IC-L3-1275</x:v>
      </x:c>
      <x:c r="C1126" s="25" t="str">
        <x:v>失效分析工程师</x:v>
      </x:c>
      <x:c r="D1126" s="25" t="str">
        <x:v>2-02-09-02</x:v>
      </x:c>
      <x:c r="E1126" s="25" t="str">
        <x:v>电子元器件工程技术人员</x:v>
      </x:c>
      <x:c r="F1126" s="28" t="n">
        <x:f>COUNTIF('岗位-产业节点关系'!$C$4:$C$709,B1126)</x:f>
        <x:v>0</x:v>
      </x:c>
      <x:c r="G1126" s="26" t="str">
        <x:f>IF(F1126=0,"未匹配（现有产业链范围未覆盖或证据不足）",IF(COUNTIFS('岗位-产业节点关系'!$C$4:$C$709,B1126,'岗位-产业节点关系'!$M$4:$M$709,"低")&gt;0,"已匹配，建议复核","已匹配"))</x:f>
        <x:v>未匹配（现有产业链范围未覆盖或证据不足）</x:v>
      </x:c>
      <x:c r="H1126" s="26" t="str">
        <x:v>-</x:v>
      </x:c>
      <x:c r="I1126" s="26" t="str"/>
      <x:c r="J1126" s="26" t="str"/>
      <x:c r="K1126" s="26" t="str">
        <x:v>失效分析工程师是半导体行业中不可或缺的专业技术人才，他们通过深入研究和分析产品在设计、制造或使用过程中的各种故障，确保产品质量和可靠性，是连接研发与生产的桥梁。该职位的核心目标在于通过高效准确地识别和解决芯片或半导体器件…</x:v>
      </x:c>
      <x:c r="L1126" s="26" t="str">
        <x:v>1. 负责对客户反馈及生产线出现的异常样品进行物理和化学层面的失效模式分析，以确定根本原因并提出改进措施。 2. 运用SEM（扫描电子显微镜）、TEM（透射电子显微镜）等先进设备和技术手段，执行详细的微观结构检查和性能测…</x:v>
      </x:c>
    </x:row>
    <x:row r="1127" ht="72" customHeight="1">
      <x:c r="A1127" s="25" t="n">
        <x:v>12019</x:v>
      </x:c>
      <x:c r="B1127" s="25" t="str">
        <x:v>IC-L3-1276</x:v>
      </x:c>
      <x:c r="C1127" s="25" t="str">
        <x:v>封装工程师</x:v>
      </x:c>
      <x:c r="D1127" s="25" t="str">
        <x:v>2-02-09-02</x:v>
      </x:c>
      <x:c r="E1127" s="25" t="str">
        <x:v>电子元器件工程技术人员</x:v>
      </x:c>
      <x:c r="F1127" s="28" t="n">
        <x:f>COUNTIF('岗位-产业节点关系'!$C$4:$C$709,B1127)</x:f>
        <x:v>1</x:v>
      </x:c>
      <x:c r="G1127" s="26" t="str">
        <x:f>IF(F1127=0,"未匹配（现有产业链范围未覆盖或证据不足）",IF(COUNTIFS('岗位-产业节点关系'!$C$4:$C$709,B1127,'岗位-产业节点关系'!$M$4:$M$709,"低")&gt;0,"已匹配，建议复核","已匹配"))</x:f>
        <x:v>已匹配</x:v>
      </x:c>
      <x:c r="H1127" s="26" t="str">
        <x:v>中</x:v>
      </x:c>
      <x:c r="I1127" s="26" t="str">
        <x:v>ICN047</x:v>
      </x:c>
      <x:c r="J1127" s="26" t="str">
        <x:v>半导体与集成电路产业链/中游/芯片设计、制造、封测与集成电路</x:v>
      </x:c>
      <x:c r="K1127" s="26" t="str">
        <x:v>封装工程师在通信/电子行业中扮演着至关重要的角色，特别是在半导体/芯片领域。作为连接芯片设计与最终产品应用的关键环节，封装工程师负责确保芯片的性能、可靠性和成本效益达到最优状态，是推动技术进步和产品创新的重要力量。该职位…</x:v>
      </x:c>
      <x:c r="L1127" s="26" t="str">
        <x:v>1. 负责制定并优化半导体器件的封装方案，确保满足性能要求及客户期望。 2. 协调内外部资源，推动新封装技术的研发与应用，持续改进现有工艺流程。 3. 对封装过程中的质量问题进行分析，提出解决方案，保障产品质量稳定。 4…</x:v>
      </x:c>
    </x:row>
    <x:row r="1128" ht="72" customHeight="1">
      <x:c r="A1128" s="25" t="n">
        <x:v>12020</x:v>
      </x:c>
      <x:c r="B1128" s="25" t="str">
        <x:v>IC-L3-1277</x:v>
      </x:c>
      <x:c r="C1128" s="25" t="str">
        <x:v>工艺整合工程师</x:v>
      </x:c>
      <x:c r="D1128" s="25" t="str">
        <x:v>2-02-09-02</x:v>
      </x:c>
      <x:c r="E1128" s="25" t="str">
        <x:v>电子元器件工程技术人员</x:v>
      </x:c>
      <x:c r="F1128" s="28" t="n">
        <x:f>COUNTIF('岗位-产业节点关系'!$C$4:$C$709,B1128)</x:f>
        <x:v>0</x:v>
      </x:c>
      <x:c r="G1128" s="26" t="str">
        <x:f>IF(F1128=0,"未匹配（现有产业链范围未覆盖或证据不足）",IF(COUNTIFS('岗位-产业节点关系'!$C$4:$C$709,B1128,'岗位-产业节点关系'!$M$4:$M$709,"低")&gt;0,"已匹配，建议复核","已匹配"))</x:f>
        <x:v>未匹配（现有产业链范围未覆盖或证据不足）</x:v>
      </x:c>
      <x:c r="H1128" s="26" t="str">
        <x:v>-</x:v>
      </x:c>
      <x:c r="I1128" s="26" t="str"/>
      <x:c r="J1128" s="26" t="str"/>
      <x:c r="K1128" s="26" t="str">
        <x:v>工艺整合工程师是半导体/芯片行业中不可或缺的专业人才，负责将各种先进的制造技术整合到生产流程中，以确保产品性能和质量达到最优。该职位不仅要求具备深厚的理论知识，还需拥有丰富的实践经验，能够在快速变化的技术环境中持续创新，…</x:v>
      </x:c>
      <x:c r="L1128" s="26" t="str">
        <x:v>1. 负责新工艺的研发及现有工艺的优化改进工作，确保工艺稳定性和良品率符合或超过行业标准。 2. 与产品设计团队密切配合，参与新产品导入阶段的工艺评估和技术支持，从可制造性的角度提供专业建议。 3. 组织并实施工艺验证实…</x:v>
      </x:c>
    </x:row>
    <x:row r="1129" ht="72" customHeight="1">
      <x:c r="A1129" s="25" t="n">
        <x:v>12021</x:v>
      </x:c>
      <x:c r="B1129" s="25" t="str">
        <x:v>IC-L3-1278</x:v>
      </x:c>
      <x:c r="C1129" s="25" t="str">
        <x:v>数字前端工程师</x:v>
      </x:c>
      <x:c r="D1129" s="25" t="str">
        <x:v>2-02-09-02</x:v>
      </x:c>
      <x:c r="E1129" s="25" t="str">
        <x:v>电子元器件工程技术人员</x:v>
      </x:c>
      <x:c r="F1129" s="28" t="n">
        <x:f>COUNTIF('岗位-产业节点关系'!$C$4:$C$709,B1129)</x:f>
        <x:v>1</x:v>
      </x:c>
      <x:c r="G1129" s="26" t="str">
        <x:f>IF(F1129=0,"未匹配（现有产业链范围未覆盖或证据不足）",IF(COUNTIFS('岗位-产业节点关系'!$C$4:$C$709,B1129,'岗位-产业节点关系'!$M$4:$M$709,"低")&gt;0,"已匹配，建议复核","已匹配"))</x:f>
        <x:v>已匹配</x:v>
      </x:c>
      <x:c r="H1129" s="26" t="str">
        <x:v>中</x:v>
      </x:c>
      <x:c r="I1129" s="26" t="str">
        <x:v>ICN056</x:v>
      </x:c>
      <x:c r="J1129" s="26" t="str">
        <x:v>软件与数字安全产业链/中游/应用软件、区块链平台与安全产品</x:v>
      </x:c>
      <x:c r="K1129" s="26" t="str">
        <x:v>数字前端工程师是半导体/芯片行业中至关重要的技术岗位，负责将复杂的算法和逻辑设计转化为具体的电路实现方案。随着数字化进程的加速，数字前端工程师的角色日益凸显，他们不仅承担着技术创新的重任，还直接影响到产品的性能、成本及上…</x:v>
      </x:c>
      <x:c r="L1129" s="26" t="str">
        <x:v>1. 负责数字集成电路的设计与优化工作，确保设计方案满足功能、性能及功耗等方面的要求。 2. 编写高质量的RTL代码，遵循公司内部的设计规范，提高代码可读性和可维护性。 3. 进行静态时序分析，识别并解决潜在的时序问题，…</x:v>
      </x:c>
    </x:row>
    <x:row r="1130" ht="72" customHeight="1">
      <x:c r="A1130" s="25" t="n">
        <x:v>12022</x:v>
      </x:c>
      <x:c r="B1130" s="25" t="str">
        <x:v>IC-L3-1279</x:v>
      </x:c>
      <x:c r="C1130" s="25" t="str">
        <x:v>数字后端工程师</x:v>
      </x:c>
      <x:c r="D1130" s="25" t="str">
        <x:v>2-02-09-02</x:v>
      </x:c>
      <x:c r="E1130" s="25" t="str">
        <x:v>电子元器件工程技术人员</x:v>
      </x:c>
      <x:c r="F1130" s="28" t="n">
        <x:f>COUNTIF('岗位-产业节点关系'!$C$4:$C$709,B1130)</x:f>
        <x:v>1</x:v>
      </x:c>
      <x:c r="G1130" s="26" t="str">
        <x:f>IF(F1130=0,"未匹配（现有产业链范围未覆盖或证据不足）",IF(COUNTIFS('岗位-产业节点关系'!$C$4:$C$709,B1130,'岗位-产业节点关系'!$M$4:$M$709,"低")&gt;0,"已匹配，建议复核","已匹配"))</x:f>
        <x:v>已匹配</x:v>
      </x:c>
      <x:c r="H1130" s="26" t="str">
        <x:v>中</x:v>
      </x:c>
      <x:c r="I1130" s="26" t="str">
        <x:v>ICN056</x:v>
      </x:c>
      <x:c r="J1130" s="26" t="str">
        <x:v>软件与数字安全产业链/中游/应用软件、区块链平台与安全产品</x:v>
      </x:c>
      <x:c r="K1130" s="26" t="str">
        <x:v>数字后端工程师是通信/电子行业中半导体/芯片领域不可或缺的专业技术人才，他们负责将前端设计转化为物理实现，确保设计的正确性和高效性。该职位对于提高产品的性能、降低成本以及缩短产品上市时间至关重要，是连接理论设计与实际应用…</x:v>
      </x:c>
      <x:c r="L1130" s="26" t="str">
        <x:v>1. 负责数字集成电路的物理设计，包括布局规划、布线、时序收敛等工作，确保设计符合性能规格。 2. 进行静态时序分析（STA）和功耗分析，评估并优化电路性能，以达到最佳的设计效果。 3. 与前端设计团队密切配合，参与设计…</x:v>
      </x:c>
    </x:row>
    <x:row r="1131" ht="72" customHeight="1">
      <x:c r="A1131" s="25" t="n">
        <x:v>12023</x:v>
      </x:c>
      <x:c r="B1131" s="25" t="str">
        <x:v>IC-L3-1280</x:v>
      </x:c>
      <x:c r="C1131" s="25" t="str">
        <x:v>模拟芯片设计</x:v>
      </x:c>
      <x:c r="D1131" s="25" t="str">
        <x:v>2-02-09-02</x:v>
      </x:c>
      <x:c r="E1131" s="25" t="str">
        <x:v>电子元器件工程技术人员</x:v>
      </x:c>
      <x:c r="F1131" s="28" t="n">
        <x:f>COUNTIF('岗位-产业节点关系'!$C$4:$C$709,B1131)</x:f>
        <x:v>1</x:v>
      </x:c>
      <x:c r="G1131" s="26" t="str">
        <x:f>IF(F1131=0,"未匹配（现有产业链范围未覆盖或证据不足）",IF(COUNTIFS('岗位-产业节点关系'!$C$4:$C$709,B1131,'岗位-产业节点关系'!$M$4:$M$709,"低")&gt;0,"已匹配，建议复核","已匹配"))</x:f>
        <x:v>已匹配</x:v>
      </x:c>
      <x:c r="H1131" s="26" t="str">
        <x:v>高</x:v>
      </x:c>
      <x:c r="I1131" s="26" t="str">
        <x:v>ICN047</x:v>
      </x:c>
      <x:c r="J1131" s="26" t="str">
        <x:v>半导体与集成电路产业链/中游/芯片设计、制造、封测与集成电路</x:v>
      </x:c>
      <x:c r="K1131" s="26" t="str">
        <x:v>模拟芯片设计师是通信/电子行业中不可或缺的专业人才，在半导体/芯片领域中扮演着核心角色。他们负责设计和开发用于各种电子设备的关键部件——模拟集成电路，这些部件对于确保产品的性能、稳定性和可靠性至关重要。 该职位的核心目标…</x:v>
      </x:c>
      <x:c r="L1131" s="26" t="str">
        <x:v>1. 负责模拟集成电路的设计与仿真，确保其符合性能指标要求。 2. 参与新产品开发流程，与其他工程师协作完成系统级方案的设计及优化。 3. 分析测试结果，诊断并解决设计中存在的问题，提高产品的可靠性和生产良率。 4. 撰…</x:v>
      </x:c>
    </x:row>
    <x:row r="1132" ht="72" customHeight="1">
      <x:c r="A1132" s="25" t="n">
        <x:v>12024</x:v>
      </x:c>
      <x:c r="B1132" s="25" t="str">
        <x:v>IC-L3-1281</x:v>
      </x:c>
      <x:c r="C1132" s="25" t="str">
        <x:v>芯片架构工程师</x:v>
      </x:c>
      <x:c r="D1132" s="25" t="str">
        <x:v>2-02-09-02</x:v>
      </x:c>
      <x:c r="E1132" s="25" t="str">
        <x:v>电子元器件工程技术人员</x:v>
      </x:c>
      <x:c r="F1132" s="28" t="n">
        <x:f>COUNTIF('岗位-产业节点关系'!$C$4:$C$709,B1132)</x:f>
        <x:v>2</x:v>
      </x:c>
      <x:c r="G1132" s="26" t="str">
        <x:f>IF(F1132=0,"未匹配（现有产业链范围未覆盖或证据不足）",IF(COUNTIFS('岗位-产业节点关系'!$C$4:$C$709,B1132,'岗位-产业节点关系'!$M$4:$M$709,"低")&gt;0,"已匹配，建议复核","已匹配"))</x:f>
        <x:v>已匹配，建议复核</x:v>
      </x:c>
      <x:c r="H1132" s="26" t="str">
        <x:v>中</x:v>
      </x:c>
      <x:c r="I1132" s="26" t="str">
        <x:v>ICN047、ICN016</x:v>
      </x:c>
      <x:c r="J1132" s="26" t="str">
        <x:v>半导体与集成电路产业链/中游/芯片设计、制造、封测与集成电路；智能物联与消费电子产业链/上游/传感器、芯片模组与基础器件</x:v>
      </x:c>
      <x:c r="K1132" s="26" t="str">
        <x:v>芯片架构工程师是通信/电子行业中不可或缺的专业人才，特别是在半导体/芯片领域，他们扮演着技术创新与产品开发的核心角色。通过设计和优化芯片架构，该职位对于推动整个行业的技术进步具有重要意义。 芯片架构工程师的主要核心目标是…</x:v>
      </x:c>
      <x:c r="L1132" s="26" t="str">
        <x:v>1. 负责制定芯片的整体架构设计方案，确保方案符合性能、功耗等关键指标要求。 2. 与研发团队密切配合，指导并参与芯片设计流程，解决技术难题，保证项目按时高质量完成。 3. 对现有产品进行持续优化，提高产品的稳定性和可靠…</x:v>
      </x:c>
    </x:row>
    <x:row r="1133" ht="72" customHeight="1">
      <x:c r="A1133" s="25" t="n">
        <x:v>12025</x:v>
      </x:c>
      <x:c r="B1133" s="25" t="str">
        <x:v>IC-L3-1282</x:v>
      </x:c>
      <x:c r="C1133" s="25" t="str">
        <x:v>芯片测试工程师</x:v>
      </x:c>
      <x:c r="D1133" s="25" t="str">
        <x:v>2-02-09-02</x:v>
      </x:c>
      <x:c r="E1133" s="25" t="str">
        <x:v>电子元器件工程技术人员</x:v>
      </x:c>
      <x:c r="F1133" s="28" t="n">
        <x:f>COUNTIF('岗位-产业节点关系'!$C$4:$C$709,B1133)</x:f>
        <x:v>1</x:v>
      </x:c>
      <x:c r="G1133" s="26" t="str">
        <x:f>IF(F1133=0,"未匹配（现有产业链范围未覆盖或证据不足）",IF(COUNTIFS('岗位-产业节点关系'!$C$4:$C$709,B1133,'岗位-产业节点关系'!$M$4:$M$709,"低")&gt;0,"已匹配，建议复核","已匹配"))</x:f>
        <x:v>已匹配</x:v>
      </x:c>
      <x:c r="H1133" s="26" t="str">
        <x:v>中</x:v>
      </x:c>
      <x:c r="I1133" s="26" t="str">
        <x:v>ICN047</x:v>
      </x:c>
      <x:c r="J1133" s="26" t="str">
        <x:v>半导体与集成电路产业链/中游/芯片设计、制造、封测与集成电路</x:v>
      </x:c>
      <x:c r="K1133" s="26" t="str">
        <x:v>芯片测试工程师是通信/电子行业中不可或缺的角色之一，特别是在半导体/芯片领域，他们负责确保产品在进入市场前的质量与性能达到高标准。通过精确地检测和分析，芯片测试工程师能够识别并解决潜在的设计缺陷或制造问题，从而保证产品的…</x:v>
      </x:c>
      <x:c r="L1133" s="26" t="str">
        <x:v>1. 设计并执行芯片的功能性、性能及可靠性测试方案，确保测试覆盖率满足项目要求。 2. 使用专业软件工具进行数据采集与分析，准确记录测试结果，并编写详细的测试报告。 3. 与研发团队紧密沟通，及时反馈测试过程中发现的问题…</x:v>
      </x:c>
    </x:row>
    <x:row r="1134" ht="72" customHeight="1">
      <x:c r="A1134" s="25" t="n">
        <x:v>12026</x:v>
      </x:c>
      <x:c r="B1134" s="25" t="str">
        <x:v>IC-L3-1283</x:v>
      </x:c>
      <x:c r="C1134" s="25" t="str">
        <x:v>芯片销售工程师</x:v>
      </x:c>
      <x:c r="D1134" s="25" t="str">
        <x:v>4-04-05-01</x:v>
      </x:c>
      <x:c r="E1134" s="25" t="str">
        <x:v>计算机程序设计员</x:v>
      </x:c>
      <x:c r="F1134" s="28" t="n">
        <x:f>COUNTIF('岗位-产业节点关系'!$C$4:$C$709,B1134)</x:f>
        <x:v>1</x:v>
      </x:c>
      <x:c r="G1134" s="26" t="str">
        <x:f>IF(F1134=0,"未匹配（现有产业链范围未覆盖或证据不足）",IF(COUNTIFS('岗位-产业节点关系'!$C$4:$C$709,B1134,'岗位-产业节点关系'!$M$4:$M$709,"低")&gt;0,"已匹配，建议复核","已匹配"))</x:f>
        <x:v>已匹配</x:v>
      </x:c>
      <x:c r="H1134" s="26" t="str">
        <x:v>中</x:v>
      </x:c>
      <x:c r="I1134" s="26" t="str">
        <x:v>ICN048</x:v>
      </x:c>
      <x:c r="J1134" s="26" t="str">
        <x:v>半导体与集成电路产业链/下游/电子终端、汽车与工业芯片应用</x:v>
      </x:c>
      <x:c r="K1134" s="26" t="str">
        <x:v>芯片销售工程师是通信/电子行业中半导体/芯片领域的重要角色之一，主要负责将公司研发的芯片产品推广至市场，建立并维护与客户的良好关系，促进产品销售。在行业快速发展的背景下，这一职位不仅能够推动技术的应用与普及，还能为公司带…</x:v>
      </x:c>
      <x:c r="L1134" s="26" t="str">
        <x:v>1. 负责区域内目标客户的开发与维护工作，定期拜访潜在及现有客户，了解客户需求，提供专业咨询和解决方案。 2. 制定并执行详细的销售计划，跟踪销售进度，确保按时达成月度、季度及年度销售目标。 3. 协同技术团队解决客户在…</x:v>
      </x:c>
    </x:row>
    <x:row r="1135" ht="72" customHeight="1">
      <x:c r="A1135" s="25" t="n">
        <x:v>12027</x:v>
      </x:c>
      <x:c r="B1135" s="25" t="str">
        <x:v>IC-L3-1284</x:v>
      </x:c>
      <x:c r="C1135" s="25" t="str">
        <x:v>集成电路IC设计</x:v>
      </x:c>
      <x:c r="D1135" s="25" t="str">
        <x:v>2-09-06-01</x:v>
      </x:c>
      <x:c r="E1135" s="25" t="str">
        <x:v>视觉传达设计人员</x:v>
      </x:c>
      <x:c r="F1135" s="28" t="n">
        <x:f>COUNTIF('岗位-产业节点关系'!$C$4:$C$709,B1135)</x:f>
        <x:v>1</x:v>
      </x:c>
      <x:c r="G1135" s="26" t="str">
        <x:f>IF(F1135=0,"未匹配（现有产业链范围未覆盖或证据不足）",IF(COUNTIFS('岗位-产业节点关系'!$C$4:$C$709,B1135,'岗位-产业节点关系'!$M$4:$M$709,"低")&gt;0,"已匹配，建议复核","已匹配"))</x:f>
        <x:v>已匹配</x:v>
      </x:c>
      <x:c r="H1135" s="26" t="str">
        <x:v>高</x:v>
      </x:c>
      <x:c r="I1135" s="26" t="str">
        <x:v>ICN047</x:v>
      </x:c>
      <x:c r="J1135" s="26" t="str">
        <x:v>半导体与集成电路产业链/中游/芯片设计、制造、封测与集成电路</x:v>
      </x:c>
      <x:c r="K1135" s="26" t="str">
        <x:v>集成电路IC设计工程师是通信/电子行业中不可或缺的专业人才，尤其在半导体/芯片领域扮演着至关重要的角色。他们负责从概念阶段到最终产品的整个开发过程，确保产品符合性能要求并具备市场竞争力。通过高效地完成复杂电路的设计与优化…</x:v>
      </x:c>
      <x:c r="L1135" s="26" t="str">
        <x:v>1. 负责模拟或数字集成电路的架构设计、仿真分析及版图布局等工作，确保设计方案满足功能规格书的要求。 2. 与系统工程师沟通确认客户需求，参与制定详细的产品开发计划，按时按质完成各项任务。 3. 对现有产品进行持续改进，…</x:v>
      </x:c>
    </x:row>
    <x:row r="1136" ht="72" customHeight="1">
      <x:c r="A1136" s="25" t="n">
        <x:v>12028</x:v>
      </x:c>
      <x:c r="B1136" s="25" t="str">
        <x:v>IC-L3-1285</x:v>
      </x:c>
      <x:c r="C1136" s="25" t="str">
        <x:v>电池/电源开发</x:v>
      </x:c>
      <x:c r="D1136" s="25" t="str">
        <x:v>2-02-09-02</x:v>
      </x:c>
      <x:c r="E1136" s="25" t="str">
        <x:v>电子元器件工程技术人员</x:v>
      </x:c>
      <x:c r="F1136" s="28" t="n">
        <x:f>COUNTIF('岗位-产业节点关系'!$C$4:$C$709,B1136)</x:f>
        <x:v>1</x:v>
      </x:c>
      <x:c r="G1136" s="26" t="str">
        <x:f>IF(F1136=0,"未匹配（现有产业链范围未覆盖或证据不足）",IF(COUNTIFS('岗位-产业节点关系'!$C$4:$C$709,B1136,'岗位-产业节点关系'!$M$4:$M$709,"低")&gt;0,"已匹配，建议复核","已匹配"))</x:f>
        <x:v>已匹配，建议复核</x:v>
      </x:c>
      <x:c r="H1136" s="26" t="str">
        <x:v>低</x:v>
      </x:c>
      <x:c r="I1136" s="26" t="str">
        <x:v>ICN014</x:v>
      </x:c>
      <x:c r="J1136" s="26" t="str">
        <x:v>新能源与电力装备产业链/中游/发电、储能与输配电装备</x:v>
      </x:c>
      <x:c r="K1136" s="26" t="str">
        <x:v>电池/电源开发是专门从事半导体领域电源管理系统设计与优化的专业人员。该职位的核心目标是通过开发高效、可靠的电池与电源解决方案，提升芯片能效与系统稳定性。在日常工作中，需要进行电源架构设计、电路仿真验证、功耗优化及量产测试…</x:v>
      </x:c>
      <x:c r="L1136" s="26" t="str">
        <x:v>1. 设计电池芯片方案 2. 优化电源管理电路 3. 测试电池性能参数 4. 解决电源技术难题 5. 编写技术开发文档 6. 评估芯片能效指标</x:v>
      </x:c>
    </x:row>
    <x:row r="1137" ht="72" customHeight="1">
      <x:c r="A1137" s="25" t="n">
        <x:v>12029</x:v>
      </x:c>
      <x:c r="B1137" s="25" t="str">
        <x:v>IC-L3-1286</x:v>
      </x:c>
      <x:c r="C1137" s="25" t="str">
        <x:v>技术总监</x:v>
      </x:c>
      <x:c r="D1137" s="25" t="str">
        <x:v>2-02-30-04</x:v>
      </x:c>
      <x:c r="E1137" s="25" t="str">
        <x:v>项目管理工程技术人员</x:v>
      </x:c>
      <x:c r="F1137" s="28" t="n">
        <x:f>COUNTIF('岗位-产业节点关系'!$C$4:$C$709,B1137)</x:f>
        <x:v>0</x:v>
      </x:c>
      <x:c r="G1137" s="26" t="str">
        <x:f>IF(F1137=0,"未匹配（现有产业链范围未覆盖或证据不足）",IF(COUNTIFS('岗位-产业节点关系'!$C$4:$C$709,B1137,'岗位-产业节点关系'!$M$4:$M$709,"低")&gt;0,"已匹配，建议复核","已匹配"))</x:f>
        <x:v>未匹配（现有产业链范围未覆盖或证据不足）</x:v>
      </x:c>
      <x:c r="H1137" s="26" t="str">
        <x:v>-</x:v>
      </x:c>
      <x:c r="I1137" s="26" t="str"/>
      <x:c r="J1137" s="26" t="str"/>
      <x:c r="K1137" s="26" t="str">
        <x:v>技术总监是通信/电子行业中不可或缺的关键角色，负责确保公司技术战略与业务目标的一致性。通过领导技术创新和技术实施，他们不仅推动了产品和服务的发展，还促进了整个行业的进步。作为公司技术领域的最高领导者，技术总监的核心目标在…</x:v>
      </x:c>
      <x:c r="L1137" s="26" t="str">
        <x:v>1. 负责制定和实施公司的技术发展战略，确保技术路线与业务目标相匹配，引领公司技术创新。 2. 组织并指导技术团队完成项目研发工作，确保按时交付高质量的产品或服务，满足客户需求。 3. 与市场营销、产品设计等部门紧密合作…</x:v>
      </x:c>
    </x:row>
    <x:row r="1138" ht="72" customHeight="1">
      <x:c r="A1138" s="25" t="n">
        <x:v>12030</x:v>
      </x:c>
      <x:c r="B1138" s="25" t="str">
        <x:v>IC-L3-1287</x:v>
      </x:c>
      <x:c r="C1138" s="25" t="str">
        <x:v>技术经理</x:v>
      </x:c>
      <x:c r="D1138" s="25" t="str">
        <x:v>2-06-07-16</x:v>
      </x:c>
      <x:c r="E1138" s="25" t="str">
        <x:v>技术经理人</x:v>
      </x:c>
      <x:c r="F1138" s="28" t="n">
        <x:f>COUNTIF('岗位-产业节点关系'!$C$4:$C$709,B1138)</x:f>
        <x:v>0</x:v>
      </x:c>
      <x:c r="G1138" s="26" t="str">
        <x:f>IF(F1138=0,"未匹配（现有产业链范围未覆盖或证据不足）",IF(COUNTIFS('岗位-产业节点关系'!$C$4:$C$709,B1138,'岗位-产业节点关系'!$M$4:$M$709,"低")&gt;0,"已匹配，建议复核","已匹配"))</x:f>
        <x:v>未匹配（现有产业链范围未覆盖或证据不足）</x:v>
      </x:c>
      <x:c r="H1138" s="26" t="str">
        <x:v>-</x:v>
      </x:c>
      <x:c r="I1138" s="26" t="str"/>
      <x:c r="J1138" s="26" t="str"/>
      <x:c r="K1138" s="26" t="str">
        <x:v>技术经理在通信/电子行业中扮演着至关重要的角色，是连接技术研发与市场需求之间的桥梁。他们不仅负责确保项目按时按质完成，还承担着推动技术创新、优化产品性能的任务，是企业实现可持续发展的关键力量。通过高效的技术项目管理和跨部…</x:v>
      </x:c>
      <x:c r="L1138" s="26" t="str">
        <x:v>1. 负责制定并执行技术项目的整体计划，包括但不限于需求分析、方案设计、进度控制、质量保证等环节，确保项目顺利推进直至成功交付。 2. 组织并领导项目团队，合理分配工作任务，监督团队成员的工作进度与成果，解决项目过程中出…</x:v>
      </x:c>
    </x:row>
    <x:row r="1139" ht="72" customHeight="1">
      <x:c r="A1139" s="25" t="n">
        <x:v>12031</x:v>
      </x:c>
      <x:c r="B1139" s="25" t="str">
        <x:v>IC-L3-1288</x:v>
      </x:c>
      <x:c r="C1139" s="25" t="str">
        <x:v>通信项目管理</x:v>
      </x:c>
      <x:c r="D1139" s="25" t="str">
        <x:v>2-02-30-04</x:v>
      </x:c>
      <x:c r="E1139" s="25" t="str">
        <x:v>项目管理工程技术人员</x:v>
      </x:c>
      <x:c r="F1139" s="28" t="n">
        <x:f>COUNTIF('岗位-产业节点关系'!$C$4:$C$709,B1139)</x:f>
        <x:v>1</x:v>
      </x:c>
      <x:c r="G1139" s="26" t="str">
        <x:f>IF(F1139=0,"未匹配（现有产业链范围未覆盖或证据不足）",IF(COUNTIFS('岗位-产业节点关系'!$C$4:$C$709,B1139,'岗位-产业节点关系'!$M$4:$M$709,"低")&gt;0,"已匹配，建议复核","已匹配"))</x:f>
        <x:v>已匹配，建议复核</x:v>
      </x:c>
      <x:c r="H1139" s="26" t="str">
        <x:v>低</x:v>
      </x:c>
      <x:c r="I1139" s="26" t="str">
        <x:v>ICN029</x:v>
      </x:c>
      <x:c r="J1139" s="26" t="str">
        <x:v>新一代信息基础设施产业链/中游/5G网络、数据中心与云边平台</x:v>
      </x:c>
      <x:c r="K1139" s="26" t="str">
        <x:v>通信项目管理在通信/电子行业中扮演着至关重要的角色。随着全球通信技术的飞速发展，项目管理成为了确保技术更新迭代与市场需求同步的关键环节。本职位负责从项目的启动到收尾的全过程管理，通过有效的资源整合与进度控制，保障项目按时…</x:v>
      </x:c>
      <x:c r="L1139" s="26" t="str">
        <x:v>1. 负责制定详细的项目计划，包括时间表、预算、资源分配等，并监督执行情况，确保项目目标的顺利实现。 2. 与跨职能团队成员沟通协调，明确各自职责，促进信息共享和技术交流，建立高效的合作机制。 3. 定期向高层管理者汇报…</x:v>
      </x:c>
    </x:row>
    <x:row r="1140" ht="72" customHeight="1">
      <x:c r="A1140" s="25" t="n">
        <x:v>12032</x:v>
      </x:c>
      <x:c r="B1140" s="25" t="str">
        <x:v>IC-L3-1289</x:v>
      </x:c>
      <x:c r="C1140" s="25" t="str">
        <x:v>项目主管</x:v>
      </x:c>
      <x:c r="D1140" s="25" t="str">
        <x:v>2-02-30-04</x:v>
      </x:c>
      <x:c r="E1140" s="25" t="str">
        <x:v>项目管理工程技术人员</x:v>
      </x:c>
      <x:c r="F1140" s="28" t="n">
        <x:f>COUNTIF('岗位-产业节点关系'!$C$4:$C$709,B1140)</x:f>
        <x:v>0</x:v>
      </x:c>
      <x:c r="G1140" s="26" t="str">
        <x:f>IF(F1140=0,"未匹配（现有产业链范围未覆盖或证据不足）",IF(COUNTIFS('岗位-产业节点关系'!$C$4:$C$709,B1140,'岗位-产业节点关系'!$M$4:$M$709,"低")&gt;0,"已匹配，建议复核","已匹配"))</x:f>
        <x:v>未匹配（现有产业链范围未覆盖或证据不足）</x:v>
      </x:c>
      <x:c r="H1140" s="26" t="str">
        <x:v>-</x:v>
      </x:c>
      <x:c r="I1140" s="26" t="str"/>
      <x:c r="J1140" s="26" t="str"/>
      <x:c r="K1140" s="26" t="str">
        <x:v>项目主管是通信/电子行业中不可或缺的角色，负责确保技术项目的顺利实施与高效完成。作为项目的核心领导者，项目主管不仅需要具备扎实的技术背景，还需拥有出色的组织协调能力，以应对复杂多变的项目环境。 该职位的核心目标在于通过优…</x:v>
      </x:c>
      <x:c r="L1140" s="26" t="str">
        <x:v>1. 负责制定项目计划，明确项目目标、时间表和预算，并监督执行情况，确保项目按时完成并达到预期效果。 2. 协调内外部资源，解决项目过程中遇到的技术难题和管理障碍，保证项目顺利推进。 3. 与相关部门沟通，收集客户需求，…</x:v>
      </x:c>
    </x:row>
    <x:row r="1141" ht="72" customHeight="1">
      <x:c r="A1141" s="25" t="n">
        <x:v>12033</x:v>
      </x:c>
      <x:c r="B1141" s="25" t="str">
        <x:v>IC-L3-1290</x:v>
      </x:c>
      <x:c r="C1141" s="25" t="str">
        <x:v>项目助理</x:v>
      </x:c>
      <x:c r="D1141" s="25" t="str">
        <x:v>2-02-30-04</x:v>
      </x:c>
      <x:c r="E1141" s="25" t="str">
        <x:v>项目管理工程技术人员</x:v>
      </x:c>
      <x:c r="F1141" s="28" t="n">
        <x:f>COUNTIF('岗位-产业节点关系'!$C$4:$C$709,B1141)</x:f>
        <x:v>0</x:v>
      </x:c>
      <x:c r="G1141" s="26" t="str">
        <x:f>IF(F1141=0,"未匹配（现有产业链范围未覆盖或证据不足）",IF(COUNTIFS('岗位-产业节点关系'!$C$4:$C$709,B1141,'岗位-产业节点关系'!$M$4:$M$709,"低")&gt;0,"已匹配，建议复核","已匹配"))</x:f>
        <x:v>未匹配（现有产业链范围未覆盖或证据不足）</x:v>
      </x:c>
      <x:c r="H1141" s="26" t="str">
        <x:v>-</x:v>
      </x:c>
      <x:c r="I1141" s="26" t="str"/>
      <x:c r="J1141" s="26" t="str"/>
      <x:c r="K1141" s="26" t="str">
        <x:v>项目助理在通信/电子行业中扮演着至关重要的角色，负责支持项目经理和技术团队完成从项目启动到交付的全过程。通过协调资源、监控进度以及确保项目按时按质完成，项目助理不仅提高了项目的执行效率，还增强了团队间的沟通与合作，对于促…</x:v>
      </x:c>
      <x:c r="L1141" s="26" t="str">
        <x:v>1. 协助项目经理制定详细的项目计划，包括时间表、预算分配和资源调配，以确保项目目标的实现。 2. 负责跟踪项目进展，定期收集并分析项目数据，及时向项目经理报告潜在风险和问题，提出改进建议。 3. 组织并参与项目会议，记…</x:v>
      </x:c>
    </x:row>
    <x:row r="1142" ht="72" customHeight="1">
      <x:c r="A1142" s="25" t="n">
        <x:v>12034</x:v>
      </x:c>
      <x:c r="B1142" s="25" t="str">
        <x:v>IC-L3-1291</x:v>
      </x:c>
      <x:c r="C1142" s="25" t="str">
        <x:v>项目总监</x:v>
      </x:c>
      <x:c r="D1142" s="25" t="str">
        <x:v>2-02-30-04</x:v>
      </x:c>
      <x:c r="E1142" s="25" t="str">
        <x:v>项目管理工程技术人员</x:v>
      </x:c>
      <x:c r="F1142" s="28" t="n">
        <x:f>COUNTIF('岗位-产业节点关系'!$C$4:$C$709,B1142)</x:f>
        <x:v>0</x:v>
      </x:c>
      <x:c r="G1142" s="26" t="str">
        <x:f>IF(F1142=0,"未匹配（现有产业链范围未覆盖或证据不足）",IF(COUNTIFS('岗位-产业节点关系'!$C$4:$C$709,B1142,'岗位-产业节点关系'!$M$4:$M$709,"低")&gt;0,"已匹配，建议复核","已匹配"))</x:f>
        <x:v>未匹配（现有产业链范围未覆盖或证据不足）</x:v>
      </x:c>
      <x:c r="H1142" s="26" t="str">
        <x:v>-</x:v>
      </x:c>
      <x:c r="I1142" s="26" t="str"/>
      <x:c r="J1142" s="26" t="str"/>
      <x:c r="K1142" s="26" t="str">
        <x:v>项目总监是通信/电子行业中不可或缺的角色，负责监督和指导整个项目的执行过程，确保项目按时、按质完成，对于推动技术创新和提升企业竞争力具有重要意义。作为公司内部的技术领导者，项目总监的核心目标在于通过高效管理和资源整合，促…</x:v>
      </x:c>
      <x:c r="L1142" s="26" t="str">
        <x:v>1. 负责制定并实施项目计划，明确项目目标、时间表和预算，确保项目顺利推进，达到预期成果。 2. 组织和领导项目团队，合理分配工作任务，定期检查进度，评估风险，及时调整策略以应对挑战。 3. 与客户保持良好沟通，准确理解…</x:v>
      </x:c>
    </x:row>
    <x:row r="1143" ht="72" customHeight="1">
      <x:c r="A1143" s="25" t="n">
        <x:v>12035</x:v>
      </x:c>
      <x:c r="B1143" s="25" t="str">
        <x:v>IC-L3-1292</x:v>
      </x:c>
      <x:c r="C1143" s="25" t="str">
        <x:v>项目执行/协调人员</x:v>
      </x:c>
      <x:c r="D1143" s="25" t="str">
        <x:v>2-02-30-04</x:v>
      </x:c>
      <x:c r="E1143" s="25" t="str">
        <x:v>项目管理工程技术人员</x:v>
      </x:c>
      <x:c r="F1143" s="28" t="n">
        <x:f>COUNTIF('岗位-产业节点关系'!$C$4:$C$709,B1143)</x:f>
        <x:v>0</x:v>
      </x:c>
      <x:c r="G1143" s="26" t="str">
        <x:f>IF(F1143=0,"未匹配（现有产业链范围未覆盖或证据不足）",IF(COUNTIFS('岗位-产业节点关系'!$C$4:$C$709,B1143,'岗位-产业节点关系'!$M$4:$M$709,"低")&gt;0,"已匹配，建议复核","已匹配"))</x:f>
        <x:v>未匹配（现有产业链范围未覆盖或证据不足）</x:v>
      </x:c>
      <x:c r="H1143" s="26" t="str">
        <x:v>-</x:v>
      </x:c>
      <x:c r="I1143" s="26" t="str"/>
      <x:c r="J1143" s="26" t="str"/>
      <x:c r="K1143" s="26" t="str">
        <x:v>项目执行/协调人员在通信/电子行业中扮演着至关重要的角色，负责确保技术项目的顺利实施与完成。作为连接技术团队与管理层之间的桥梁，他们不仅需要具备深厚的技术背景，还应拥有良好的沟通技巧和项目管理能力，以应对复杂多变的项目环…</x:v>
      </x:c>
      <x:c r="L1143" s="26" t="str">
        <x:v>1. 负责制定详细的项目计划，明确项目目标、里程碑及关键路径，确保项目按时启动。 2. 协调内部各部门资源，组织跨职能团队会议，确保各方需求得到充分沟通和理解。 3. 监控项目进展，定期向管理层汇报项目状态，识别潜在风险…</x:v>
      </x:c>
    </x:row>
    <x:row r="1144" ht="72" customHeight="1">
      <x:c r="A1144" s="25" t="n">
        <x:v>12036</x:v>
      </x:c>
      <x:c r="B1144" s="25" t="str">
        <x:v>IC-L3-1293</x:v>
      </x:c>
      <x:c r="C1144" s="25" t="str">
        <x:v>项目经理</x:v>
      </x:c>
      <x:c r="D1144" s="25" t="str">
        <x:v>2-02-30-04</x:v>
      </x:c>
      <x:c r="E1144" s="25" t="str">
        <x:v>项目管理工程技术人员</x:v>
      </x:c>
      <x:c r="F1144" s="28" t="n">
        <x:f>COUNTIF('岗位-产业节点关系'!$C$4:$C$709,B1144)</x:f>
        <x:v>0</x:v>
      </x:c>
      <x:c r="G1144" s="26" t="str">
        <x:f>IF(F1144=0,"未匹配（现有产业链范围未覆盖或证据不足）",IF(COUNTIFS('岗位-产业节点关系'!$C$4:$C$709,B1144,'岗位-产业节点关系'!$M$4:$M$709,"低")&gt;0,"已匹配，建议复核","已匹配"))</x:f>
        <x:v>未匹配（现有产业链范围未覆盖或证据不足）</x:v>
      </x:c>
      <x:c r="H1144" s="26" t="str">
        <x:v>-</x:v>
      </x:c>
      <x:c r="I1144" s="26" t="str"/>
      <x:c r="J1144" s="26" t="str"/>
      <x:c r="K1144" s="26" t="str">
        <x:v>项目经理是通信/电子行业中不可或缺的角色，他们负责确保项目从概念到完成的顺利推进，通过优化资源配置和时间管理来实现项目目标。作为技术与管理之间的桥梁，项目经理不仅需要具备深厚的技术背景，还应拥有良好的沟通协调能力，以确保…</x:v>
      </x:c>
      <x:c r="L1144" s="26" t="str">
        <x:v>1. 制定详细的项目计划，包括项目的时间表、成本预算以及风险管理策略，确保项目目标的达成。 2. 负责项目执行过程中的监控与控制，定期检查项目进度，及时调整计划以应对可能出现的风险或变更。 3. 协调内外部资源，与客户、…</x:v>
      </x:c>
    </x:row>
    <x:row r="1145" ht="72" customHeight="1">
      <x:c r="A1145" s="25" t="n">
        <x:v>12037</x:v>
      </x:c>
      <x:c r="B1145" s="25" t="str">
        <x:v>IC-L3-1294</x:v>
      </x:c>
      <x:c r="C1145" s="25" t="str">
        <x:v>首席信息官CIO</x:v>
      </x:c>
      <x:c r="D1145" s="25" t="str">
        <x:v>2-02-30-04</x:v>
      </x:c>
      <x:c r="E1145" s="25" t="str">
        <x:v>项目管理工程技术人员</x:v>
      </x:c>
      <x:c r="F1145" s="28" t="n">
        <x:f>COUNTIF('岗位-产业节点关系'!$C$4:$C$709,B1145)</x:f>
        <x:v>0</x:v>
      </x:c>
      <x:c r="G1145" s="26" t="str">
        <x:f>IF(F1145=0,"未匹配（现有产业链范围未覆盖或证据不足）",IF(COUNTIFS('岗位-产业节点关系'!$C$4:$C$709,B1145,'岗位-产业节点关系'!$M$4:$M$709,"低")&gt;0,"已匹配，建议复核","已匹配"))</x:f>
        <x:v>未匹配（现有产业链范围未覆盖或证据不足）</x:v>
      </x:c>
      <x:c r="H1145" s="26" t="str">
        <x:v>-</x:v>
      </x:c>
      <x:c r="I1145" s="26" t="str"/>
      <x:c r="J1145" s="26" t="str"/>
      <x:c r="K1145" s="26" t="str">
        <x:v>首席信息官（CIO）是通信/电子行业中至关重要的高级管理职位，负责指导公司信息技术战略的方向。作为技术与业务之间的桥梁，CIO确保技术解决方案能够支持并推动企业的长期目标，促进创新和效率提升。同时，CIO还承担着引领数字…</x:v>
      </x:c>
      <x:c r="L1145" s="26" t="str">
        <x:v>1. 制定并执行全面的信息技术战略，确保其与公司的总体业务目标相吻合，推动技术创新和流程改进。 2. 管理和监督所有信息技术项目，从概念阶段到最终交付，确保按时按质完成，实现预期效益。 3. 与各部门沟通协调，了解其需求…</x:v>
      </x:c>
    </x:row>
    <x:row r="1146" ht="72" customHeight="1">
      <x:c r="A1146" s="25" t="n">
        <x:v>12038</x:v>
      </x:c>
      <x:c r="B1146" s="25" t="str">
        <x:v>IC-L3-1295</x:v>
      </x:c>
      <x:c r="C1146" s="25" t="str">
        <x:v>首席技术执行官CTO</x:v>
      </x:c>
      <x:c r="D1146" s="25" t="str">
        <x:v>2-02-30-04</x:v>
      </x:c>
      <x:c r="E1146" s="25" t="str">
        <x:v>项目管理工程技术人员</x:v>
      </x:c>
      <x:c r="F1146" s="28" t="n">
        <x:f>COUNTIF('岗位-产业节点关系'!$C$4:$C$709,B1146)</x:f>
        <x:v>0</x:v>
      </x:c>
      <x:c r="G1146" s="26" t="str">
        <x:f>IF(F1146=0,"未匹配（现有产业链范围未覆盖或证据不足）",IF(COUNTIFS('岗位-产业节点关系'!$C$4:$C$709,B1146,'岗位-产业节点关系'!$M$4:$M$709,"低")&gt;0,"已匹配，建议复核","已匹配"))</x:f>
        <x:v>未匹配（现有产业链范围未覆盖或证据不足）</x:v>
      </x:c>
      <x:c r="H1146" s="26" t="str">
        <x:v>-</x:v>
      </x:c>
      <x:c r="I1146" s="26" t="str"/>
      <x:c r="J1146" s="26" t="str"/>
      <x:c r="K1146" s="26" t="str">
        <x:v>首席技术执行官（CTO）是通信/电子行业中至关重要的高级管理职位，负责监督企业的技术创新和技术战略的实施。作为企业与技术之间的桥梁，CTO不仅需要具备深厚的技术背景，还应拥有敏锐的商业洞察力，以确保技术解决方案能够满足市…</x:v>
      </x:c>
      <x:c r="L1146" s="26" t="str">
        <x:v>1. 负责制定公司的技术发展战略，确保技术路线符合业务需求及市场趋势。 2. 管理并指导技术研发团队，确保项目按时按质完成，提高产品创新能力和技术水平。 3. 与各部门协调沟通，确保技术方案的有效实施，支持业务目标的达成…</x:v>
      </x:c>
    </x:row>
    <x:row r="1147" ht="72" customHeight="1">
      <x:c r="A1147" s="25" t="n">
        <x:v>12039</x:v>
      </x:c>
      <x:c r="B1147" s="25" t="str">
        <x:v>IC-L3-1296</x:v>
      </x:c>
      <x:c r="C1147" s="25" t="str">
        <x:v>电子工程师</x:v>
      </x:c>
      <x:c r="D1147" s="25" t="str">
        <x:v>2-02-09-02</x:v>
      </x:c>
      <x:c r="E1147" s="25" t="str">
        <x:v>电子元器件工程技术人员</x:v>
      </x:c>
      <x:c r="F1147" s="28" t="n">
        <x:f>COUNTIF('岗位-产业节点关系'!$C$4:$C$709,B1147)</x:f>
        <x:v>1</x:v>
      </x:c>
      <x:c r="G1147" s="26" t="str">
        <x:f>IF(F1147=0,"未匹配（现有产业链范围未覆盖或证据不足）",IF(COUNTIFS('岗位-产业节点关系'!$C$4:$C$709,B1147,'岗位-产业节点关系'!$M$4:$M$709,"低")&gt;0,"已匹配，建议复核","已匹配"))</x:f>
        <x:v>已匹配，建议复核</x:v>
      </x:c>
      <x:c r="H1147" s="26" t="str">
        <x:v>低</x:v>
      </x:c>
      <x:c r="I1147" s="26" t="str">
        <x:v>ICN016</x:v>
      </x:c>
      <x:c r="J1147" s="26" t="str">
        <x:v>智能物联与消费电子产业链/上游/传感器、芯片模组与基础器件</x:v>
      </x:c>
      <x:c r="K1147" s="26" t="str">
        <x:v>电子工程师是专门从事电子系统设计与开发的专业技术人员。该职位的核心目标是通过设计、测试和维护电子系统，确保技术项目的高效实施与质量达标。在日常工作中，需要进行电路设计、PCB布局、系统调试、技术文档编写及跨部门协作等工作…</x:v>
      </x:c>
      <x:c r="L1147" s="26" t="str">
        <x:v>1. 设计电子电路方案 2. 开发硬件系统原型 3. 测试电子设备性能 4. 编写技术文档报告 5. 协调项目开发进度 6. 解决技术疑难问题</x:v>
      </x:c>
    </x:row>
    <x:row r="1148" ht="72" customHeight="1">
      <x:c r="A1148" s="25" t="n">
        <x:v>12040</x:v>
      </x:c>
      <x:c r="B1148" s="25" t="str">
        <x:v>IC-L3-1297</x:v>
      </x:c>
      <x:c r="C1148" s="25" t="str">
        <x:v>核心网工程师</x:v>
      </x:c>
      <x:c r="D1148" s="25" t="str">
        <x:v>2-02-10-01</x:v>
      </x:c>
      <x:c r="E1148" s="25" t="str">
        <x:v>通信工程技术人员</x:v>
      </x:c>
      <x:c r="F1148" s="28" t="n">
        <x:f>COUNTIF('岗位-产业节点关系'!$C$4:$C$709,B1148)</x:f>
        <x:v>1</x:v>
      </x:c>
      <x:c r="G1148" s="26" t="str">
        <x:f>IF(F1148=0,"未匹配（现有产业链范围未覆盖或证据不足）",IF(COUNTIFS('岗位-产业节点关系'!$C$4:$C$709,B1148,'岗位-产业节点关系'!$M$4:$M$709,"低")&gt;0,"已匹配，建议复核","已匹配"))</x:f>
        <x:v>已匹配，建议复核</x:v>
      </x:c>
      <x:c r="H1148" s="26" t="str">
        <x:v>低</x:v>
      </x:c>
      <x:c r="I1148" s="26" t="str">
        <x:v>ICN029</x:v>
      </x:c>
      <x:c r="J1148" s="26" t="str">
        <x:v>新一代信息基础设施产业链/中游/5G网络、数据中心与云边平台</x:v>
      </x:c>
      <x:c r="K1148" s="26" t="str">
        <x:v>核心网工程师是专门从事电信核心网络规划、建设和维护的专业人员。该职位的核心目标是通过优化核心网络架构，确保通信系统的高效稳定运行。在日常工作中，需要进行网络拓扑设计、设备配置调测、故障排查分析以及项目管理协调等工作。</x:v>
      </x:c>
      <x:c r="L1148" s="26" t="str">
        <x:v>1. 设计核心网架构方案 2. 部署调试网络设备 3. 优化核心网性能指标 4. 处理网络故障问题 5. 编写技术文档报告 6. 协调跨部门项目对接</x:v>
      </x:c>
    </x:row>
    <x:row r="1149" ht="72" customHeight="1">
      <x:c r="A1149" s="25" t="n">
        <x:v>12041</x:v>
      </x:c>
      <x:c r="B1149" s="25" t="str">
        <x:v>IC-L3-1298</x:v>
      </x:c>
      <x:c r="C1149" s="25" t="str">
        <x:v>PCB工程师</x:v>
      </x:c>
      <x:c r="D1149" s="25" t="str">
        <x:v>2-02-09-02</x:v>
      </x:c>
      <x:c r="E1149" s="25" t="str">
        <x:v>电子元器件工程技术人员</x:v>
      </x:c>
      <x:c r="F1149" s="28" t="n">
        <x:f>COUNTIF('岗位-产业节点关系'!$C$4:$C$709,B1149)</x:f>
        <x:v>1</x:v>
      </x:c>
      <x:c r="G1149" s="26" t="str">
        <x:f>IF(F1149=0,"未匹配（现有产业链范围未覆盖或证据不足）",IF(COUNTIFS('岗位-产业节点关系'!$C$4:$C$709,B1149,'岗位-产业节点关系'!$M$4:$M$709,"低")&gt;0,"已匹配，建议复核","已匹配"))</x:f>
        <x:v>已匹配</x:v>
      </x:c>
      <x:c r="H1149" s="26" t="str">
        <x:v>高</x:v>
      </x:c>
      <x:c r="I1149" s="26" t="str">
        <x:v>ICN016</x:v>
      </x:c>
      <x:c r="J1149" s="26" t="str">
        <x:v>智能物联与消费电子产业链/上游/传感器、芯片模组与基础器件</x:v>
      </x:c>
      <x:c r="K1149" s="26" t="str">
        <x:v>PCB工程师是通信/电子行业中不可或缺的专业技术人才，负责设计和优化印刷电路板（PCB），以确保电子设备的功能性和可靠性。这一职位不仅要求具备扎实的理论知识，还要求有丰富的实践经验，是连接产品概念与实际生产的关键桥梁。 …</x:v>
      </x:c>
      <x:c r="L1149" s="26" t="str">
        <x:v>1. 负责新产品的PCB布局设计及优化工作，确保设计符合功能需求和生产标准。 2. 对现有产品进行技术改进，提高其稳定性和生产效率，降低不良率。 3. 参与项目初期评审会议，提供专业的PCB设计建议，规避潜在风险。 4.…</x:v>
      </x:c>
    </x:row>
    <x:row r="1150" ht="72" customHeight="1">
      <x:c r="A1150" s="25" t="n">
        <x:v>12042</x:v>
      </x:c>
      <x:c r="B1150" s="25" t="str">
        <x:v>IC-L3-1299</x:v>
      </x:c>
      <x:c r="C1150" s="25" t="str">
        <x:v>SMT工程师</x:v>
      </x:c>
      <x:c r="D1150" s="25" t="str">
        <x:v>2-02-09-02</x:v>
      </x:c>
      <x:c r="E1150" s="25" t="str">
        <x:v>电子元器件工程技术人员</x:v>
      </x:c>
      <x:c r="F1150" s="28" t="n">
        <x:f>COUNTIF('岗位-产业节点关系'!$C$4:$C$709,B1150)</x:f>
        <x:v>1</x:v>
      </x:c>
      <x:c r="G1150" s="26" t="str">
        <x:f>IF(F1150=0,"未匹配（现有产业链范围未覆盖或证据不足）",IF(COUNTIFS('岗位-产业节点关系'!$C$4:$C$709,B1150,'岗位-产业节点关系'!$M$4:$M$709,"低")&gt;0,"已匹配，建议复核","已匹配"))</x:f>
        <x:v>已匹配</x:v>
      </x:c>
      <x:c r="H1150" s="26" t="str">
        <x:v>中</x:v>
      </x:c>
      <x:c r="I1150" s="26" t="str">
        <x:v>ICN017</x:v>
      </x:c>
      <x:c r="J1150" s="26" t="str">
        <x:v>智能物联与消费电子产业链/中游/智能终端、家电与物联平台</x:v>
      </x:c>
      <x:c r="K1150" s="26" t="str">
        <x:v>SMT工程师是通信/电子行业中不可或缺的专业技术人才，主要负责表面贴装技术（Surface Mount Technology, SMT）的应用与优化，确保电子产品生产过程中的高效与质量控制。作为连接设计与制造的关键桥梁，…</x:v>
      </x:c>
      <x:c r="L1150" s="26" t="str">
        <x:v>1. 负责SMT生产线的整体规划与布局，包括设备选型、工艺路线制定等，确保生产线的稳定运行。 2. 对现有SMT工艺进行持续优化，分析并解决生产中出现的各种技术问题，不断提高生产效率和产品质量。 3. 参与新产品导入阶段…</x:v>
      </x:c>
    </x:row>
    <x:row r="1151" ht="72" customHeight="1">
      <x:c r="A1151" s="25" t="n">
        <x:v>12043</x:v>
      </x:c>
      <x:c r="B1151" s="25" t="str">
        <x:v>IC-L3-1300</x:v>
      </x:c>
      <x:c r="C1151" s="25" t="str">
        <x:v>仪器/仪表/计量分析师</x:v>
      </x:c>
      <x:c r="D1151" s="25" t="str">
        <x:v>2-02-09-02</x:v>
      </x:c>
      <x:c r="E1151" s="25" t="str">
        <x:v>电子元器件工程技术人员</x:v>
      </x:c>
      <x:c r="F1151" s="28" t="n">
        <x:f>COUNTIF('岗位-产业节点关系'!$C$4:$C$709,B1151)</x:f>
        <x:v>1</x:v>
      </x:c>
      <x:c r="G1151" s="26" t="str">
        <x:f>IF(F1151=0,"未匹配（现有产业链范围未覆盖或证据不足）",IF(COUNTIFS('岗位-产业节点关系'!$C$4:$C$709,B1151,'岗位-产业节点关系'!$M$4:$M$709,"低")&gt;0,"已匹配，建议复核","已匹配"))</x:f>
        <x:v>已匹配</x:v>
      </x:c>
      <x:c r="H1151" s="26" t="str">
        <x:v>高</x:v>
      </x:c>
      <x:c r="I1151" s="26" t="str">
        <x:v>ICN016</x:v>
      </x:c>
      <x:c r="J1151" s="26" t="str">
        <x:v>智能物联与消费电子产业链/上游/传感器、芯片模组与基础器件</x:v>
      </x:c>
      <x:c r="K1151" s="26" t="str">
        <x:v>仪器/仪表/计量分析师是通信/电子行业中不可或缺的专业人才，他们负责确保各种设备和系统的准确度与可靠性，对于提升产品质量和客户满意度至关重要。通过精确的数据分析和严谨的测试流程，该职位能够有效识别并解决生产过程中的技术难…</x:v>
      </x:c>
      <x:c r="L1151" s="26" t="str">
        <x:v>1. 负责仪器仪表的校准、维护及故障排除工作，确保所有测量工具的准确性，以支持日常运营需求。 2. 对产品性能进行深入分析，制定科学合理的测试方案，收集并整理实验数据，撰写详尽的技术报告。 3. 协助工程师团队完成新产品…</x:v>
      </x:c>
    </x:row>
    <x:row r="1152" ht="72" customHeight="1">
      <x:c r="A1152" s="25" t="n">
        <x:v>12044</x:v>
      </x:c>
      <x:c r="B1152" s="25" t="str">
        <x:v>IC-L3-1301</x:v>
      </x:c>
      <x:c r="C1152" s="25" t="str">
        <x:v>变压器与磁电工程师</x:v>
      </x:c>
      <x:c r="D1152" s="25" t="str">
        <x:v>2-02-09-02</x:v>
      </x:c>
      <x:c r="E1152" s="25" t="str">
        <x:v>电子元器件工程技术人员</x:v>
      </x:c>
      <x:c r="F1152" s="28" t="n">
        <x:f>COUNTIF('岗位-产业节点关系'!$C$4:$C$709,B1152)</x:f>
        <x:v>1</x:v>
      </x:c>
      <x:c r="G1152" s="26" t="str">
        <x:f>IF(F1152=0,"未匹配（现有产业链范围未覆盖或证据不足）",IF(COUNTIFS('岗位-产业节点关系'!$C$4:$C$709,B1152,'岗位-产业节点关系'!$M$4:$M$709,"低")&gt;0,"已匹配，建议复核","已匹配"))</x:f>
        <x:v>已匹配</x:v>
      </x:c>
      <x:c r="H1152" s="26" t="str">
        <x:v>中</x:v>
      </x:c>
      <x:c r="I1152" s="26" t="str">
        <x:v>ICN016</x:v>
      </x:c>
      <x:c r="J1152" s="26" t="str">
        <x:v>智能物联与消费电子产业链/上游/传感器、芯片模组与基础器件</x:v>
      </x:c>
      <x:c r="K1152" s="26" t="str">
        <x:v>变压器与磁电工程师是通信/电子行业中不可或缺的专业人才，负责设计和优化变压器及磁性元件，确保电子设备的高效运行。该职位不仅需要具备扎实的理论基础，还需要有丰富的实践经验，以应对不断变化的技术挑战。 该职位的核心目标是通过…</x:v>
      </x:c>
      <x:c r="L1152" s="26" t="str">
        <x:v>1. 负责变压器及磁性元件的设计与开发工作，确保符合性能指标要求。 2. 对现有产品进行持续改进，减少损耗，提高效率，降低成本。 3. 与采购部门协作，评估供应商提供的材料质量，选择最合适的原材料。 4. 参与跨部门会议…</x:v>
      </x:c>
    </x:row>
    <x:row r="1153" ht="72" customHeight="1">
      <x:c r="A1153" s="25" t="n">
        <x:v>12045</x:v>
      </x:c>
      <x:c r="B1153" s="25" t="str">
        <x:v>IC-L3-1302</x:v>
      </x:c>
      <x:c r="C1153" s="25" t="str">
        <x:v>安防系统工程师</x:v>
      </x:c>
      <x:c r="D1153" s="25" t="str">
        <x:v>2-02-09-02</x:v>
      </x:c>
      <x:c r="E1153" s="25" t="str">
        <x:v>电子元器件工程技术人员</x:v>
      </x:c>
      <x:c r="F1153" s="28" t="n">
        <x:f>COUNTIF('岗位-产业节点关系'!$C$4:$C$709,B1153)</x:f>
        <x:v>1</x:v>
      </x:c>
      <x:c r="G1153" s="26" t="str">
        <x:f>IF(F1153=0,"未匹配（现有产业链范围未覆盖或证据不足）",IF(COUNTIFS('岗位-产业节点关系'!$C$4:$C$709,B1153,'岗位-产业节点关系'!$M$4:$M$709,"低")&gt;0,"已匹配，建议复核","已匹配"))</x:f>
        <x:v>已匹配，建议复核</x:v>
      </x:c>
      <x:c r="H1153" s="26" t="str">
        <x:v>低</x:v>
      </x:c>
      <x:c r="I1153" s="26" t="str">
        <x:v>ICN016</x:v>
      </x:c>
      <x:c r="J1153" s="26" t="str">
        <x:v>智能物联与消费电子产业链/上游/传感器、芯片模组与基础器件</x:v>
      </x:c>
      <x:c r="K1153" s="26" t="str">
        <x:v>安防系统工程师是通信/电子行业中至关重要的角色之一，主要负责设计、安装和维护各种安全防范系统，以保障企业和个人的安全需求。随着科技的发展和社会的进步，安防系统的智能化和网络化趋势日益明显，这使得安防系统工程师的专业技能成…</x:v>
      </x:c>
      <x:c r="L1153" s="26" t="str">
        <x:v>1. 负责安防系统的设计方案制定，包括但不限于视频监控、入侵报警、门禁控制等系统的规划与布局，确保满足客户的具体要求。 2. 执行现场勘查任务，准确测量和记录场地尺寸及相关参数，为后续施工提供精确的数据支持。 3. 组织…</x:v>
      </x:c>
    </x:row>
    <x:row r="1154" ht="72" customHeight="1">
      <x:c r="A1154" s="25" t="n">
        <x:v>12046</x:v>
      </x:c>
      <x:c r="B1154" s="25" t="str">
        <x:v>IC-L3-1303</x:v>
      </x:c>
      <x:c r="C1154" s="25" t="str">
        <x:v>家用电器/数码产品研发</x:v>
      </x:c>
      <x:c r="D1154" s="25" t="str">
        <x:v>2-02-09-02</x:v>
      </x:c>
      <x:c r="E1154" s="25" t="str">
        <x:v>电子元器件工程技术人员</x:v>
      </x:c>
      <x:c r="F1154" s="28" t="n">
        <x:f>COUNTIF('岗位-产业节点关系'!$C$4:$C$709,B1154)</x:f>
        <x:v>1</x:v>
      </x:c>
      <x:c r="G1154" s="26" t="str">
        <x:f>IF(F1154=0,"未匹配（现有产业链范围未覆盖或证据不足）",IF(COUNTIFS('岗位-产业节点关系'!$C$4:$C$709,B1154,'岗位-产业节点关系'!$M$4:$M$709,"低")&gt;0,"已匹配，建议复核","已匹配"))</x:f>
        <x:v>已匹配</x:v>
      </x:c>
      <x:c r="H1154" s="26" t="str">
        <x:v>高</x:v>
      </x:c>
      <x:c r="I1154" s="26" t="str">
        <x:v>ICN017</x:v>
      </x:c>
      <x:c r="J1154" s="26" t="str">
        <x:v>智能物联与消费电子产业链/中游/智能终端、家电与物联平台</x:v>
      </x:c>
      <x:c r="K1154" s="26" t="str">
        <x:v>在家用电器与数码产品快速发展的今天，研发人员是推动技术创新的关键力量。他们不仅负责新产品的开发设计，还承担着优化现有产品性能、提升用户体验的重要任务。作为公司技术团队的核心成员之一，家用电器/数码产品研发工程师将参与从概…</x:v>
      </x:c>
      <x:c r="L1154" s="26" t="str">
        <x:v>1. 负责家用电器/数码产品的硬件设计与开发工作，确保设计方案满足功能需求并具备良好的可制造性。 2. 对现有产品进行技术升级和改造，提高产品性能，缩短生产周期，降低制造成本。 3. 参与新产品立项评审，提供技术支持，评…</x:v>
      </x:c>
    </x:row>
    <x:row r="1155" ht="72" customHeight="1">
      <x:c r="A1155" s="25" t="n">
        <x:v>12047</x:v>
      </x:c>
      <x:c r="B1155" s="25" t="str">
        <x:v>IC-L3-1304</x:v>
      </x:c>
      <x:c r="C1155" s="25" t="str">
        <x:v>嵌入式硬件开发</x:v>
      </x:c>
      <x:c r="D1155" s="25" t="str">
        <x:v>2-02-10-03</x:v>
      </x:c>
      <x:c r="E1155" s="25" t="str">
        <x:v>计算机软件工程技术人员</x:v>
      </x:c>
      <x:c r="F1155" s="28" t="n">
        <x:f>COUNTIF('岗位-产业节点关系'!$C$4:$C$709,B1155)</x:f>
        <x:v>1</x:v>
      </x:c>
      <x:c r="G1155" s="26" t="str">
        <x:f>IF(F1155=0,"未匹配（现有产业链范围未覆盖或证据不足）",IF(COUNTIFS('岗位-产业节点关系'!$C$4:$C$709,B1155,'岗位-产业节点关系'!$M$4:$M$709,"低")&gt;0,"已匹配，建议复核","已匹配"))</x:f>
        <x:v>已匹配</x:v>
      </x:c>
      <x:c r="H1155" s="26" t="str">
        <x:v>高</x:v>
      </x:c>
      <x:c r="I1155" s="26" t="str">
        <x:v>ICN016</x:v>
      </x:c>
      <x:c r="J1155" s="26" t="str">
        <x:v>智能物联与消费电子产业链/上游/传感器、芯片模组与基础器件</x:v>
      </x:c>
      <x:c r="K1155" s="26" t="str">
        <x:v>嵌入式硬件开发工程师是通信/电子行业中不可或缺的专业人才，他们负责设计和实现各种电子设备的硬件系统，确保产品的性能和可靠性达到预期标准。作为连接软件与物理世界的桥梁，他们的工作直接关系到产品能否顺利进入市场并获得成功。 …</x:v>
      </x:c>
      <x:c r="L1155" s="26" t="str">
        <x:v>1. 负责新产品开发过程中的硬件方案设计、原理图绘制及PCB布线，确保设计方案满足功能要求和技术规范。 2. 进行关键元器件的选型评估，编写详细的选型报告，保证所选材料符合成本控制和质量标准。 3. 协助软件团队完成系统…</x:v>
      </x:c>
    </x:row>
    <x:row r="1156" ht="72" customHeight="1">
      <x:c r="A1156" s="25" t="n">
        <x:v>12048</x:v>
      </x:c>
      <x:c r="B1156" s="25" t="str">
        <x:v>IC-L3-1305</x:v>
      </x:c>
      <x:c r="C1156" s="25" t="str">
        <x:v>嵌入式软件开发</x:v>
      </x:c>
      <x:c r="D1156" s="25" t="str">
        <x:v>2-02-10-03</x:v>
      </x:c>
      <x:c r="E1156" s="25" t="str">
        <x:v>计算机软件工程技术人员</x:v>
      </x:c>
      <x:c r="F1156" s="28" t="n">
        <x:f>COUNTIF('岗位-产业节点关系'!$C$4:$C$709,B1156)</x:f>
        <x:v>2</x:v>
      </x:c>
      <x:c r="G1156" s="26" t="str">
        <x:f>IF(F1156=0,"未匹配（现有产业链范围未覆盖或证据不足）",IF(COUNTIFS('岗位-产业节点关系'!$C$4:$C$709,B1156,'岗位-产业节点关系'!$M$4:$M$709,"低")&gt;0,"已匹配，建议复核","已匹配"))</x:f>
        <x:v>已匹配</x:v>
      </x:c>
      <x:c r="H1156" s="26" t="str">
        <x:v>中</x:v>
      </x:c>
      <x:c r="I1156" s="26" t="str">
        <x:v>ICN056、ICN016</x:v>
      </x:c>
      <x:c r="J1156" s="26" t="str">
        <x:v>软件与数字安全产业链/中游/应用软件、区块链平台与安全产品；智能物联与消费电子产业链/上游/传感器、芯片模组与基础器件</x:v>
      </x:c>
      <x:c r="K1156" s="26" t="str">
        <x:v>嵌入式软件开发工程师是通信/电子行业中不可或缺的专业人才，负责设计和实现运行于硬件设备上的软件系统，确保产品的高效运作与稳定性能。作为连接硬件与应用软件的桥梁，该职位对于推动技术创新、提升产品竞争力具有举足轻重的作用。 …</x:v>
      </x:c>
      <x:c r="L1156" s="26" t="str">
        <x:v>1. 负责嵌入式系统的设计、编码、调试及维护工作，确保软件功能符合产品规格书的要求。 2. 根据项目需求进行技术调研，评估并选择合适的开发工具和平台，以支持快速原型制作和迭代改进。 3. 与团队成员合作，参与软件架构设计…</x:v>
      </x:c>
    </x:row>
    <x:row r="1157" ht="72" customHeight="1">
      <x:c r="A1157" s="25" t="n">
        <x:v>12049</x:v>
      </x:c>
      <x:c r="B1157" s="25" t="str">
        <x:v>IC-L3-1306</x:v>
      </x:c>
      <x:c r="C1157" s="25" t="str">
        <x:v>工业视觉系统运维员</x:v>
      </x:c>
      <x:c r="D1157" s="25" t="str">
        <x:v>4-04-05-01</x:v>
      </x:c>
      <x:c r="E1157" s="25" t="str">
        <x:v>计算机程序设计员</x:v>
      </x:c>
      <x:c r="F1157" s="28" t="n">
        <x:f>COUNTIF('岗位-产业节点关系'!$C$4:$C$709,B1157)</x:f>
        <x:v>0</x:v>
      </x:c>
      <x:c r="G1157" s="26" t="str">
        <x:f>IF(F1157=0,"未匹配（现有产业链范围未覆盖或证据不足）",IF(COUNTIFS('岗位-产业节点关系'!$C$4:$C$709,B1157,'岗位-产业节点关系'!$M$4:$M$709,"低")&gt;0,"已匹配，建议复核","已匹配"))</x:f>
        <x:v>未匹配（现有产业链范围未覆盖或证据不足）</x:v>
      </x:c>
      <x:c r="H1157" s="26" t="str">
        <x:v>-</x:v>
      </x:c>
      <x:c r="I1157" s="26" t="str"/>
      <x:c r="J1157" s="26" t="str"/>
      <x:c r="K1157" s="26" t="str">
        <x:v>工业视觉系统运维员是通信/电子行业中不可或缺的技术岗位，主要负责工业生产线上视觉检测系统的运行维护工作。随着智能制造的发展，工业视觉技术的应用日益广泛，该职位对于确保产品质量、提高生产效率起着关键作用。 该职位的核心目标…</x:v>
      </x:c>
      <x:c r="L1157" s="26" t="str">
        <x:v>1. 负责工业视觉检测系统的安装、调试及日常维护，确保系统正常运行。 2. 定期检查设备状态，记录并分析运行数据，预测潜在故障点，制定预防措施。 3. 遇到系统异常时，迅速响应并采取有效措施排除故障，减少停机时间。 4.…</x:v>
      </x:c>
    </x:row>
    <x:row r="1158" ht="72" customHeight="1">
      <x:c r="A1158" s="25" t="n">
        <x:v>12050</x:v>
      </x:c>
      <x:c r="B1158" s="25" t="str">
        <x:v>IC-L3-1307</x:v>
      </x:c>
      <x:c r="C1158" s="25" t="str">
        <x:v>智能硬件装调员</x:v>
      </x:c>
      <x:c r="D1158" s="25" t="str">
        <x:v>2-02-09-02</x:v>
      </x:c>
      <x:c r="E1158" s="25" t="str">
        <x:v>电子元器件工程技术人员</x:v>
      </x:c>
      <x:c r="F1158" s="28" t="n">
        <x:f>COUNTIF('岗位-产业节点关系'!$C$4:$C$709,B1158)</x:f>
        <x:v>1</x:v>
      </x:c>
      <x:c r="G1158" s="26" t="str">
        <x:f>IF(F1158=0,"未匹配（现有产业链范围未覆盖或证据不足）",IF(COUNTIFS('岗位-产业节点关系'!$C$4:$C$709,B1158,'岗位-产业节点关系'!$M$4:$M$709,"低")&gt;0,"已匹配，建议复核","已匹配"))</x:f>
        <x:v>已匹配</x:v>
      </x:c>
      <x:c r="H1158" s="26" t="str">
        <x:v>中</x:v>
      </x:c>
      <x:c r="I1158" s="26" t="str">
        <x:v>ICN016</x:v>
      </x:c>
      <x:c r="J1158" s="26" t="str">
        <x:v>智能物联与消费电子产业链/上游/传感器、芯片模组与基础器件</x:v>
      </x:c>
      <x:c r="K1158" s="26" t="str">
        <x:v>智能硬件装调员是通信/电子行业中不可或缺的专业技术人才，主要负责智能硬件设备的安装、调试与维护工作。随着物联网技术的发展，智能硬件的应用越来越广泛，该职位的重要性日益凸显，不仅直接关系到产品的质量和用户体验，还影响着企业…</x:v>
      </x:c>
      <x:c r="L1158" s="26" t="str">
        <x:v>1. 负责智能硬件产品的安装与初步测试，确保各部件正确连接并正常工作。 2. 根据产品规格书及工艺文件要求，完成设备的功能性测试和性能参数校准。 3. 对于发现的问题进行记录分析，并提出改进建议，协助研发部门优化设计方案…</x:v>
      </x:c>
    </x:row>
    <x:row r="1159" ht="72" customHeight="1">
      <x:c r="A1159" s="25" t="n">
        <x:v>12051</x:v>
      </x:c>
      <x:c r="B1159" s="25" t="str">
        <x:v>IC-L3-1308</x:v>
      </x:c>
      <x:c r="C1159" s="25" t="str">
        <x:v>服务机器人应用技术员</x:v>
      </x:c>
      <x:c r="D1159" s="25" t="str">
        <x:v>2-02-09-02</x:v>
      </x:c>
      <x:c r="E1159" s="25" t="str">
        <x:v>电子元器件工程技术人员</x:v>
      </x:c>
      <x:c r="F1159" s="28" t="n">
        <x:f>COUNTIF('岗位-产业节点关系'!$C$4:$C$709,B1159)</x:f>
        <x:v>2</x:v>
      </x:c>
      <x:c r="G1159" s="26" t="str">
        <x:f>IF(F1159=0,"未匹配（现有产业链范围未覆盖或证据不足）",IF(COUNTIFS('岗位-产业节点关系'!$C$4:$C$709,B1159,'岗位-产业节点关系'!$M$4:$M$709,"低")&gt;0,"已匹配，建议复核","已匹配"))</x:f>
        <x:v>已匹配，建议复核</x:v>
      </x:c>
      <x:c r="H1159" s="26" t="str">
        <x:v>高</x:v>
      </x:c>
      <x:c r="I1159" s="26" t="str">
        <x:v>ICN042、ICN016</x:v>
      </x:c>
      <x:c r="J1159" s="26" t="str">
        <x:v>机器人产业链/下游/工业、服务与特种场景应用；智能物联与消费电子产业链/上游/传感器、芯片模组与基础器件</x:v>
      </x:c>
      <x:c r="K1159" s="26" t="str">
        <x:v>服务机器人应用技术员是通信/电子行业中不可或缺的专业人才，主要负责服务机器人的安装、调试、维护与技术支持。随着科技的发展和服务机器人市场的日益扩大，这一岗位的重要性愈发凸显，它不仅促进了产品性能的提升，还推动了整个行业的…</x:v>
      </x:c>
      <x:c r="L1159" s="26" t="str">
        <x:v>1. 负责服务机器人的现场安装、调试及日常维护工作，确保设备正常运作，满足客户需求。 2. 针对客户反馈的技术问题进行分析处理，提供解决方案，保证服务质量。 3. 参与新产品的测试验证过程，协助完成技术文档编写，为后续生…</x:v>
      </x:c>
    </x:row>
    <x:row r="1160" ht="72" customHeight="1">
      <x:c r="A1160" s="25" t="n">
        <x:v>12052</x:v>
      </x:c>
      <x:c r="B1160" s="25" t="str">
        <x:v>IC-L3-1309</x:v>
      </x:c>
      <x:c r="C1160" s="25" t="str">
        <x:v>机器人调试工程师</x:v>
      </x:c>
      <x:c r="D1160" s="25" t="str">
        <x:v>2-02-09-02</x:v>
      </x:c>
      <x:c r="E1160" s="25" t="str">
        <x:v>电子元器件工程技术人员</x:v>
      </x:c>
      <x:c r="F1160" s="28" t="n">
        <x:f>COUNTIF('岗位-产业节点关系'!$C$4:$C$709,B1160)</x:f>
        <x:v>1</x:v>
      </x:c>
      <x:c r="G1160" s="26" t="str">
        <x:f>IF(F1160=0,"未匹配（现有产业链范围未覆盖或证据不足）",IF(COUNTIFS('岗位-产业节点关系'!$C$4:$C$709,B1160,'岗位-产业节点关系'!$M$4:$M$709,"低")&gt;0,"已匹配，建议复核","已匹配"))</x:f>
        <x:v>已匹配</x:v>
      </x:c>
      <x:c r="H1160" s="26" t="str">
        <x:v>中</x:v>
      </x:c>
      <x:c r="I1160" s="26" t="str">
        <x:v>ICN041</x:v>
      </x:c>
      <x:c r="J1160" s="26" t="str">
        <x:v>机器人产业链/中游/机器人本体制造与系统集成</x:v>
      </x:c>
      <x:c r="K1160" s="26" t="str">
        <x:v>机器人调试工程师是通信/电子行业中不可或缺的专业人才，主要负责自动化设备的安装、测试与维护工作。这一角色不仅需要具备扎实的电子技术基础，还要求对机械结构有一定的了解，以确保机器人系统的稳定运行和高效作业。在现代制造业中，…</x:v>
      </x:c>
      <x:c r="L1160" s="26" t="str">
        <x:v>1. 负责机器人系统的设计、组装、编程与调试工作，确保其功能符合设计要求。 2. 对出现故障的机器人进行诊断和维修，快速恢复设备正常运作，保证生产线的连续性。 3. 定期对机器人进行维护保养，预防潜在问题的发生，延长设备…</x:v>
      </x:c>
    </x:row>
    <x:row r="1161" ht="72" customHeight="1">
      <x:c r="A1161" s="25" t="n">
        <x:v>12053</x:v>
      </x:c>
      <x:c r="B1161" s="25" t="str">
        <x:v>IC-L3-1310</x:v>
      </x:c>
      <x:c r="C1161" s="25" t="str">
        <x:v>激光/光电子技术</x:v>
      </x:c>
      <x:c r="D1161" s="25" t="str">
        <x:v>2-02-09-02</x:v>
      </x:c>
      <x:c r="E1161" s="25" t="str">
        <x:v>电子元器件工程技术人员</x:v>
      </x:c>
      <x:c r="F1161" s="28" t="n">
        <x:f>COUNTIF('岗位-产业节点关系'!$C$4:$C$709,B1161)</x:f>
        <x:v>2</x:v>
      </x:c>
      <x:c r="G1161" s="26" t="str">
        <x:f>IF(F1161=0,"未匹配（现有产业链范围未覆盖或证据不足）",IF(COUNTIFS('岗位-产业节点关系'!$C$4:$C$709,B1161,'岗位-产业节点关系'!$M$4:$M$709,"低")&gt;0,"已匹配，建议复核","已匹配"))</x:f>
        <x:v>已匹配，建议复核</x:v>
      </x:c>
      <x:c r="H1161" s="26" t="str">
        <x:v>中</x:v>
      </x:c>
      <x:c r="I1161" s="26" t="str">
        <x:v>ICN005、ICN016</x:v>
      </x:c>
      <x:c r="J1161" s="26" t="str">
        <x:v>高端装备与智能制造产业链/中游/高端装备制造与激光加工；智能物联与消费电子产业链/上游/传感器、芯片模组与基础器件</x:v>
      </x:c>
      <x:c r="K1161" s="26" t="str">
        <x:v>**岗位简介** 激光/光电子技术专家在通信/电子行业中扮演着至关重要的角色。随着信息技术的飞速发展，激光与光电子技术已成为推动新型通信设备、精密测量仪器以及高效能能源系统发展的关键技术之一。该职位不仅要求具备深厚的专业…</x:v>
      </x:c>
      <x:c r="L1161" s="26" t="str">
        <x:v>激光/光电子技术工程师的主要职责包括：设计和优化激光器和光电子设备的性能参数；进行光电子元器件的选型与测试；负责光路设计与调试，确保光路系统的稳定性和可靠性；参与光电子产品的研发，进行技术方案的论证与实施；编写技术文档，…</x:v>
      </x:c>
    </x:row>
    <x:row r="1162" ht="72" customHeight="1">
      <x:c r="A1162" s="25" t="n">
        <x:v>12054</x:v>
      </x:c>
      <x:c r="B1162" s="25" t="str">
        <x:v>IC-L3-1311</x:v>
      </x:c>
      <x:c r="C1162" s="25" t="str">
        <x:v>电声/音响工程师/技术员</x:v>
      </x:c>
      <x:c r="D1162" s="25" t="str">
        <x:v>2-02-11-01</x:v>
      </x:c>
      <x:c r="E1162" s="25" t="str">
        <x:v>电工电器工程技术人员</x:v>
      </x:c>
      <x:c r="F1162" s="28" t="n">
        <x:f>COUNTIF('岗位-产业节点关系'!$C$4:$C$709,B1162)</x:f>
        <x:v>0</x:v>
      </x:c>
      <x:c r="G1162" s="26" t="str">
        <x:f>IF(F1162=0,"未匹配（现有产业链范围未覆盖或证据不足）",IF(COUNTIFS('岗位-产业节点关系'!$C$4:$C$709,B1162,'岗位-产业节点关系'!$M$4:$M$709,"低")&gt;0,"已匹配，建议复核","已匹配"))</x:f>
        <x:v>未匹配（现有产业链范围未覆盖或证据不足）</x:v>
      </x:c>
      <x:c r="H1162" s="26" t="str">
        <x:v>-</x:v>
      </x:c>
      <x:c r="I1162" s="26" t="str"/>
      <x:c r="J1162" s="26" t="str"/>
      <x:c r="K1162" s="26" t="str">
        <x:v>电声/音响工程师或技术员是通信/电子行业中不可或缺的专业人才，他们专注于音频设备的研发与优化，确保产品满足高标准的技术要求。在这一领域中，他们的工作直接关系到产品的音质表现和用户体验，是连接技术与用户感知的关键桥梁。 该…</x:v>
      </x:c>
      <x:c r="L1162" s="26" t="str">
        <x:v>1. 负责电声产品的设计开发工作，包括但不限于扬声器、麦克风、耳机等，确保产品符合预定的技术规格和质量标准。 2. 对现有产品进行持续的技术改进，优化电路设计和声学结构，提高产品的音质效果和稳定性。 3. 参与新项目的前…</x:v>
      </x:c>
    </x:row>
    <x:row r="1163" ht="72" customHeight="1">
      <x:c r="A1163" s="25" t="n">
        <x:v>12055</x:v>
      </x:c>
      <x:c r="B1163" s="25" t="str">
        <x:v>IC-L3-1312</x:v>
      </x:c>
      <x:c r="C1163" s="25" t="str">
        <x:v>电子/电器维修工程师/技师</x:v>
      </x:c>
      <x:c r="D1163" s="25" t="str">
        <x:v>2-02-09-02</x:v>
      </x:c>
      <x:c r="E1163" s="25" t="str">
        <x:v>电子元器件工程技术人员</x:v>
      </x:c>
      <x:c r="F1163" s="28" t="n">
        <x:f>COUNTIF('岗位-产业节点关系'!$C$4:$C$709,B1163)</x:f>
        <x:v>1</x:v>
      </x:c>
      <x:c r="G1163" s="26" t="str">
        <x:f>IF(F1163=0,"未匹配（现有产业链范围未覆盖或证据不足）",IF(COUNTIFS('岗位-产业节点关系'!$C$4:$C$709,B1163,'岗位-产业节点关系'!$M$4:$M$709,"低")&gt;0,"已匹配，建议复核","已匹配"))</x:f>
        <x:v>已匹配</x:v>
      </x:c>
      <x:c r="H1163" s="26" t="str">
        <x:v>中</x:v>
      </x:c>
      <x:c r="I1163" s="26" t="str">
        <x:v>ICN016</x:v>
      </x:c>
      <x:c r="J1163" s="26" t="str">
        <x:v>智能物联与消费电子产业链/上游/传感器、芯片模组与基础器件</x:v>
      </x:c>
      <x:c r="K1163" s="26" t="str">
        <x:v>电子/电器维修工程师/技师是通信/电子行业中不可或缺的专业人才，负责确保各种电子设备及系统的正常运行，是保障公司产品和服务质量的关键角色。他们不仅需要具备扎实的理论基础，还应拥有丰富的实践经验和解决问题的能力。 该职位的…</x:v>
      </x:c>
      <x:c r="L1163" s="26" t="str">
        <x:v>1. 负责公司内各类电子设备的日常检查、维护保养工作，确保其始终处于良好状态。 2. 对出现故障的设备进行快速准确的故障分析，制定合理的维修方案并实施，缩短故障处理周期。 3. 定期记录设备运行数据，分析设备性能变化趋势…</x:v>
      </x:c>
    </x:row>
    <x:row r="1164" ht="72" customHeight="1">
      <x:c r="A1164" s="25" t="n">
        <x:v>12056</x:v>
      </x:c>
      <x:c r="B1164" s="25" t="str">
        <x:v>IC-L3-1313</x:v>
      </x:c>
      <x:c r="C1164" s="25" t="str">
        <x:v>电子产品经理/产品工程师</x:v>
      </x:c>
      <x:c r="D1164" s="25" t="str">
        <x:v>2-02-09-02</x:v>
      </x:c>
      <x:c r="E1164" s="25" t="str">
        <x:v>电子元器件工程技术人员</x:v>
      </x:c>
      <x:c r="F1164" s="28" t="n">
        <x:f>COUNTIF('岗位-产业节点关系'!$C$4:$C$709,B1164)</x:f>
        <x:v>1</x:v>
      </x:c>
      <x:c r="G1164" s="26" t="str">
        <x:f>IF(F1164=0,"未匹配（现有产业链范围未覆盖或证据不足）",IF(COUNTIFS('岗位-产业节点关系'!$C$4:$C$709,B1164,'岗位-产业节点关系'!$M$4:$M$709,"低")&gt;0,"已匹配，建议复核","已匹配"))</x:f>
        <x:v>已匹配</x:v>
      </x:c>
      <x:c r="H1164" s="26" t="str">
        <x:v>高</x:v>
      </x:c>
      <x:c r="I1164" s="26" t="str">
        <x:v>ICN017</x:v>
      </x:c>
      <x:c r="J1164" s="26" t="str">
        <x:v>智能物联与消费电子产业链/中游/智能终端、家电与物联平台</x:v>
      </x:c>
      <x:c r="K1164" s="26" t="str">
        <x:v>在通信/电子行业中，电子产品经理/产品工程师是推动技术创新与市场应用的关键角色。他们不仅负责将先进的技术转化为实用的产品，还肩负着确保产品满足市场需求和用户体验的责任，是连接研发与市场的桥梁。该职位通过精准地把握市场趋势…</x:v>
      </x:c>
      <x:c r="L1164" s="26" t="str">
        <x:v>1. 负责收集并分析市场信息及客户需求，制定产品开发计划，确保产品符合市场需求和用户期望。 2. 与研发团队密切配合，参与新产品设计评审，监督产品开发进度，确保按时高质量完成产品开发任务。 3. 制定产品测试方案，组织进…</x:v>
      </x:c>
    </x:row>
    <x:row r="1165" ht="72" customHeight="1">
      <x:c r="A1165" s="25" t="n">
        <x:v>12057</x:v>
      </x:c>
      <x:c r="B1165" s="25" t="str">
        <x:v>IC-L3-1314</x:v>
      </x:c>
      <x:c r="C1165" s="25" t="str">
        <x:v>电子元器件工程师</x:v>
      </x:c>
      <x:c r="D1165" s="25" t="str">
        <x:v>2-02-09-02</x:v>
      </x:c>
      <x:c r="E1165" s="25" t="str">
        <x:v>电子元器件工程技术人员</x:v>
      </x:c>
      <x:c r="F1165" s="28" t="n">
        <x:f>COUNTIF('岗位-产业节点关系'!$C$4:$C$709,B1165)</x:f>
        <x:v>1</x:v>
      </x:c>
      <x:c r="G1165" s="26" t="str">
        <x:f>IF(F1165=0,"未匹配（现有产业链范围未覆盖或证据不足）",IF(COUNTIFS('岗位-产业节点关系'!$C$4:$C$709,B1165,'岗位-产业节点关系'!$M$4:$M$709,"低")&gt;0,"已匹配，建议复核","已匹配"))</x:f>
        <x:v>已匹配</x:v>
      </x:c>
      <x:c r="H1165" s="26" t="str">
        <x:v>高</x:v>
      </x:c>
      <x:c r="I1165" s="26" t="str">
        <x:v>ICN016</x:v>
      </x:c>
      <x:c r="J1165" s="26" t="str">
        <x:v>智能物联与消费电子产业链/上游/传感器、芯片模组与基础器件</x:v>
      </x:c>
      <x:c r="K1165" s="26" t="str">
        <x:v>电子元器件工程师是通信/电子行业中不可或缺的专业技术人才，主要负责电子产品的设计与开发工作。他们不仅需要具备扎实的理论基础，还应拥有丰富的实践经验，在产品从概念到量产的过程中扮演着关键角色。 该职位的核心目标在于通过优化…</x:v>
      </x:c>
      <x:c r="L1165" s="26" t="str">
        <x:v>1. 负责新产品的电路设计与元器件选型，确保设计方案符合功能需求并具备成本效益。 2. 对现有产品进行持续改进，提高其性能指标，降低故障率，满足客户对高品质的要求。 3. 参与产品试制阶段的调试工作，解决生产过程中遇到的…</x:v>
      </x:c>
    </x:row>
    <x:row r="1166" ht="72" customHeight="1">
      <x:c r="A1166" s="25" t="n">
        <x:v>12058</x:v>
      </x:c>
      <x:c r="B1166" s="25" t="str">
        <x:v>IC-L3-1315</x:v>
      </x:c>
      <x:c r="C1166" s="25" t="str">
        <x:v>电子工程师</x:v>
      </x:c>
      <x:c r="D1166" s="25" t="str">
        <x:v>2-02-09-02</x:v>
      </x:c>
      <x:c r="E1166" s="25" t="str">
        <x:v>电子元器件工程技术人员</x:v>
      </x:c>
      <x:c r="F1166" s="28" t="n">
        <x:f>COUNTIF('岗位-产业节点关系'!$C$4:$C$709,B1166)</x:f>
        <x:v>1</x:v>
      </x:c>
      <x:c r="G1166" s="26" t="str">
        <x:f>IF(F1166=0,"未匹配（现有产业链范围未覆盖或证据不足）",IF(COUNTIFS('岗位-产业节点关系'!$C$4:$C$709,B1166,'岗位-产业节点关系'!$M$4:$M$709,"低")&gt;0,"已匹配，建议复核","已匹配"))</x:f>
        <x:v>已匹配</x:v>
      </x:c>
      <x:c r="H1166" s="26" t="str">
        <x:v>中</x:v>
      </x:c>
      <x:c r="I1166" s="26" t="str">
        <x:v>ICN016</x:v>
      </x:c>
      <x:c r="J1166" s="26" t="str">
        <x:v>智能物联与消费电子产业链/上游/传感器、芯片模组与基础器件</x:v>
      </x:c>
      <x:c r="K1166" s="26" t="str">
        <x:v>电子工程师是通信/电子行业中不可或缺的专业人才，在电子/电器/仪器仪表领域中扮演着核心角色。他们负责设计、开发、测试和维护各种电子设备与系统，确保产品性能稳定可靠，符合行业标准和客户需求。电子工程师通过技术创新和优化，不…</x:v>
      </x:c>
      <x:c r="L1166" s="26" t="str">
        <x:v>1. 负责新产品的电路设计工作，包括原理图绘制、PCB布局及元器件选型，以确保设计方案的合理性和可行性。 2. 进行电子产品的调试与测试，分析并解决开发过程中遇到的技术问题，保证产品质量达到预期标准。 3. 编写详细的项…</x:v>
      </x:c>
    </x:row>
    <x:row r="1167" ht="72" customHeight="1">
      <x:c r="A1167" s="25" t="n">
        <x:v>12059</x:v>
      </x:c>
      <x:c r="B1167" s="25" t="str">
        <x:v>IC-L3-1316</x:v>
      </x:c>
      <x:c r="C1167" s="25" t="str">
        <x:v>电子工艺工程师</x:v>
      </x:c>
      <x:c r="D1167" s="25" t="str">
        <x:v>2-02-09-02</x:v>
      </x:c>
      <x:c r="E1167" s="25" t="str">
        <x:v>电子元器件工程技术人员</x:v>
      </x:c>
      <x:c r="F1167" s="28" t="n">
        <x:f>COUNTIF('岗位-产业节点关系'!$C$4:$C$709,B1167)</x:f>
        <x:v>1</x:v>
      </x:c>
      <x:c r="G1167" s="26" t="str">
        <x:f>IF(F1167=0,"未匹配（现有产业链范围未覆盖或证据不足）",IF(COUNTIFS('岗位-产业节点关系'!$C$4:$C$709,B1167,'岗位-产业节点关系'!$M$4:$M$709,"低")&gt;0,"已匹配，建议复核","已匹配"))</x:f>
        <x:v>已匹配，建议复核</x:v>
      </x:c>
      <x:c r="H1167" s="26" t="str">
        <x:v>低</x:v>
      </x:c>
      <x:c r="I1167" s="26" t="str">
        <x:v>ICN017</x:v>
      </x:c>
      <x:c r="J1167" s="26" t="str">
        <x:v>智能物联与消费电子产业链/中游/智能终端、家电与物联平台</x:v>
      </x:c>
      <x:c r="K1167" s="26" t="str">
        <x:v>电子工艺工程师是通信/电子行业中不可或缺的专业人才，他们负责确保电子产品的生产过程高效、稳定和符合质量标准。在产品从设计到生产的转换过程中扮演着关键角色，通过优化生产工艺流程，降低生产成本，提高生产效率，确保产品质量，从…</x:v>
      </x:c>
      <x:c r="L1167" s="26" t="str">
        <x:v>1. 负责新产品的工艺开发，制定详细的工艺文件和操作指导书，确保产品能够顺利地从设计阶段过渡到量产阶段。 2. 对现有生产线进行持续改进，通过引入新技术或改进现有工艺方法，减少材料浪费，提高工作效率，以达到降低成本的目的…</x:v>
      </x:c>
    </x:row>
    <x:row r="1168" ht="72" customHeight="1">
      <x:c r="A1168" s="25" t="n">
        <x:v>12060</x:v>
      </x:c>
      <x:c r="B1168" s="25" t="str">
        <x:v>IC-L3-1317</x:v>
      </x:c>
      <x:c r="C1168" s="25" t="str">
        <x:v>电子文档工程师</x:v>
      </x:c>
      <x:c r="D1168" s="25" t="str">
        <x:v>2-02-09-02</x:v>
      </x:c>
      <x:c r="E1168" s="25" t="str">
        <x:v>电子元器件工程技术人员</x:v>
      </x:c>
      <x:c r="F1168" s="28" t="n">
        <x:f>COUNTIF('岗位-产业节点关系'!$C$4:$C$709,B1168)</x:f>
        <x:v>1</x:v>
      </x:c>
      <x:c r="G1168" s="26" t="str">
        <x:f>IF(F1168=0,"未匹配（现有产业链范围未覆盖或证据不足）",IF(COUNTIFS('岗位-产业节点关系'!$C$4:$C$709,B1168,'岗位-产业节点关系'!$M$4:$M$709,"低")&gt;0,"已匹配，建议复核","已匹配"))</x:f>
        <x:v>已匹配，建议复核</x:v>
      </x:c>
      <x:c r="H1168" s="26" t="str">
        <x:v>低</x:v>
      </x:c>
      <x:c r="I1168" s="26" t="str">
        <x:v>ICN017</x:v>
      </x:c>
      <x:c r="J1168" s="26" t="str">
        <x:v>智能物联与消费电子产业链/中游/智能终端、家电与物联平台</x:v>
      </x:c>
      <x:c r="K1168" s="26" t="str">
        <x:v>电子文档工程师在通信/电子行业中扮演着至关重要的角色。随着技术的快速发展，电子产品的设计与制造越来越复杂，而电子文档作为产品生命周期管理的关键组成部分，其准确性和完整性直接影响到产品质量、生产效率以及后续的技术支持和服务…</x:v>
      </x:c>
      <x:c r="L1168" s="26" t="str">
        <x:v>1. 负责收集、整理并审核各类电子技术文档，确保其格式规范、内容完整、表述清晰。 2. 制定和完善文档管理制度和流程，指导相关人员正确使用文档管理系统，提高工作效率。 3. 与各相关部门密切配合，及时更新和发布相关技术文…</x:v>
      </x:c>
    </x:row>
    <x:row r="1169" ht="72" customHeight="1">
      <x:c r="A1169" s="25" t="n">
        <x:v>12061</x:v>
      </x:c>
      <x:c r="B1169" s="25" t="str">
        <x:v>IC-L3-1318</x:v>
      </x:c>
      <x:c r="C1169" s="25" t="str">
        <x:v>电子设备工程师</x:v>
      </x:c>
      <x:c r="D1169" s="25" t="str">
        <x:v>2-02-09-02</x:v>
      </x:c>
      <x:c r="E1169" s="25" t="str">
        <x:v>电子元器件工程技术人员</x:v>
      </x:c>
      <x:c r="F1169" s="28" t="n">
        <x:f>COUNTIF('岗位-产业节点关系'!$C$4:$C$709,B1169)</x:f>
        <x:v>1</x:v>
      </x:c>
      <x:c r="G1169" s="26" t="str">
        <x:f>IF(F1169=0,"未匹配（现有产业链范围未覆盖或证据不足）",IF(COUNTIFS('岗位-产业节点关系'!$C$4:$C$709,B1169,'岗位-产业节点关系'!$M$4:$M$709,"低")&gt;0,"已匹配，建议复核","已匹配"))</x:f>
        <x:v>已匹配，建议复核</x:v>
      </x:c>
      <x:c r="H1169" s="26" t="str">
        <x:v>低</x:v>
      </x:c>
      <x:c r="I1169" s="26" t="str">
        <x:v>ICN016</x:v>
      </x:c>
      <x:c r="J1169" s="26" t="str">
        <x:v>智能物联与消费电子产业链/上游/传感器、芯片模组与基础器件</x:v>
      </x:c>
      <x:c r="K1169" s="26" t="str">
        <x:v>电子设备工程师是通信/电子行业中不可或缺的专业人才，他们负责设计、开发、维护和优化各种电子设备和系统，确保其高效运行并符合行业标准。作为连接技术与实际应用的桥梁，电子设备工程师在推动技术创新和产品升级中扮演着关键角色。 …</x:v>
      </x:c>
      <x:c r="L1169" s="26" t="str">
        <x:v>1. 负责新产品的电路设计工作，包括原理图绘制、PCB布局及元器件选型，确保设计方案满足功能需求和性能指标。 2. 参与产品测试流程，分析测试数据，识别并解决潜在的技术问题，保障产品质量。 3. 协同采购部门完成物料评估…</x:v>
      </x:c>
    </x:row>
    <x:row r="1170" ht="72" customHeight="1">
      <x:c r="A1170" s="25" t="n">
        <x:v>12062</x:v>
      </x:c>
      <x:c r="B1170" s="25" t="str">
        <x:v>IC-L3-1319</x:v>
      </x:c>
      <x:c r="C1170" s="25" t="str">
        <x:v>电子软件开发</x:v>
      </x:c>
      <x:c r="D1170" s="25" t="str">
        <x:v>2-02-09-02</x:v>
      </x:c>
      <x:c r="E1170" s="25" t="str">
        <x:v>电子元器件工程技术人员</x:v>
      </x:c>
      <x:c r="F1170" s="28" t="n">
        <x:f>COUNTIF('岗位-产业节点关系'!$C$4:$C$709,B1170)</x:f>
        <x:v>2</x:v>
      </x:c>
      <x:c r="G1170" s="26" t="str">
        <x:f>IF(F1170=0,"未匹配（现有产业链范围未覆盖或证据不足）",IF(COUNTIFS('岗位-产业节点关系'!$C$4:$C$709,B1170,'岗位-产业节点关系'!$M$4:$M$709,"低")&gt;0,"已匹配，建议复核","已匹配"))</x:f>
        <x:v>已匹配，建议复核</x:v>
      </x:c>
      <x:c r="H1170" s="26" t="str">
        <x:v>中</x:v>
      </x:c>
      <x:c r="I1170" s="26" t="str">
        <x:v>ICN056、ICN016</x:v>
      </x:c>
      <x:c r="J1170" s="26" t="str">
        <x:v>软件与数字安全产业链/中游/应用软件、区块链平台与安全产品；智能物联与消费电子产业链/上游/传感器、芯片模组与基础器件</x:v>
      </x:c>
      <x:c r="K1170" s="26" t="str">
        <x:v>电子软件开发工程师是通信/电子行业中不可或缺的专业人才，他们负责设计、开发和优化用于各种电子设备和系统的软件，确保这些产品能够高效运行并满足市场需求。该职位通过创新的技术解决方案和高效的代码实现，不仅提升了产品的性能和用…</x:v>
      </x:c>
      <x:c r="L1170" s="26" t="str">
        <x:v>1. 负责电子产品的嵌入式软件设计与开发工作，确保软件功能符合产品规格书的要求。 2. 参与需求分析和技术方案制定过程，提出合理化建议以提高系统稳定性和效率。 3. 编写高质量的代码，并进行单元测试，确保软件模块的正确性…</x:v>
      </x:c>
    </x:row>
    <x:row r="1171" ht="72" customHeight="1">
      <x:c r="A1171" s="25" t="n">
        <x:v>12063</x:v>
      </x:c>
      <x:c r="B1171" s="25" t="str">
        <x:v>IC-L3-1320</x:v>
      </x:c>
      <x:c r="C1171" s="25" t="str">
        <x:v>电子销售工程师</x:v>
      </x:c>
      <x:c r="D1171" s="25" t="str">
        <x:v>2-02-09-02</x:v>
      </x:c>
      <x:c r="E1171" s="25" t="str">
        <x:v>电子元器件工程技术人员</x:v>
      </x:c>
      <x:c r="F1171" s="28" t="n">
        <x:f>COUNTIF('岗位-产业节点关系'!$C$4:$C$709,B1171)</x:f>
        <x:v>0</x:v>
      </x:c>
      <x:c r="G1171" s="26" t="str">
        <x:f>IF(F1171=0,"未匹配（现有产业链范围未覆盖或证据不足）",IF(COUNTIFS('岗位-产业节点关系'!$C$4:$C$709,B1171,'岗位-产业节点关系'!$M$4:$M$709,"低")&gt;0,"已匹配，建议复核","已匹配"))</x:f>
        <x:v>未匹配（现有产业链范围未覆盖或证据不足）</x:v>
      </x:c>
      <x:c r="H1171" s="26" t="str">
        <x:v>-</x:v>
      </x:c>
      <x:c r="I1171" s="26" t="str"/>
      <x:c r="J1171" s="26" t="str"/>
      <x:c r="K1171" s="26" t="str">
        <x:v>电子销售工程师是通信/电子行业中不可或缺的角色，他们不仅负责产品的市场推广与销售，还承担着连接公司与客户的重要桥梁作用。通过深入了解客户需求，提供定制化的解决方案，电子销售工程师能够有效提升公司的市场份额和品牌影响力，对…</x:v>
      </x:c>
      <x:c r="L1171" s="26" t="str">
        <x:v>1. 负责区域内目标客户的开发与维护，定期拜访潜在及现有客户，了解其需求并推荐合适的产品或服务方案，旨在提高客户满意度和忠诚度。 2. 分析市场动态和竞争对手情况，制定有效的销售策略和计划，确保完成或超越每月/季度/年度…</x:v>
      </x:c>
    </x:row>
    <x:row r="1172" ht="72" customHeight="1">
      <x:c r="A1172" s="25" t="n">
        <x:v>12064</x:v>
      </x:c>
      <x:c r="B1172" s="25" t="str">
        <x:v>IC-L3-1321</x:v>
      </x:c>
      <x:c r="C1172" s="25" t="str">
        <x:v>电气工程师</x:v>
      </x:c>
      <x:c r="D1172" s="25" t="str">
        <x:v>2-02-09-02</x:v>
      </x:c>
      <x:c r="E1172" s="25" t="str">
        <x:v>电子元器件工程技术人员</x:v>
      </x:c>
      <x:c r="F1172" s="28" t="n">
        <x:f>COUNTIF('岗位-产业节点关系'!$C$4:$C$709,B1172)</x:f>
        <x:v>1</x:v>
      </x:c>
      <x:c r="G1172" s="26" t="str">
        <x:f>IF(F1172=0,"未匹配（现有产业链范围未覆盖或证据不足）",IF(COUNTIFS('岗位-产业节点关系'!$C$4:$C$709,B1172,'岗位-产业节点关系'!$M$4:$M$709,"低")&gt;0,"已匹配，建议复核","已匹配"))</x:f>
        <x:v>已匹配</x:v>
      </x:c>
      <x:c r="H1172" s="26" t="str">
        <x:v>中</x:v>
      </x:c>
      <x:c r="I1172" s="26" t="str">
        <x:v>ICN014</x:v>
      </x:c>
      <x:c r="J1172" s="26" t="str">
        <x:v>新能源与电力装备产业链/中游/发电、储能与输配电装备</x:v>
      </x:c>
      <x:c r="K1172" s="26" t="str">
        <x:v>电气工程师是通信/电子行业中不可或缺的专业人才，主要负责设计、开发和维护各种电气系统及设备。他们在确保产品性能稳定、提高生产效率方面扮演着关键角色，对于推动技术创新与产业升级具有重要意义。通过深入研究客户需求并结合公司战…</x:v>
      </x:c>
      <x:c r="L1172" s="26" t="str">
        <x:v>1. 负责电气控制系统的设计与调试工作，确保设计方案符合安全标准及客户要求。 2. 对现有电气设备进行定期检查与维护，及时发现并排除故障隐患，保障生产线正常运行。 3. 参与新产品的研发过程，提供技术支持并协助完成样机测…</x:v>
      </x:c>
    </x:row>
    <x:row r="1173" ht="72" customHeight="1">
      <x:c r="A1173" s="25" t="n">
        <x:v>12065</x:v>
      </x:c>
      <x:c r="B1173" s="25" t="str">
        <x:v>IC-L3-1322</x:v>
      </x:c>
      <x:c r="C1173" s="25" t="str">
        <x:v>电池/电源开发</x:v>
      </x:c>
      <x:c r="D1173" s="25" t="str">
        <x:v>2-02-09-02</x:v>
      </x:c>
      <x:c r="E1173" s="25" t="str">
        <x:v>电子元器件工程技术人员</x:v>
      </x:c>
      <x:c r="F1173" s="28" t="n">
        <x:f>COUNTIF('岗位-产业节点关系'!$C$4:$C$709,B1173)</x:f>
        <x:v>2</x:v>
      </x:c>
      <x:c r="G1173" s="26" t="str">
        <x:f>IF(F1173=0,"未匹配（现有产业链范围未覆盖或证据不足）",IF(COUNTIFS('岗位-产业节点关系'!$C$4:$C$709,B1173,'岗位-产业节点关系'!$M$4:$M$709,"低")&gt;0,"已匹配，建议复核","已匹配"))</x:f>
        <x:v>已匹配，建议复核</x:v>
      </x:c>
      <x:c r="H1173" s="26" t="str">
        <x:v>中</x:v>
      </x:c>
      <x:c r="I1173" s="26" t="str">
        <x:v>ICN014、ICN017</x:v>
      </x:c>
      <x:c r="J1173" s="26" t="str">
        <x:v>新能源与电力装备产业链/中游/发电、储能与输配电装备；智能物联与消费电子产业链/中游/智能终端、家电与物联平台</x:v>
      </x:c>
      <x:c r="K1173" s="26" t="str">
        <x:v>电池/电源开发工程师在通信/电子行业中扮演着至关重要的角色，负责设计与优化各类电子设备所需的电池及电源系统。随着科技的发展和市场对高性能、高效率、长寿命电源产品需求的增长，该职位的重要性日益凸显，是推动技术创新和产品质量…</x:v>
      </x:c>
      <x:c r="L1173" s="26" t="str">
        <x:v>1. 负责新电池/电源技术的研究与开发工作，制定详细的设计方案并组织实施，确保按时完成研发任务。 2. 对现有产品进行持续改进，优化性能参数，提升用户体验，满足客户多样化需求。 3. 参与产品测试验证过程，分析测试结果，…</x:v>
      </x:c>
    </x:row>
    <x:row r="1174" ht="72" customHeight="1">
      <x:c r="A1174" s="25" t="n">
        <x:v>12066</x:v>
      </x:c>
      <x:c r="B1174" s="25" t="str">
        <x:v>IC-L3-1323</x:v>
      </x:c>
      <x:c r="C1174" s="25" t="str">
        <x:v>电路工程师/技术员</x:v>
      </x:c>
      <x:c r="D1174" s="25" t="str">
        <x:v>2-02-11-01</x:v>
      </x:c>
      <x:c r="E1174" s="25" t="str">
        <x:v>电工电器工程技术人员</x:v>
      </x:c>
      <x:c r="F1174" s="28" t="n">
        <x:f>COUNTIF('岗位-产业节点关系'!$C$4:$C$709,B1174)</x:f>
        <x:v>1</x:v>
      </x:c>
      <x:c r="G1174" s="26" t="str">
        <x:f>IF(F1174=0,"未匹配（现有产业链范围未覆盖或证据不足）",IF(COUNTIFS('岗位-产业节点关系'!$C$4:$C$709,B1174,'岗位-产业节点关系'!$M$4:$M$709,"低")&gt;0,"已匹配，建议复核","已匹配"))</x:f>
        <x:v>已匹配，建议复核</x:v>
      </x:c>
      <x:c r="H1174" s="26" t="str">
        <x:v>低</x:v>
      </x:c>
      <x:c r="I1174" s="26" t="str">
        <x:v>ICN016</x:v>
      </x:c>
      <x:c r="J1174" s="26" t="str">
        <x:v>智能物联与消费电子产业链/上游/传感器、芯片模组与基础器件</x:v>
      </x:c>
      <x:c r="K1174" s="26" t="str">
        <x:v>电路工程师/技术员是通信/电子行业中不可或缺的专业人才，他们负责设计、开发、测试及维护各类电子设备与系统，确保其高效稳定运行。在公司内部，电路工程师/技术员通过运用先进的电子技术和创新思维解决实际问题，推动产品迭代升级，…</x:v>
      </x:c>
      <x:c r="L1174" s="26" t="str">
        <x:v>1. 负责新产品的电路设计工作，包括原理图绘制、PCB布局等，确保设计方案满足功能要求并符合相关标准。 2. 参与产品样机制作过程，进行调试优化，确保产品性能达到预期目标。 3. 对现有产品进行改进升级，解决生产过程中遇…</x:v>
      </x:c>
    </x:row>
    <x:row r="1175" ht="72" customHeight="1">
      <x:c r="A1175" s="25" t="n">
        <x:v>12067</x:v>
      </x:c>
      <x:c r="B1175" s="25" t="str">
        <x:v>IC-L3-1324</x:v>
      </x:c>
      <x:c r="C1175" s="25" t="str">
        <x:v>硬件工程师</x:v>
      </x:c>
      <x:c r="D1175" s="25" t="str">
        <x:v>2-02-09-02</x:v>
      </x:c>
      <x:c r="E1175" s="25" t="str">
        <x:v>电子元器件工程技术人员</x:v>
      </x:c>
      <x:c r="F1175" s="28" t="n">
        <x:f>COUNTIF('岗位-产业节点关系'!$C$4:$C$709,B1175)</x:f>
        <x:v>1</x:v>
      </x:c>
      <x:c r="G1175" s="26" t="str">
        <x:f>IF(F1175=0,"未匹配（现有产业链范围未覆盖或证据不足）",IF(COUNTIFS('岗位-产业节点关系'!$C$4:$C$709,B1175,'岗位-产业节点关系'!$M$4:$M$709,"低")&gt;0,"已匹配，建议复核","已匹配"))</x:f>
        <x:v>已匹配</x:v>
      </x:c>
      <x:c r="H1175" s="26" t="str">
        <x:v>中</x:v>
      </x:c>
      <x:c r="I1175" s="26" t="str">
        <x:v>ICN016</x:v>
      </x:c>
      <x:c r="J1175" s="26" t="str">
        <x:v>智能物联与消费电子产业链/上游/传感器、芯片模组与基础器件</x:v>
      </x:c>
      <x:c r="K1175" s="26" t="str">
        <x:v>硬件工程师在通信/电子行业中扮演着至关重要的角色，他们负责设计与开发电子设备的核心组件，确保产品的高效运行及可靠性。作为连接理论设计与实际应用的桥梁，硬件工程师不仅需要具备扎实的专业知识，还需要拥有创新思维和解决问题的能…</x:v>
      </x:c>
      <x:c r="L1175" s="26" t="str">
        <x:v>1. 负责新产品的硬件架构设计与实现，包括电路板布局、元器件选型等工作，确保设计方案符合性能指标要求。 2. 进行硬件测试与调试，通过模拟实验验证电路功能，及时发现并解决潜在问题，保障产品质量。 3. 与软件工程师协同工…</x:v>
      </x:c>
    </x:row>
    <x:row r="1176" ht="72" customHeight="1">
      <x:c r="A1176" s="25" t="n">
        <x:v>12068</x:v>
      </x:c>
      <x:c r="B1176" s="25" t="str">
        <x:v>IC-L3-1325</x:v>
      </x:c>
      <x:c r="C1176" s="25" t="str">
        <x:v>硬件测试工程师</x:v>
      </x:c>
      <x:c r="D1176" s="25" t="str">
        <x:v>2-02-09-02</x:v>
      </x:c>
      <x:c r="E1176" s="25" t="str">
        <x:v>电子元器件工程技术人员</x:v>
      </x:c>
      <x:c r="F1176" s="28" t="n">
        <x:f>COUNTIF('岗位-产业节点关系'!$C$4:$C$709,B1176)</x:f>
        <x:v>0</x:v>
      </x:c>
      <x:c r="G1176" s="26" t="str">
        <x:f>IF(F1176=0,"未匹配（现有产业链范围未覆盖或证据不足）",IF(COUNTIFS('岗位-产业节点关系'!$C$4:$C$709,B1176,'岗位-产业节点关系'!$M$4:$M$709,"低")&gt;0,"已匹配，建议复核","已匹配"))</x:f>
        <x:v>未匹配（现有产业链范围未覆盖或证据不足）</x:v>
      </x:c>
      <x:c r="H1176" s="26" t="str">
        <x:v>-</x:v>
      </x:c>
      <x:c r="I1176" s="26" t="str"/>
      <x:c r="J1176" s="26" t="str"/>
      <x:c r="K1176" s="26" t="str">
        <x:v>硬件测试工程师是通信/电子行业中至关重要的角色，他们负责确保公司产品的硬件质量，通过系统的测试流程来验证产品是否符合设计要求和行业标准。在项目开发周期中，硬件测试工程师不仅能够发现并解决潜在的技术问题，还能为优化产品性能…</x:v>
      </x:c>
      <x:c r="L1176" s="26" t="str">
        <x:v>1. 负责制定详细的硬件测试计划，包括但不限于功能测试、性能测试、可靠性测试等，确保所有测试活动均能覆盖产品规格书的要求。 2. 执行硬件测试任务，记录测试数据，编写测试报告，分析测试结果，及时发现并跟踪问题直至解决，以…</x:v>
      </x:c>
    </x:row>
    <x:row r="1177" ht="72" customHeight="1">
      <x:c r="A1177" s="25" t="n">
        <x:v>12069</x:v>
      </x:c>
      <x:c r="B1177" s="25" t="str">
        <x:v>IC-L3-1326</x:v>
      </x:c>
      <x:c r="C1177" s="25" t="str">
        <x:v>自动控制工程师/技术员</x:v>
      </x:c>
      <x:c r="D1177" s="25" t="str">
        <x:v>2-02-09-02</x:v>
      </x:c>
      <x:c r="E1177" s="25" t="str">
        <x:v>电子元器件工程技术人员</x:v>
      </x:c>
      <x:c r="F1177" s="28" t="n">
        <x:f>COUNTIF('岗位-产业节点关系'!$C$4:$C$709,B1177)</x:f>
        <x:v>1</x:v>
      </x:c>
      <x:c r="G1177" s="26" t="str">
        <x:f>IF(F1177=0,"未匹配（现有产业链范围未覆盖或证据不足）",IF(COUNTIFS('岗位-产业节点关系'!$C$4:$C$709,B1177,'岗位-产业节点关系'!$M$4:$M$709,"低")&gt;0,"已匹配，建议复核","已匹配"))</x:f>
        <x:v>已匹配</x:v>
      </x:c>
      <x:c r="H1177" s="26" t="str">
        <x:v>中</x:v>
      </x:c>
      <x:c r="I1177" s="26" t="str">
        <x:v>ICN017</x:v>
      </x:c>
      <x:c r="J1177" s="26" t="str">
        <x:v>智能物联与消费电子产业链/中游/智能终端、家电与物联平台</x:v>
      </x:c>
      <x:c r="K1177" s="26" t="str">
        <x:v>自动控制工程师/技术员是通信/电子行业中不可或缺的专业人才，负责设计、开发和维护自动化控制系统，确保其高效稳定运行。通过应用先进的控制理论和技术，他们能够显著提升生产效率和产品质量，降低运营成本，对于推动企业的技术创新和…</x:v>
      </x:c>
      <x:c r="L1177" s="26" t="str">
        <x:v>1. 负责自动化控制系统的设计、调试与优化工作，确保系统性能满足项目需求。 2. 参与新产品开发过程中的控制系统方案制定，提供技术支持并协助完成样机测试。 3. 对现有生产线上的自动化设备进行定期巡检及故障排除，保证生产…</x:v>
      </x:c>
    </x:row>
    <x:row r="1178" ht="72" customHeight="1">
      <x:c r="A1178" s="25" t="n">
        <x:v>12070</x:v>
      </x:c>
      <x:c r="B1178" s="25" t="str">
        <x:v>IC-L3-1327</x:v>
      </x:c>
      <x:c r="C1178" s="25" t="str">
        <x:v>计量工程师</x:v>
      </x:c>
      <x:c r="D1178" s="25" t="str">
        <x:v>2-02-09-02</x:v>
      </x:c>
      <x:c r="E1178" s="25" t="str">
        <x:v>电子元器件工程技术人员</x:v>
      </x:c>
      <x:c r="F1178" s="28" t="n">
        <x:f>COUNTIF('岗位-产业节点关系'!$C$4:$C$709,B1178)</x:f>
        <x:v>1</x:v>
      </x:c>
      <x:c r="G1178" s="26" t="str">
        <x:f>IF(F1178=0,"未匹配（现有产业链范围未覆盖或证据不足）",IF(COUNTIFS('岗位-产业节点关系'!$C$4:$C$709,B1178,'岗位-产业节点关系'!$M$4:$M$709,"低")&gt;0,"已匹配，建议复核","已匹配"))</x:f>
        <x:v>已匹配，建议复核</x:v>
      </x:c>
      <x:c r="H1178" s="26" t="str">
        <x:v>低</x:v>
      </x:c>
      <x:c r="I1178" s="26" t="str">
        <x:v>ICN016</x:v>
      </x:c>
      <x:c r="J1178" s="26" t="str">
        <x:v>智能物联与消费电子产业链/上游/传感器、芯片模组与基础器件</x:v>
      </x:c>
      <x:c r="K1178" s="26" t="str">
        <x:v>计量工程师是通信/电子行业中不可或缺的专业技术人才，在确保产品质量和性能方面发挥着至关重要的作用。他们通过精确测量与分析，为产品设计提供科学依据，同时监控生产过程中的各项指标，保证最终产品的稳定性和可靠性。此外，该职位还…</x:v>
      </x:c>
      <x:c r="L1178" s="26" t="str">
        <x:v>1. 负责公司各类电子设备及元器件的校准工作，确保所有检测仪器的准确度符合国家标准和行业规范。 2. 设计并实施复杂的测量方案，以满足新产品开发过程中对精度和可靠性的特殊需求。 3. 对生产线上出现的质量问题进行根源分析…</x:v>
      </x:c>
    </x:row>
    <x:row r="1179" ht="72" customHeight="1">
      <x:c r="A1179" s="25" t="n">
        <x:v>12071</x:v>
      </x:c>
      <x:c r="B1179" s="25" t="str">
        <x:v>IC-L3-1328</x:v>
      </x:c>
      <x:c r="C1179" s="25" t="str">
        <x:v>高级硬件工程师</x:v>
      </x:c>
      <x:c r="D1179" s="25" t="str">
        <x:v>2-02-09-02</x:v>
      </x:c>
      <x:c r="E1179" s="25" t="str">
        <x:v>电子元器件工程技术人员</x:v>
      </x:c>
      <x:c r="F1179" s="28" t="n">
        <x:f>COUNTIF('岗位-产业节点关系'!$C$4:$C$709,B1179)</x:f>
        <x:v>1</x:v>
      </x:c>
      <x:c r="G1179" s="26" t="str">
        <x:f>IF(F1179=0,"未匹配（现有产业链范围未覆盖或证据不足）",IF(COUNTIFS('岗位-产业节点关系'!$C$4:$C$709,B1179,'岗位-产业节点关系'!$M$4:$M$709,"低")&gt;0,"已匹配，建议复核","已匹配"))</x:f>
        <x:v>已匹配</x:v>
      </x:c>
      <x:c r="H1179" s="26" t="str">
        <x:v>中</x:v>
      </x:c>
      <x:c r="I1179" s="26" t="str">
        <x:v>ICN016</x:v>
      </x:c>
      <x:c r="J1179" s="26" t="str">
        <x:v>智能物联与消费电子产业链/上游/传感器、芯片模组与基础器件</x:v>
      </x:c>
      <x:c r="K1179" s="26" t="str">
        <x:v>高级硬件工程师是通信/电子行业中不可或缺的专业人才，主要负责设计和开发各种电子设备和系统，确保其高效稳定运行。该职位不仅要求深厚的技术背景，还需要具备创新思维和解决问题的能力，以适应快速变化的技术环境。作为团队中的技术骨…</x:v>
      </x:c>
      <x:c r="L1179" s="26" t="str">
        <x:v>1. 负责新产品的硬件架构设计与实现，包括电路板设计、元器件选型等工作，确保设计方案符合产品性能要求及成本控制标准。 2. 对现有产品进行持续优化和技术升级，通过引入新技术或改进现有方案来提高产品的竞争力。 3. 参与项…</x:v>
      </x:c>
    </x:row>
    <x:row r="1180" ht="72" customHeight="1">
      <x:c r="A1180" s="25" t="n">
        <x:v>12072</x:v>
      </x:c>
      <x:c r="B1180" s="25" t="str">
        <x:v>IC-L3-1329</x:v>
      </x:c>
      <x:c r="C1180" s="25" t="str">
        <x:v>产品运营</x:v>
      </x:c>
      <x:c r="D1180" s="25" t="str">
        <x:v>2-02-09-02</x:v>
      </x:c>
      <x:c r="E1180" s="25" t="str">
        <x:v>电子元器件工程技术人员</x:v>
      </x:c>
      <x:c r="F1180" s="28" t="n">
        <x:f>COUNTIF('岗位-产业节点关系'!$C$4:$C$709,B1180)</x:f>
        <x:v>1</x:v>
      </x:c>
      <x:c r="G1180" s="26" t="str">
        <x:f>IF(F1180=0,"未匹配（现有产业链范围未覆盖或证据不足）",IF(COUNTIFS('岗位-产业节点关系'!$C$4:$C$709,B1180,'岗位-产业节点关系'!$M$4:$M$709,"低")&gt;0,"已匹配，建议复核","已匹配"))</x:f>
        <x:v>已匹配</x:v>
      </x:c>
      <x:c r="H1180" s="26" t="str">
        <x:v>中</x:v>
      </x:c>
      <x:c r="I1180" s="26" t="str">
        <x:v>ICN002</x:v>
      </x:c>
      <x:c r="J1180" s="26" t="str">
        <x:v>数据要素与数字经济产业链/中游/数据治理、流通与服务</x:v>
      </x:c>
      <x:c r="K1180" s="26" t="str">
        <x:v>产品运营是专注于电子产品全生命周期管理的专业人员。该职位的核心目标是通过优化产品运营策略，提升产品市场表现和用户满意度。在日常工作中，需要进行市场数据分析、用户需求调研、运营活动策划及竞品监测等工作。</x:v>
      </x:c>
      <x:c r="L1180" s="26" t="str">
        <x:v>1. 制定产品运营策略 2. 监控产品市场表现 3. 优化产品运营流程 4. 分析用户需求数据 5. 协调跨部门资源 6. 评估运营效果指标</x:v>
      </x:c>
    </x:row>
    <x:row r="1181" ht="72" customHeight="1">
      <x:c r="A1181" s="25" t="n">
        <x:v>12073</x:v>
      </x:c>
      <x:c r="B1181" s="25" t="str">
        <x:v>IC-L3-1330</x:v>
      </x:c>
      <x:c r="C1181" s="25" t="str">
        <x:v>品类运营</x:v>
      </x:c>
      <x:c r="D1181" s="25" t="str">
        <x:v>4-01-02-03</x:v>
      </x:c>
      <x:c r="E1181" s="25" t="str">
        <x:v>商品营业员</x:v>
      </x:c>
      <x:c r="F1181" s="28" t="n">
        <x:f>COUNTIF('岗位-产业节点关系'!$C$4:$C$709,B1181)</x:f>
        <x:v>0</x:v>
      </x:c>
      <x:c r="G1181" s="26" t="str">
        <x:f>IF(F1181=0,"未匹配（现有产业链范围未覆盖或证据不足）",IF(COUNTIFS('岗位-产业节点关系'!$C$4:$C$709,B1181,'岗位-产业节点关系'!$M$4:$M$709,"低")&gt;0,"已匹配，建议复核","已匹配"))</x:f>
        <x:v>未匹配（现有产业链范围未覆盖或证据不足）</x:v>
      </x:c>
      <x:c r="H1181" s="26" t="str">
        <x:v>-</x:v>
      </x:c>
      <x:c r="I1181" s="26" t="str"/>
      <x:c r="J1181" s="26" t="str"/>
      <x:c r="K1181" s="26" t="str">
        <x:v>品类运营是专门从事电子产品品类规划与管理的专业人员。该职位的核心目标是通过优化产品结构及运营策略，实现品类销售增长与市场份额提升。在日常工作中，需要进行市场调研分析、竞品监控、品类生命周期管理以及促销活动策划等工作。</x:v>
      </x:c>
      <x:c r="L1181" s="26" t="str">
        <x:v>1. 制定品类运营策略 2. 分析市场销售数据 3. 优化产品结构布局 4. 监控竞品动态变化 5. 协调供应链资源 6. 提升品类销售业绩</x:v>
      </x:c>
    </x:row>
    <x:row r="1182" ht="72" customHeight="1">
      <x:c r="A1182" s="25" t="n">
        <x:v>12074</x:v>
      </x:c>
      <x:c r="B1182" s="25" t="str">
        <x:v>IC-L3-1331</x:v>
      </x:c>
      <x:c r="C1182" s="25" t="str">
        <x:v>新媒体运营</x:v>
      </x:c>
      <x:c r="D1182" s="25" t="str">
        <x:v>2-02-09-02</x:v>
      </x:c>
      <x:c r="E1182" s="25" t="str">
        <x:v>电子元器件工程技术人员</x:v>
      </x:c>
      <x:c r="F1182" s="28" t="n">
        <x:f>COUNTIF('岗位-产业节点关系'!$C$4:$C$709,B1182)</x:f>
        <x:v>1</x:v>
      </x:c>
      <x:c r="G1182" s="26" t="str">
        <x:f>IF(F1182=0,"未匹配（现有产业链范围未覆盖或证据不足）",IF(COUNTIFS('岗位-产业节点关系'!$C$4:$C$709,B1182,'岗位-产业节点关系'!$M$4:$M$709,"低")&gt;0,"已匹配，建议复核","已匹配"))</x:f>
        <x:v>已匹配</x:v>
      </x:c>
      <x:c r="H1182" s="26" t="str">
        <x:v>中</x:v>
      </x:c>
      <x:c r="I1182" s="26" t="str">
        <x:v>ICN003</x:v>
      </x:c>
      <x:c r="J1182" s="26" t="str">
        <x:v>数据要素与数字经济产业链/下游/数字经济场景应用与内容创意</x:v>
      </x:c>
      <x:c r="K1182" s="26" t="str">
        <x:v>新媒体运营是专门从事企业数字媒体内容策划与传播的专业人员。该职位的核心目标是通过新媒体平台运营，提升品牌影响力并促进产品销售。在日常工作中，需要进行内容创意策划、社交媒体运营、数据分析及用户互动管理等工作。</x:v>
      </x:c>
      <x:c r="L1182" s="26" t="str">
        <x:v>1. 策划品牌推广内容 2. 运营维护社交媒体 3. 制作行业相关图文 4. 分析运营数据指标 5. 策划线上营销活动 6. 监测行业热点趋势</x:v>
      </x:c>
    </x:row>
    <x:row r="1183" ht="72" customHeight="1">
      <x:c r="A1183" s="25" t="n">
        <x:v>12075</x:v>
      </x:c>
      <x:c r="B1183" s="25" t="str">
        <x:v>IC-L3-1332</x:v>
      </x:c>
      <x:c r="C1183" s="25" t="str">
        <x:v>嵌入式硬件开发</x:v>
      </x:c>
      <x:c r="D1183" s="25" t="str">
        <x:v>2-02-10-03</x:v>
      </x:c>
      <x:c r="E1183" s="25" t="str">
        <x:v>计算机软件工程技术人员</x:v>
      </x:c>
      <x:c r="F1183" s="28" t="n">
        <x:f>COUNTIF('岗位-产业节点关系'!$C$4:$C$709,B1183)</x:f>
        <x:v>1</x:v>
      </x:c>
      <x:c r="G1183" s="26" t="str">
        <x:f>IF(F1183=0,"未匹配（现有产业链范围未覆盖或证据不足）",IF(COUNTIFS('岗位-产业节点关系'!$C$4:$C$709,B1183,'岗位-产业节点关系'!$M$4:$M$709,"低")&gt;0,"已匹配，建议复核","已匹配"))</x:f>
        <x:v>已匹配</x:v>
      </x:c>
      <x:c r="H1183" s="26" t="str">
        <x:v>中</x:v>
      </x:c>
      <x:c r="I1183" s="26" t="str">
        <x:v>ICN016</x:v>
      </x:c>
      <x:c r="J1183" s="26" t="str">
        <x:v>智能物联与消费电子产业链/上游/传感器、芯片模组与基础器件</x:v>
      </x:c>
      <x:c r="K1183" s="26" t="str">
        <x:v>嵌入式硬件开发工程师是通信/电子行业中不可或缺的角色，他们负责设计和实现复杂的硬件系统，这些系统广泛应用于各种智能设备中，从智能手机到工业自动化控制，确保产品能够高效、稳定地运行。作为公司技术团队的核心成员，嵌入式硬件开…</x:v>
      </x:c>
      <x:c r="L1183" s="26" t="str">
        <x:v>1. 负责嵌入式系统的硬件架构设计及关键模块的电路设计，确保设计方案符合产品性能要求。 2. 编写详细的硬件设计文档和技术规范书，为后续生产制造提供准确指导。 3. 参与新产品样机的调试工作，解决研发过程中出现的技术难题…</x:v>
      </x:c>
    </x:row>
    <x:row r="1184" ht="72" customHeight="1">
      <x:c r="A1184" s="25" t="n">
        <x:v>12076</x:v>
      </x:c>
      <x:c r="B1184" s="25" t="str">
        <x:v>IC-L3-1333</x:v>
      </x:c>
      <x:c r="C1184" s="25" t="str">
        <x:v>硬件工程师</x:v>
      </x:c>
      <x:c r="D1184" s="25" t="str">
        <x:v>2-02-09-02</x:v>
      </x:c>
      <x:c r="E1184" s="25" t="str">
        <x:v>电子元器件工程技术人员</x:v>
      </x:c>
      <x:c r="F1184" s="28" t="n">
        <x:f>COUNTIF('岗位-产业节点关系'!$C$4:$C$709,B1184)</x:f>
        <x:v>1</x:v>
      </x:c>
      <x:c r="G1184" s="26" t="str">
        <x:f>IF(F1184=0,"未匹配（现有产业链范围未覆盖或证据不足）",IF(COUNTIFS('岗位-产业节点关系'!$C$4:$C$709,B1184,'岗位-产业节点关系'!$M$4:$M$709,"低")&gt;0,"已匹配，建议复核","已匹配"))</x:f>
        <x:v>已匹配</x:v>
      </x:c>
      <x:c r="H1184" s="26" t="str">
        <x:v>中</x:v>
      </x:c>
      <x:c r="I1184" s="26" t="str">
        <x:v>ICN016</x:v>
      </x:c>
      <x:c r="J1184" s="26" t="str">
        <x:v>智能物联与消费电子产业链/上游/传感器、芯片模组与基础器件</x:v>
      </x:c>
      <x:c r="K1184" s="26" t="str">
        <x:v>硬件工程师是通信/电子行业中不可或缺的专业技术人才，他们负责设计、测试和优化各种电子设备和系统的硬件部分，确保产品的性能达到最优。通过持续的技术创新和问题解决，硬件工程师不仅能够推动公司产品竞争力的提升，还能够帮助公司在…</x:v>
      </x:c>
      <x:c r="L1184" s="26" t="str">
        <x:v>1. 负责新产品的硬件方案设计，包括电路原理图的设计、PCB布局及元器件选型，以确保设计方案满足产品功能需求并符合成本预算。 2. 执行详细的硬件测试计划，验证电路板的功能正确性和稳定性，及时发现并解决潜在的技术难题，保…</x:v>
      </x:c>
    </x:row>
    <x:row r="1185" ht="72" customHeight="1">
      <x:c r="A1185" s="25" t="n">
        <x:v>12077</x:v>
      </x:c>
      <x:c r="B1185" s="25" t="str">
        <x:v>IC-L3-1334</x:v>
      </x:c>
      <x:c r="C1185" s="25" t="str">
        <x:v>硬件测试工程师</x:v>
      </x:c>
      <x:c r="D1185" s="25" t="str">
        <x:v>2-02-09-02</x:v>
      </x:c>
      <x:c r="E1185" s="25" t="str">
        <x:v>电子元器件工程技术人员</x:v>
      </x:c>
      <x:c r="F1185" s="28" t="n">
        <x:f>COUNTIF('岗位-产业节点关系'!$C$4:$C$709,B1185)</x:f>
        <x:v>0</x:v>
      </x:c>
      <x:c r="G1185" s="26" t="str">
        <x:f>IF(F1185=0,"未匹配（现有产业链范围未覆盖或证据不足）",IF(COUNTIFS('岗位-产业节点关系'!$C$4:$C$709,B1185,'岗位-产业节点关系'!$M$4:$M$709,"低")&gt;0,"已匹配，建议复核","已匹配"))</x:f>
        <x:v>未匹配（现有产业链范围未覆盖或证据不足）</x:v>
      </x:c>
      <x:c r="H1185" s="26" t="str">
        <x:v>-</x:v>
      </x:c>
      <x:c r="I1185" s="26" t="str"/>
      <x:c r="J1185" s="26" t="str"/>
      <x:c r="K1185" s="26" t="str">
        <x:v>硬件测试工程师是通信/电子行业中不可或缺的角色，他们负责确保产品硬件的质量与可靠性，对于推动技术创新和提高客户满意度至关重要。通过精准地检测和评估硬件性能，该职位能够帮助公司及时发现并解决潜在问题，降低后期维护成本，增强…</x:v>
      </x:c>
      <x:c r="L1185" s="26" t="str">
        <x:v>1. 设计并执行全面的硬件测试方案，覆盖从元器件到整机系统的各个层面，确保所有硬件组件符合既定标准和规范。 2. 利用专业的测试工具和设备，对新开发的产品进行功能验证及性能测试，记录详细的测试结果，撰写测试报告。 3. …</x:v>
      </x:c>
    </x:row>
    <x:row r="1186" ht="72" customHeight="1">
      <x:c r="A1186" s="25" t="n">
        <x:v>12078</x:v>
      </x:c>
      <x:c r="B1186" s="25" t="str">
        <x:v>IC-L3-1335</x:v>
      </x:c>
      <x:c r="C1186" s="25" t="str">
        <x:v>高级硬件工程师</x:v>
      </x:c>
      <x:c r="D1186" s="25" t="str">
        <x:v>2-02-09-02</x:v>
      </x:c>
      <x:c r="E1186" s="25" t="str">
        <x:v>电子元器件工程技术人员</x:v>
      </x:c>
      <x:c r="F1186" s="28" t="n">
        <x:f>COUNTIF('岗位-产业节点关系'!$C$4:$C$709,B1186)</x:f>
        <x:v>1</x:v>
      </x:c>
      <x:c r="G1186" s="26" t="str">
        <x:f>IF(F1186=0,"未匹配（现有产业链范围未覆盖或证据不足）",IF(COUNTIFS('岗位-产业节点关系'!$C$4:$C$709,B1186,'岗位-产业节点关系'!$M$4:$M$709,"低")&gt;0,"已匹配，建议复核","已匹配"))</x:f>
        <x:v>已匹配</x:v>
      </x:c>
      <x:c r="H1186" s="26" t="str">
        <x:v>中</x:v>
      </x:c>
      <x:c r="I1186" s="26" t="str">
        <x:v>ICN016</x:v>
      </x:c>
      <x:c r="J1186" s="26" t="str">
        <x:v>智能物联与消费电子产业链/上游/传感器、芯片模组与基础器件</x:v>
      </x:c>
      <x:c r="K1186" s="26" t="str">
        <x:v>高级硬件工程师是通信/电子行业中至关重要的技术角色，负责设计、开发和优化各类硬件产品。作为团队中的技术骨干，他们不仅需要具备深厚的专业知识和丰富的实践经验，还需要引领技术创新，确保产品的竞争力和市场领先地位。该职位不仅与…</x:v>
      </x:c>
      <x:c r="L1186" s="26" t="str">
        <x:v>1. 负责新产品的硬件架构设计，包括电路板布局、元器件选型等工作，确保设计方案符合产品功能要求和性能指标。 2. 领导并参与关键技术研发，解决产品开发过程中的重大技术问题，缩短研发周期，降低生产成本。 3. 与软件团队密…</x:v>
      </x:c>
    </x:row>
    <x:row r="1187" ht="72" customHeight="1">
      <x:c r="A1187" s="25" t="n">
        <x:v>12079</x:v>
      </x:c>
      <x:c r="B1187" s="25" t="str">
        <x:v>IC-L3-1336</x:v>
      </x:c>
      <x:c r="C1187" s="25" t="str">
        <x:v>模具设计</x:v>
      </x:c>
      <x:c r="D1187" s="25" t="str">
        <x:v>2-02-09-02</x:v>
      </x:c>
      <x:c r="E1187" s="25" t="str">
        <x:v>电子元器件工程技术人员</x:v>
      </x:c>
      <x:c r="F1187" s="28" t="n">
        <x:f>COUNTIF('岗位-产业节点关系'!$C$4:$C$709,B1187)</x:f>
        <x:v>1</x:v>
      </x:c>
      <x:c r="G1187" s="26" t="str">
        <x:f>IF(F1187=0,"未匹配（现有产业链范围未覆盖或证据不足）",IF(COUNTIFS('岗位-产业节点关系'!$C$4:$C$709,B1187,'岗位-产业节点关系'!$M$4:$M$709,"低")&gt;0,"已匹配，建议复核","已匹配"))</x:f>
        <x:v>已匹配</x:v>
      </x:c>
      <x:c r="H1187" s="26" t="str">
        <x:v>中</x:v>
      </x:c>
      <x:c r="I1187" s="26" t="str">
        <x:v>ICN004</x:v>
      </x:c>
      <x:c r="J1187" s="26" t="str">
        <x:v>高端装备与智能制造产业链/上游/关键基础件与工业母机</x:v>
      </x:c>
      <x:c r="K1187" s="26" t="str">
        <x:v>模具设计是专门从事工业模具开发与优化的专业人员。该职位的核心目标是通过精密模具设计，确保硬件产品的高效生产和质量达标。在日常工作中，需要进行3D建模、结构分析、公差配合计算及模具调试等工作。</x:v>
      </x:c>
      <x:c r="L1187" s="26" t="str">
        <x:v>1. 设计模具结构方案 2. 绘制三维模具图纸 3. 优化模具生产工艺 4. 测试模具性能参数 5. 解决生产质量问题 6. 维护模具技术文档</x:v>
      </x:c>
    </x:row>
    <x:row r="1188" ht="72" customHeight="1">
      <x:c r="A1188" s="25" t="n">
        <x:v>12080</x:v>
      </x:c>
      <x:c r="B1188" s="25" t="str">
        <x:v>IC-L3-1337</x:v>
      </x:c>
      <x:c r="C1188" s="25" t="str">
        <x:v>材料工程师</x:v>
      </x:c>
      <x:c r="D1188" s="25" t="str">
        <x:v>2-02-09-02</x:v>
      </x:c>
      <x:c r="E1188" s="25" t="str">
        <x:v>电子元器件工程技术人员</x:v>
      </x:c>
      <x:c r="F1188" s="28" t="n">
        <x:f>COUNTIF('岗位-产业节点关系'!$C$4:$C$709,B1188)</x:f>
        <x:v>1</x:v>
      </x:c>
      <x:c r="G1188" s="26" t="str">
        <x:f>IF(F1188=0,"未匹配（现有产业链范围未覆盖或证据不足）",IF(COUNTIFS('岗位-产业节点关系'!$C$4:$C$709,B1188,'岗位-产业节点关系'!$M$4:$M$709,"低")&gt;0,"已匹配，建议复核","已匹配"))</x:f>
        <x:v>已匹配</x:v>
      </x:c>
      <x:c r="H1188" s="26" t="str">
        <x:v>中</x:v>
      </x:c>
      <x:c r="I1188" s="26" t="str">
        <x:v>ICN035</x:v>
      </x:c>
      <x:c r="J1188" s="26" t="str">
        <x:v>新材料产业链/中游/先进材料制备与加工</x:v>
      </x:c>
      <x:c r="K1188" s="26" t="str">
        <x:v>材料工程师是专门从事材料研发与应用的专业人员。该职位的核心目标是通过优化材料性能与工艺，实现硬件产品在可靠性、成本及性能方面的突破。在日常工作中，需要进行材料选型测试、工艺参数优化、失效分析及新材料开发等工作。</x:v>
      </x:c>
      <x:c r="L1188" s="26" t="str">
        <x:v>1. 研发新型材料 2. 测试材料性能 3. 优化材料工艺 4. 分析材料失效 5. 撰写技术文档 6. 支持产品开发</x:v>
      </x:c>
    </x:row>
    <x:row r="1189" ht="72" customHeight="1">
      <x:c r="A1189" s="25" t="n">
        <x:v>12081</x:v>
      </x:c>
      <x:c r="B1189" s="25" t="str">
        <x:v>IC-L3-1338</x:v>
      </x:c>
      <x:c r="C1189" s="25" t="str">
        <x:v>射频工程师</x:v>
      </x:c>
      <x:c r="D1189" s="25" t="str">
        <x:v>2-02-09-02</x:v>
      </x:c>
      <x:c r="E1189" s="25" t="str">
        <x:v>电子元器件工程技术人员</x:v>
      </x:c>
      <x:c r="F1189" s="28" t="n">
        <x:f>COUNTIF('岗位-产业节点关系'!$C$4:$C$709,B1189)</x:f>
        <x:v>1</x:v>
      </x:c>
      <x:c r="G1189" s="26" t="str">
        <x:f>IF(F1189=0,"未匹配（现有产业链范围未覆盖或证据不足）",IF(COUNTIFS('岗位-产业节点关系'!$C$4:$C$709,B1189,'岗位-产业节点关系'!$M$4:$M$709,"低")&gt;0,"已匹配，建议复核","已匹配"))</x:f>
        <x:v>已匹配，建议复核</x:v>
      </x:c>
      <x:c r="H1189" s="26" t="str">
        <x:v>低</x:v>
      </x:c>
      <x:c r="I1189" s="26" t="str">
        <x:v>ICN047</x:v>
      </x:c>
      <x:c r="J1189" s="26" t="str">
        <x:v>半导体与集成电路产业链/中游/芯片设计、制造、封测与集成电路</x:v>
      </x:c>
      <x:c r="K1189" s="26" t="str">
        <x:v>射频工程师是专门从事射频电路与系统设计的专业人员。该职位的核心目标是通过研发高性能射频硬件，实现无线通信设备的稳定性和可靠性。在日常工作中，需要进行射频电路设计、仿真优化、原型测试及EMC问题解决等工作。</x:v>
      </x:c>
      <x:c r="L1189" s="26" t="str">
        <x:v>1. 设计射频电路方案 2. 调试射频系统性能 3. 优化射频信号质量 4. 测试射频设备指标 5. 解决射频干扰问题 6. 编写射频技术文档</x:v>
      </x:c>
    </x:row>
    <x:row r="1190" ht="72" customHeight="1">
      <x:c r="A1190" s="25" t="n">
        <x:v>12082</x:v>
      </x:c>
      <x:c r="B1190" s="25" t="str">
        <x:v>IC-L3-1339</x:v>
      </x:c>
      <x:c r="C1190" s="25" t="str">
        <x:v>全栈工程师</x:v>
      </x:c>
      <x:c r="D1190" s="25" t="str">
        <x:v>2-02-09-02</x:v>
      </x:c>
      <x:c r="E1190" s="25" t="str">
        <x:v>电子元器件工程技术人员</x:v>
      </x:c>
      <x:c r="F1190" s="28" t="n">
        <x:f>COUNTIF('岗位-产业节点关系'!$C$4:$C$709,B1190)</x:f>
        <x:v>0</x:v>
      </x:c>
      <x:c r="G1190" s="26" t="str">
        <x:f>IF(F1190=0,"未匹配（现有产业链范围未覆盖或证据不足）",IF(COUNTIFS('岗位-产业节点关系'!$C$4:$C$709,B1190,'岗位-产业节点关系'!$M$4:$M$709,"低")&gt;0,"已匹配，建议复核","已匹配"))</x:f>
        <x:v>未匹配（现有产业链范围未覆盖或证据不足）</x:v>
      </x:c>
      <x:c r="H1190" s="26" t="str">
        <x:v>-</x:v>
      </x:c>
      <x:c r="I1190" s="26" t="str"/>
      <x:c r="J1190" s="26" t="str"/>
      <x:c r="K1190" s="26" t="str">
        <x:v>全栈工程师是精通前后端开发及系统集成的复合型专业人员。该职位的核心目标是通过构建高效可靠的软件系统，支持硬件产品的智能化开发与运维。在日常工作中，需要进行嵌入式系统开发、Web应用架构设计、API接口开发及硬件软件联调等…</x:v>
      </x:c>
      <x:c r="L1190" s="26" t="str">
        <x:v>1. 开发前后端应用 2. 设计系统架构方案 3. 编写硬件接口代码 4. 优化系统性能指标 5. 维护产品软件部分 6. 解决技术难题</x:v>
      </x:c>
    </x:row>
    <x:row r="1191" ht="72" customHeight="1">
      <x:c r="A1191" s="25" t="n">
        <x:v>12083</x:v>
      </x:c>
      <x:c r="B1191" s="25" t="str">
        <x:v>IC-L3-1340</x:v>
      </x:c>
      <x:c r="C1191" s="25" t="str">
        <x:v>语音/视频/图形开发</x:v>
      </x:c>
      <x:c r="D1191" s="25" t="str">
        <x:v>2-02-09-02</x:v>
      </x:c>
      <x:c r="E1191" s="25" t="str">
        <x:v>电子元器件工程技术人员</x:v>
      </x:c>
      <x:c r="F1191" s="28" t="n">
        <x:f>COUNTIF('岗位-产业节点关系'!$C$4:$C$709,B1191)</x:f>
        <x:v>0</x:v>
      </x:c>
      <x:c r="G1191" s="26" t="str">
        <x:f>IF(F1191=0,"未匹配（现有产业链范围未覆盖或证据不足）",IF(COUNTIFS('岗位-产业节点关系'!$C$4:$C$709,B1191,'岗位-产业节点关系'!$M$4:$M$709,"低")&gt;0,"已匹配，建议复核","已匹配"))</x:f>
        <x:v>未匹配（现有产业链范围未覆盖或证据不足）</x:v>
      </x:c>
      <x:c r="H1191" s="26" t="str">
        <x:v>-</x:v>
      </x:c>
      <x:c r="I1191" s="26" t="str"/>
      <x:c r="J1191" s="26" t="str"/>
      <x:c r="K1191" s="26" t="str">
        <x:v>语音/视频/图形开发是专门从事多媒体硬件系统开发的专业人员。该职位的核心目标是通过设计优化音视频处理算法及图形渲染技术，实现高性能多媒体硬件解决方案。在日常工作中，需要进行编解码器开发、GPU加速优化、实时信号处理及硬件…</x:v>
      </x:c>
      <x:c r="L1191" s="26" t="str">
        <x:v>1. 开发音视频处理算法 2. 优化图形渲染性能 3. 设计硬件编解码方案 4. 调试多媒体传输协议 5. 实现低延迟处理技术 6. 测试硬件兼容性能</x:v>
      </x:c>
    </x:row>
    <x:row r="1192" ht="72" customHeight="1">
      <x:c r="A1192" s="25" t="n">
        <x:v>12084</x:v>
      </x:c>
      <x:c r="B1192" s="25" t="str">
        <x:v>IC-L3-1341</x:v>
      </x:c>
      <x:c r="C1192" s="25" t="str">
        <x:v>架构师</x:v>
      </x:c>
      <x:c r="D1192" s="25" t="str">
        <x:v>2-02-10-03</x:v>
      </x:c>
      <x:c r="E1192" s="25" t="str">
        <x:v>计算机软件工程技术人员</x:v>
      </x:c>
      <x:c r="F1192" s="28" t="n">
        <x:f>COUNTIF('岗位-产业节点关系'!$C$4:$C$709,B1192)</x:f>
        <x:v>0</x:v>
      </x:c>
      <x:c r="G1192" s="26" t="str">
        <x:f>IF(F1192=0,"未匹配（现有产业链范围未覆盖或证据不足）",IF(COUNTIFS('岗位-产业节点关系'!$C$4:$C$709,B1192,'岗位-产业节点关系'!$M$4:$M$709,"低")&gt;0,"已匹配，建议复核","已匹配"))</x:f>
        <x:v>未匹配（现有产业链范围未覆盖或证据不足）</x:v>
      </x:c>
      <x:c r="H1192" s="26" t="str">
        <x:v>-</x:v>
      </x:c>
      <x:c r="I1192" s="26" t="str"/>
      <x:c r="J1192" s="26" t="str"/>
      <x:c r="K1192" s="26" t="str">
        <x:v>架构师是专门从事硬件系统设计与架构规划的专业人员。该职位的核心目标是通过设计高效可靠的硬件架构，实现产品性能与成本的最优平衡。在日常工作中，需要进行系统需求分析、架构方案设计、技术选型评估以及跨部门协作等工作。</x:v>
      </x:c>
      <x:c r="L1192" s="26" t="str">
        <x:v>1. 设计硬件系统架构 2. 制定技术方案标准 3. 评估选型关键器件 4. 优化电路设计方案 5. 指导团队技术开发 6. 解决复杂技术难题</x:v>
      </x:c>
    </x:row>
    <x:row r="1193" ht="72" customHeight="1">
      <x:c r="A1193" s="25" t="n">
        <x:v>12085</x:v>
      </x:c>
      <x:c r="B1193" s="25" t="str">
        <x:v>IC-L3-1342</x:v>
      </x:c>
      <x:c r="C1193" s="25" t="str">
        <x:v>核心网工程师</x:v>
      </x:c>
      <x:c r="D1193" s="25" t="str">
        <x:v>2-02-10-01</x:v>
      </x:c>
      <x:c r="E1193" s="25" t="str">
        <x:v>通信工程技术人员</x:v>
      </x:c>
      <x:c r="F1193" s="28" t="n">
        <x:f>COUNTIF('岗位-产业节点关系'!$C$4:$C$709,B1193)</x:f>
        <x:v>0</x:v>
      </x:c>
      <x:c r="G1193" s="26" t="str">
        <x:f>IF(F1193=0,"未匹配（现有产业链范围未覆盖或证据不足）",IF(COUNTIFS('岗位-产业节点关系'!$C$4:$C$709,B1193,'岗位-产业节点关系'!$M$4:$M$709,"低")&gt;0,"已匹配，建议复核","已匹配"))</x:f>
        <x:v>未匹配（现有产业链范围未覆盖或证据不足）</x:v>
      </x:c>
      <x:c r="H1193" s="26" t="str">
        <x:v>-</x:v>
      </x:c>
      <x:c r="I1193" s="26" t="str"/>
      <x:c r="J1193" s="26" t="str"/>
      <x:c r="K1193" s="26" t="str">
        <x:v>核心网工程师是专门从事通信网络核心设备研发与维护的专业人员。该职位的核心目标是通过设计、优化核心网硬件架构，确保通信网络的高效稳定运行。在日常工作中，需要进行核心网设备调试、故障排查、性能优化及新硬件方案验证等工作。</x:v>
      </x:c>
      <x:c r="L1193" s="26" t="str">
        <x:v>1. 设计核心网硬件架构 2. 开发核心网硬件设备 3. 测试核心网硬件性能 4. 优化核心网硬件方案 5. 维护核心网硬件系统 6. 解决核心网硬件故障</x:v>
      </x:c>
    </x:row>
    <x:row r="1194" ht="72" customHeight="1">
      <x:c r="A1194" s="25" t="n">
        <x:v>12086</x:v>
      </x:c>
      <x:c r="B1194" s="25" t="str">
        <x:v>IC-L3-1343</x:v>
      </x:c>
      <x:c r="C1194" s="25" t="str">
        <x:v>通信电源工程师</x:v>
      </x:c>
      <x:c r="D1194" s="25" t="str">
        <x:v>2-02-09-02</x:v>
      </x:c>
      <x:c r="E1194" s="25" t="str">
        <x:v>电子元器件工程技术人员</x:v>
      </x:c>
      <x:c r="F1194" s="28" t="n">
        <x:f>COUNTIF('岗位-产业节点关系'!$C$4:$C$709,B1194)</x:f>
        <x:v>1</x:v>
      </x:c>
      <x:c r="G1194" s="26" t="str">
        <x:f>IF(F1194=0,"未匹配（现有产业链范围未覆盖或证据不足）",IF(COUNTIFS('岗位-产业节点关系'!$C$4:$C$709,B1194,'岗位-产业节点关系'!$M$4:$M$709,"低")&gt;0,"已匹配，建议复核","已匹配"))</x:f>
        <x:v>已匹配，建议复核</x:v>
      </x:c>
      <x:c r="H1194" s="26" t="str">
        <x:v>低</x:v>
      </x:c>
      <x:c r="I1194" s="26" t="str">
        <x:v>ICN028</x:v>
      </x:c>
      <x:c r="J1194" s="26" t="str">
        <x:v>新一代信息基础设施产业链/上游/通信与算力硬件设备</x:v>
      </x:c>
      <x:c r="K1194" s="26" t="str">
        <x:v>通信电源工程师是专门从事通信设备电源系统设计与优化的专业人员。该职位的核心目标是通过开发高效可靠的电源解决方案，保障通信硬件设备的稳定运行。在日常工作中，需要进行电源电路设计、性能测试、故障分析及技术文档编写等工作。</x:v>
      </x:c>
      <x:c r="L1194" s="26" t="str">
        <x:v>1. 设计通信电源方案 2. 开发电源硬件系统 3. 测试电源性能指标 4. 优化电源能效参数 5. 解决电源技术问题 6. 编写电源技术文档</x:v>
      </x:c>
    </x:row>
    <x:row r="1195" ht="72" customHeight="1">
      <x:c r="A1195" s="25" t="n">
        <x:v>12087</x:v>
      </x:c>
      <x:c r="B1195" s="25" t="str">
        <x:v>IC-L3-1344</x:v>
      </x:c>
      <x:c r="C1195" s="25" t="str">
        <x:v>通信技术工程师</x:v>
      </x:c>
      <x:c r="D1195" s="25" t="str">
        <x:v>2-02-09-02</x:v>
      </x:c>
      <x:c r="E1195" s="25" t="str">
        <x:v>电子元器件工程技术人员</x:v>
      </x:c>
      <x:c r="F1195" s="28" t="n">
        <x:f>COUNTIF('岗位-产业节点关系'!$C$4:$C$709,B1195)</x:f>
        <x:v>1</x:v>
      </x:c>
      <x:c r="G1195" s="26" t="str">
        <x:f>IF(F1195=0,"未匹配（现有产业链范围未覆盖或证据不足）",IF(COUNTIFS('岗位-产业节点关系'!$C$4:$C$709,B1195,'岗位-产业节点关系'!$M$4:$M$709,"低")&gt;0,"已匹配，建议复核","已匹配"))</x:f>
        <x:v>已匹配</x:v>
      </x:c>
      <x:c r="H1195" s="26" t="str">
        <x:v>中</x:v>
      </x:c>
      <x:c r="I1195" s="26" t="str">
        <x:v>ICN028</x:v>
      </x:c>
      <x:c r="J1195" s="26" t="str">
        <x:v>新一代信息基础设施产业链/上游/通信与算力硬件设备</x:v>
      </x:c>
      <x:c r="K1195" s="26" t="str">
        <x:v>通信技术工程师是专门从事通信硬件系统设计与开发的专业人员。该职位的核心目标是通过研发高性能通信设备，实现稳定可靠的通信连接。在日常工作中，需要进行通信模块设计、硬件调试、性能优化以及技术文档编写等工作。</x:v>
      </x:c>
      <x:c r="L1195" s="26" t="str">
        <x:v>1. 设计通信硬件方案 2. 开发通信系统模块 3. 测试设备性能指标 4. 优化通信协议算法 5. 维护硬件设备运行 6. 编写技术文档报告</x:v>
      </x:c>
    </x:row>
    <x:row r="1196" ht="72" customHeight="1">
      <x:c r="A1196" s="25" t="n">
        <x:v>12088</x:v>
      </x:c>
      <x:c r="B1196" s="25" t="str">
        <x:v>IC-L3-1345</x:v>
      </x:c>
      <x:c r="C1196" s="25" t="str">
        <x:v>数据通信工程师</x:v>
      </x:c>
      <x:c r="D1196" s="25" t="str">
        <x:v>2-02-10-03</x:v>
      </x:c>
      <x:c r="E1196" s="25" t="str">
        <x:v>计算机软件工程技术人员</x:v>
      </x:c>
      <x:c r="F1196" s="28" t="n">
        <x:f>COUNTIF('岗位-产业节点关系'!$C$4:$C$709,B1196)</x:f>
        <x:v>1</x:v>
      </x:c>
      <x:c r="G1196" s="26" t="str">
        <x:f>IF(F1196=0,"未匹配（现有产业链范围未覆盖或证据不足）",IF(COUNTIFS('岗位-产业节点关系'!$C$4:$C$709,B1196,'岗位-产业节点关系'!$M$4:$M$709,"低")&gt;0,"已匹配，建议复核","已匹配"))</x:f>
        <x:v>已匹配</x:v>
      </x:c>
      <x:c r="H1196" s="26" t="str">
        <x:v>中</x:v>
      </x:c>
      <x:c r="I1196" s="26" t="str">
        <x:v>ICN028</x:v>
      </x:c>
      <x:c r="J1196" s="26" t="str">
        <x:v>新一代信息基础设施产业链/上游/通信与算力硬件设备</x:v>
      </x:c>
      <x:c r="K1196" s="26" t="str">
        <x:v>数据通信工程师是专门从事网络通信硬件研发与优化的专业人员。该职位的核心目标是通过设计、测试和维护数据通信设备，确保高效稳定的数据传输。在日常工作中，需要进行通信协议开发、硬件调试、性能优化及故障排查等工作。</x:v>
      </x:c>
      <x:c r="L1196" s="26" t="str">
        <x:v>1. 设计通信硬件方案 2. 调试数据通信设备 3. 优化网络传输性能 4. 编写通信协议文档 5. 测试硬件兼容性能 6. 解决技术故障问题</x:v>
      </x:c>
    </x:row>
    <x:row r="1197" ht="72" customHeight="1">
      <x:c r="A1197" s="25" t="n">
        <x:v>12089</x:v>
      </x:c>
      <x:c r="B1197" s="25" t="str">
        <x:v>IC-L3-1346</x:v>
      </x:c>
      <x:c r="C1197" s="25" t="str">
        <x:v>BI工程师</x:v>
      </x:c>
      <x:c r="D1197" s="25" t="str">
        <x:v>2-02-09-02</x:v>
      </x:c>
      <x:c r="E1197" s="25" t="str">
        <x:v>电子元器件工程技术人员</x:v>
      </x:c>
      <x:c r="F1197" s="28" t="n">
        <x:f>COUNTIF('岗位-产业节点关系'!$C$4:$C$709,B1197)</x:f>
        <x:v>1</x:v>
      </x:c>
      <x:c r="G1197" s="26" t="str">
        <x:f>IF(F1197=0,"未匹配（现有产业链范围未覆盖或证据不足）",IF(COUNTIFS('岗位-产业节点关系'!$C$4:$C$709,B1197,'岗位-产业节点关系'!$M$4:$M$709,"低")&gt;0,"已匹配，建议复核","已匹配"))</x:f>
        <x:v>已匹配</x:v>
      </x:c>
      <x:c r="H1197" s="26" t="str">
        <x:v>高</x:v>
      </x:c>
      <x:c r="I1197" s="26" t="str">
        <x:v>ICN002</x:v>
      </x:c>
      <x:c r="J1197" s="26" t="str">
        <x:v>数据要素与数字经济产业链/中游/数据治理、流通与服务</x:v>
      </x:c>
      <x:c r="K1197" s="26" t="str">
        <x:v>BI工程师是专门从事商业智能系统开发与数据分析的专业人员。该职位的核心目标是通过构建数据仓库和可视化分析平台，支持硬件研发决策和业务优化。在日常工作中，需要进行ETL流程开发、数据建模、BI报表设计及性能调优等工作。</x:v>
      </x:c>
      <x:c r="L1197" s="26" t="str">
        <x:v>1. 设计数据仓库架构 2. 开发ETL数据处理流程 3. 构建业务分析模型 4. 优化硬件性能指标 5. 制作数据可视化报表 6. 支持业务决策分析</x:v>
      </x:c>
    </x:row>
    <x:row r="1198" ht="72" customHeight="1">
      <x:c r="A1198" s="25" t="n">
        <x:v>12090</x:v>
      </x:c>
      <x:c r="B1198" s="25" t="str">
        <x:v>IC-L3-1347</x:v>
      </x:c>
      <x:c r="C1198" s="25" t="str">
        <x:v>数据分析师</x:v>
      </x:c>
      <x:c r="D1198" s="25" t="str">
        <x:v>2-02-10-03</x:v>
      </x:c>
      <x:c r="E1198" s="25" t="str">
        <x:v>计算机软件工程技术人员</x:v>
      </x:c>
      <x:c r="F1198" s="28" t="n">
        <x:f>COUNTIF('岗位-产业节点关系'!$C$4:$C$709,B1198)</x:f>
        <x:v>1</x:v>
      </x:c>
      <x:c r="G1198" s="26" t="str">
        <x:f>IF(F1198=0,"未匹配（现有产业链范围未覆盖或证据不足）",IF(COUNTIFS('岗位-产业节点关系'!$C$4:$C$709,B1198,'岗位-产业节点关系'!$M$4:$M$709,"低")&gt;0,"已匹配，建议复核","已匹配"))</x:f>
        <x:v>已匹配</x:v>
      </x:c>
      <x:c r="H1198" s="26" t="str">
        <x:v>中</x:v>
      </x:c>
      <x:c r="I1198" s="26" t="str">
        <x:v>ICN002</x:v>
      </x:c>
      <x:c r="J1198" s="26" t="str">
        <x:v>数据要素与数字经济产业链/中游/数据治理、流通与服务</x:v>
      </x:c>
      <x:c r="K1198" s="26" t="str">
        <x:v>数据分析师是专门从事硬件数据挖掘与商业智能分析的专业人员。该职位的核心目标是通过收集、处理和分析硬件产品全生命周期数据，为研发优化和市场决策提供数据支撑。在日常工作中，需要进行硬件性能数据分析、用户行为建模、测试数据可视…</x:v>
      </x:c>
      <x:c r="L1198" s="26" t="str">
        <x:v>1. 收集硬件测试数据 2. 分析产品性能指标 3. 建立数据预测模型 4. 优化生产流程效率 5. 编写数据分析报告 6. 支持产品迭代决策</x:v>
      </x:c>
    </x:row>
    <x:row r="1199" ht="72" customHeight="1">
      <x:c r="A1199" s="25" t="n">
        <x:v>12091</x:v>
      </x:c>
      <x:c r="B1199" s="25" t="str">
        <x:v>IC-L3-1348</x:v>
      </x:c>
      <x:c r="C1199" s="25" t="str">
        <x:v>测试开发</x:v>
      </x:c>
      <x:c r="D1199" s="25" t="str">
        <x:v>2-02-09-02</x:v>
      </x:c>
      <x:c r="E1199" s="25" t="str">
        <x:v>电子元器件工程技术人员</x:v>
      </x:c>
      <x:c r="F1199" s="28" t="n">
        <x:f>COUNTIF('岗位-产业节点关系'!$C$4:$C$709,B1199)</x:f>
        <x:v>1</x:v>
      </x:c>
      <x:c r="G1199" s="26" t="str">
        <x:f>IF(F1199=0,"未匹配（现有产业链范围未覆盖或证据不足）",IF(COUNTIFS('岗位-产业节点关系'!$C$4:$C$709,B1199,'岗位-产业节点关系'!$M$4:$M$709,"低")&gt;0,"已匹配，建议复核","已匹配"))</x:f>
        <x:v>已匹配</x:v>
      </x:c>
      <x:c r="H1199" s="26" t="str">
        <x:v>中</x:v>
      </x:c>
      <x:c r="I1199" s="26" t="str">
        <x:v>ICN056</x:v>
      </x:c>
      <x:c r="J1199" s="26" t="str">
        <x:v>软件与数字安全产业链/中游/应用软件、区块链平台与安全产品</x:v>
      </x:c>
      <x:c r="K1199" s="26" t="str">
        <x:v>测试开发是专门从事硬件测试系统设计与优化的专业人员。该职位的核心目标是通过开发高效测试方案，确保硬件产品的可靠性和性能达标。在日常工作中，需要进行测试框架搭建、自动化脚本开发、测试用例设计及缺陷分析等工作。</x:v>
      </x:c>
      <x:c r="L1199" s="26" t="str">
        <x:v>1. 设计硬件测试方案 2. 开发自动化测试工具 3. 执行硬件性能测试 4. 分析测试数据结果 5. 优化测试流程方法 6. 编写测试报告文档</x:v>
      </x:c>
    </x:row>
    <x:row r="1200" ht="72" customHeight="1">
      <x:c r="A1200" s="25" t="n">
        <x:v>12092</x:v>
      </x:c>
      <x:c r="B1200" s="25" t="str">
        <x:v>IC-L3-1349</x:v>
      </x:c>
      <x:c r="C1200" s="25" t="str">
        <x:v>测试工程师</x:v>
      </x:c>
      <x:c r="D1200" s="25" t="str">
        <x:v>2-02-09-02</x:v>
      </x:c>
      <x:c r="E1200" s="25" t="str">
        <x:v>电子元器件工程技术人员</x:v>
      </x:c>
      <x:c r="F1200" s="28" t="n">
        <x:f>COUNTIF('岗位-产业节点关系'!$C$4:$C$709,B1200)</x:f>
        <x:v>0</x:v>
      </x:c>
      <x:c r="G1200" s="26" t="str">
        <x:f>IF(F1200=0,"未匹配（现有产业链范围未覆盖或证据不足）",IF(COUNTIFS('岗位-产业节点关系'!$C$4:$C$709,B1200,'岗位-产业节点关系'!$M$4:$M$709,"低")&gt;0,"已匹配，建议复核","已匹配"))</x:f>
        <x:v>未匹配（现有产业链范围未覆盖或证据不足）</x:v>
      </x:c>
      <x:c r="H1200" s="26" t="str">
        <x:v>-</x:v>
      </x:c>
      <x:c r="I1200" s="26" t="str"/>
      <x:c r="J1200" s="26" t="str"/>
      <x:c r="K1200" s="26" t="str">
        <x:v>测试工程师是专门从事硬件产品质量验证的专业人员。该职位的核心目标是通过系统化的测试流程，确保硬件产品的可靠性和性能达标。在日常工作中，需要进行测试方案设计、测试用例执行、缺陷跟踪分析及测试报告撰写等工作。</x:v>
      </x:c>
      <x:c r="L1200" s="26" t="str">
        <x:v>1. 设计测试方案 2. 执行硬件测试 3. 分析测试数据 4. 编写测试报告 5. 优化测试流程 6. 维护测试设备</x:v>
      </x:c>
    </x:row>
    <x:row r="1201" ht="72" customHeight="1">
      <x:c r="A1201" s="25" t="n">
        <x:v>12093</x:v>
      </x:c>
      <x:c r="B1201" s="25" t="str">
        <x:v>IC-L3-1350</x:v>
      </x:c>
      <x:c r="C1201" s="25" t="str">
        <x:v>系统工程师</x:v>
      </x:c>
      <x:c r="D1201" s="25" t="str">
        <x:v>2-02-09-02</x:v>
      </x:c>
      <x:c r="E1201" s="25" t="str">
        <x:v>电子元器件工程技术人员</x:v>
      </x:c>
      <x:c r="F1201" s="28" t="n">
        <x:f>COUNTIF('岗位-产业节点关系'!$C$4:$C$709,B1201)</x:f>
        <x:v>0</x:v>
      </x:c>
      <x:c r="G1201" s="26" t="str">
        <x:f>IF(F1201=0,"未匹配（现有产业链范围未覆盖或证据不足）",IF(COUNTIFS('岗位-产业节点关系'!$C$4:$C$709,B1201,'岗位-产业节点关系'!$M$4:$M$709,"低")&gt;0,"已匹配，建议复核","已匹配"))</x:f>
        <x:v>未匹配（现有产业链范围未覆盖或证据不足）</x:v>
      </x:c>
      <x:c r="H1201" s="26" t="str">
        <x:v>-</x:v>
      </x:c>
      <x:c r="I1201" s="26" t="str"/>
      <x:c r="J1201" s="26" t="str"/>
      <x:c r="K1201" s="26" t="str">
        <x:v>系统工程师是专门从事硬件系统设计与集成的专业人员。该职位的核心目标是通过优化系统架构和协调硬件组件，确保产品性能与可靠性。在日常工作中，需要进行需求分析、系统设计、性能测试以及跨部门技术协调等工作。</x:v>
      </x:c>
      <x:c r="L1201" s="26" t="str">
        <x:v>1. 设计硬件系统架构 2. 开发硬件解决方案 3. 测试系统性能指标 4. 优化硬件运行效率 5. 编写技术文档报告 6. 解决系统故障问题</x:v>
      </x:c>
    </x:row>
    <x:row r="1202" ht="72" customHeight="1">
      <x:c r="A1202" s="25" t="n">
        <x:v>12094</x:v>
      </x:c>
      <x:c r="B1202" s="25" t="str">
        <x:v>IC-L3-1351</x:v>
      </x:c>
      <x:c r="C1202" s="25" t="str">
        <x:v>封装工程师</x:v>
      </x:c>
      <x:c r="D1202" s="25" t="str">
        <x:v>2-02-09-02</x:v>
      </x:c>
      <x:c r="E1202" s="25" t="str">
        <x:v>电子元器件工程技术人员</x:v>
      </x:c>
      <x:c r="F1202" s="28" t="n">
        <x:f>COUNTIF('岗位-产业节点关系'!$C$4:$C$709,B1202)</x:f>
        <x:v>1</x:v>
      </x:c>
      <x:c r="G1202" s="26" t="str">
        <x:f>IF(F1202=0,"未匹配（现有产业链范围未覆盖或证据不足）",IF(COUNTIFS('岗位-产业节点关系'!$C$4:$C$709,B1202,'岗位-产业节点关系'!$M$4:$M$709,"低")&gt;0,"已匹配，建议复核","已匹配"))</x:f>
        <x:v>已匹配</x:v>
      </x:c>
      <x:c r="H1202" s="26" t="str">
        <x:v>中</x:v>
      </x:c>
      <x:c r="I1202" s="26" t="str">
        <x:v>ICN047</x:v>
      </x:c>
      <x:c r="J1202" s="26" t="str">
        <x:v>半导体与集成电路产业链/中游/芯片设计、制造、封测与集成电路</x:v>
      </x:c>
      <x:c r="K1202" s="26" t="str">
        <x:v>封装工程师是专门从事电子元器件封装设计与工艺优化的专业人员。该职位的核心目标是通过先进的封装技术，实现芯片性能提升和系统集成优化。在日常工作中，需要进行封装结构设计、材料选型验证、热力学分析及生产工艺改进等工作。</x:v>
      </x:c>
      <x:c r="L1202" s="26" t="str">
        <x:v>1. 设计封装方案 2. 优化封装工艺 3. 测试封装性能 4. 分析封装问题 5. 编写技术文档 6. 跟进生产流程</x:v>
      </x:c>
    </x:row>
    <x:row r="1203" ht="72" customHeight="1">
      <x:c r="A1203" s="25" t="n">
        <x:v>12095</x:v>
      </x:c>
      <x:c r="B1203" s="25" t="str">
        <x:v>IC-L3-1352</x:v>
      </x:c>
      <x:c r="C1203" s="25" t="str">
        <x:v>通信设备工程师</x:v>
      </x:c>
      <x:c r="D1203" s="25" t="str">
        <x:v>2-02-09-02</x:v>
      </x:c>
      <x:c r="E1203" s="25" t="str">
        <x:v>电子元器件工程技术人员</x:v>
      </x:c>
      <x:c r="F1203" s="28" t="n">
        <x:f>COUNTIF('岗位-产业节点关系'!$C$4:$C$709,B1203)</x:f>
        <x:v>1</x:v>
      </x:c>
      <x:c r="G1203" s="26" t="str">
        <x:f>IF(F1203=0,"未匹配（现有产业链范围未覆盖或证据不足）",IF(COUNTIFS('岗位-产业节点关系'!$C$4:$C$709,B1203,'岗位-产业节点关系'!$M$4:$M$709,"低")&gt;0,"已匹配，建议复核","已匹配"))</x:f>
        <x:v>已匹配</x:v>
      </x:c>
      <x:c r="H1203" s="26" t="str">
        <x:v>中</x:v>
      </x:c>
      <x:c r="I1203" s="26" t="str">
        <x:v>ICN028</x:v>
      </x:c>
      <x:c r="J1203" s="26" t="str">
        <x:v>新一代信息基础设施产业链/上游/通信与算力硬件设备</x:v>
      </x:c>
      <x:c r="K1203" s="26" t="str">
        <x:v>通信设备工程师是专门从事通信硬件设备研发与优化的专业人员。该职位的核心目标是通过设计、测试和维护通信硬件设备，确保通信系统的高效稳定运行。在日常工作中，需要进行设备方案设计、硬件调试、性能测试及故障排查等工作。</x:v>
      </x:c>
      <x:c r="L1203" s="26" t="str">
        <x:v>1. 设计通信设备硬件 2. 调试设备系统功能 3. 优化电路性能参数 4. 编写硬件测试方案 5. 解决生产异常问题 6. 维护设备技术文档</x:v>
      </x:c>
    </x:row>
    <x:row r="1204" ht="72" customHeight="1">
      <x:c r="A1204" s="25" t="n">
        <x:v>12096</x:v>
      </x:c>
      <x:c r="B1204" s="25" t="str">
        <x:v>IC-L3-1353</x:v>
      </x:c>
      <x:c r="C1204" s="25" t="str">
        <x:v>安防系统工程师</x:v>
      </x:c>
      <x:c r="D1204" s="25" t="str">
        <x:v>2-02-09-02</x:v>
      </x:c>
      <x:c r="E1204" s="25" t="str">
        <x:v>电子元器件工程技术人员</x:v>
      </x:c>
      <x:c r="F1204" s="28" t="n">
        <x:f>COUNTIF('岗位-产业节点关系'!$C$4:$C$709,B1204)</x:f>
        <x:v>0</x:v>
      </x:c>
      <x:c r="G1204" s="26" t="str">
        <x:f>IF(F1204=0,"未匹配（现有产业链范围未覆盖或证据不足）",IF(COUNTIFS('岗位-产业节点关系'!$C$4:$C$709,B1204,'岗位-产业节点关系'!$M$4:$M$709,"低")&gt;0,"已匹配，建议复核","已匹配"))</x:f>
        <x:v>未匹配（现有产业链范围未覆盖或证据不足）</x:v>
      </x:c>
      <x:c r="H1204" s="26" t="str">
        <x:v>-</x:v>
      </x:c>
      <x:c r="I1204" s="26" t="str"/>
      <x:c r="J1204" s="26" t="str"/>
      <x:c r="K1204" s="26" t="str">
        <x:v>安防系统工程师是专门从事安防硬件系统设计与开发的专业人员。该职位的核心目标是通过研发高可靠性安防设备及系统，保障客户财产与信息安全。在日常工作中，需要进行安防系统方案设计、硬件设备选型与调试、系统集成测试及技术文档编写等…</x:v>
      </x:c>
      <x:c r="L1204" s="26" t="str">
        <x:v>1. 设计安防硬件系统 2. 调试安防设备运行 3. 维护安防系统稳定 4. 优化系统性能参数 5. 编写技术文档报告 6. 解决现场技术问题</x:v>
      </x:c>
    </x:row>
    <x:row r="1205" ht="72" customHeight="1">
      <x:c r="A1205" s="25" t="n">
        <x:v>12097</x:v>
      </x:c>
      <x:c r="B1205" s="25" t="str">
        <x:v>IC-L3-1354</x:v>
      </x:c>
      <x:c r="C1205" s="25" t="str">
        <x:v>光通信工程师</x:v>
      </x:c>
      <x:c r="D1205" s="25" t="str">
        <x:v>2-02-10-01</x:v>
      </x:c>
      <x:c r="E1205" s="25" t="str">
        <x:v>通信工程技术人员</x:v>
      </x:c>
      <x:c r="F1205" s="28" t="n">
        <x:f>COUNTIF('岗位-产业节点关系'!$C$4:$C$709,B1205)</x:f>
        <x:v>1</x:v>
      </x:c>
      <x:c r="G1205" s="26" t="str">
        <x:f>IF(F1205=0,"未匹配（现有产业链范围未覆盖或证据不足）",IF(COUNTIFS('岗位-产业节点关系'!$C$4:$C$709,B1205,'岗位-产业节点关系'!$M$4:$M$709,"低")&gt;0,"已匹配，建议复核","已匹配"))</x:f>
        <x:v>已匹配</x:v>
      </x:c>
      <x:c r="H1205" s="26" t="str">
        <x:v>高</x:v>
      </x:c>
      <x:c r="I1205" s="26" t="str">
        <x:v>ICN028</x:v>
      </x:c>
      <x:c r="J1205" s="26" t="str">
        <x:v>新一代信息基础设施产业链/上游/通信与算力硬件设备</x:v>
      </x:c>
      <x:c r="K1205" s="26" t="str">
        <x:v>光通信工程师是通信/电子行业中不可或缺的专业人才，负责设计、开发和优化光通信系统，以满足日益增长的数据传输需求。这一角色不仅推动了技术创新，还为企业提供了可靠的技术支持，确保了高效的信息传输解决方案。 该职位的核心目标在…</x:v>
      </x:c>
      <x:c r="L1205" s="26" t="str">
        <x:v>1. 负责光通信系统的架构设计与实现，确保系统性能达到预期标准。 2. 进行光器件选型及评估，优化光路布局，以提高系统的稳定性和可靠性。 3. 开展新技术研究，探索并引入前沿的光通信技术，促进产品迭代升级。 4. 与跨职…</x:v>
      </x:c>
    </x:row>
    <x:row r="1206" ht="72" customHeight="1">
      <x:c r="A1206" s="25" t="n">
        <x:v>12098</x:v>
      </x:c>
      <x:c r="B1206" s="25" t="str">
        <x:v>IC-L3-1355</x:v>
      </x:c>
      <x:c r="C1206" s="25" t="str">
        <x:v>基站工程师</x:v>
      </x:c>
      <x:c r="D1206" s="25" t="str">
        <x:v>2-02-10-01</x:v>
      </x:c>
      <x:c r="E1206" s="25" t="str">
        <x:v>通信工程技术人员</x:v>
      </x:c>
      <x:c r="F1206" s="28" t="n">
        <x:f>COUNTIF('岗位-产业节点关系'!$C$4:$C$709,B1206)</x:f>
        <x:v>1</x:v>
      </x:c>
      <x:c r="G1206" s="26" t="str">
        <x:f>IF(F1206=0,"未匹配（现有产业链范围未覆盖或证据不足）",IF(COUNTIFS('岗位-产业节点关系'!$C$4:$C$709,B1206,'岗位-产业节点关系'!$M$4:$M$709,"低")&gt;0,"已匹配，建议复核","已匹配"))</x:f>
        <x:v>已匹配</x:v>
      </x:c>
      <x:c r="H1206" s="26" t="str">
        <x:v>中</x:v>
      </x:c>
      <x:c r="I1206" s="26" t="str">
        <x:v>ICN029</x:v>
      </x:c>
      <x:c r="J1206" s="26" t="str">
        <x:v>新一代信息基础设施产业链/中游/5G网络、数据中心与云边平台</x:v>
      </x:c>
      <x:c r="K1206" s="26" t="str">
        <x:v>基站工程师是通信/电子行业中至关重要的角色，负责确保无线通信网络的高效运行。作为技术专家，他们不仅需要具备深厚的理论知识，还应拥有丰富的实践经验，以应对不断变化的技术挑战。在通信网络中，基站工程师扮演着核心角色，他们的工…</x:v>
      </x:c>
      <x:c r="L1206" s="26" t="str">
        <x:v>1. 负责基站的安装调试工作，确保设备正常运行，满足预定的技术指标。 2. 对现有基站进行定期巡检和维护，及时发现并排除潜在故障，保障网络稳定。 3. 参与新基站选址规划，结合地理环境和用户需求提出合理建议，优化网络布局…</x:v>
      </x:c>
    </x:row>
    <x:row r="1207" ht="72" customHeight="1">
      <x:c r="A1207" s="25" t="n">
        <x:v>12099</x:v>
      </x:c>
      <x:c r="B1207" s="25" t="str">
        <x:v>IC-L3-1356</x:v>
      </x:c>
      <x:c r="C1207" s="25" t="str">
        <x:v>射频工程师</x:v>
      </x:c>
      <x:c r="D1207" s="25" t="str">
        <x:v>2-02-10-01</x:v>
      </x:c>
      <x:c r="E1207" s="25" t="str">
        <x:v>通信工程技术人员</x:v>
      </x:c>
      <x:c r="F1207" s="28" t="n">
        <x:f>COUNTIF('岗位-产业节点关系'!$C$4:$C$709,B1207)</x:f>
        <x:v>1</x:v>
      </x:c>
      <x:c r="G1207" s="26" t="str">
        <x:f>IF(F1207=0,"未匹配（现有产业链范围未覆盖或证据不足）",IF(COUNTIFS('岗位-产业节点关系'!$C$4:$C$709,B1207,'岗位-产业节点关系'!$M$4:$M$709,"低")&gt;0,"已匹配，建议复核","已匹配"))</x:f>
        <x:v>已匹配，建议复核</x:v>
      </x:c>
      <x:c r="H1207" s="26" t="str">
        <x:v>低</x:v>
      </x:c>
      <x:c r="I1207" s="26" t="str">
        <x:v>ICN047</x:v>
      </x:c>
      <x:c r="J1207" s="26" t="str">
        <x:v>半导体与集成电路产业链/中游/芯片设计、制造、封测与集成电路</x:v>
      </x:c>
      <x:c r="K1207" s="26" t="str">
        <x:v>射频工程师是通信/电子行业中不可或缺的技术专家，负责设计、测试和优化无线通信系统的关键组件。这一职位不仅要求深厚的专业知识，还需要良好的创新意识和解决问题的能力，以确保通信系统的高效运行和性能提升。作为射频工程师，在公司…</x:v>
      </x:c>
      <x:c r="L1207" s="26" t="str">
        <x:v>射频工程师的主要职责包括：负责射频模块的设计与开发，包括射频电路、天线设计及射频测试；进行射频信号的分析与优化，确保信号传输的稳定性和可靠性；参与产品开发的各个阶段，从需求分析到产品测试，确保射频性能符合设计要求；进行射…</x:v>
      </x:c>
    </x:row>
    <x:row r="1208" ht="72" customHeight="1">
      <x:c r="A1208" s="25" t="n">
        <x:v>12100</x:v>
      </x:c>
      <x:c r="B1208" s="25" t="str">
        <x:v>IC-L3-1357</x:v>
      </x:c>
      <x:c r="C1208" s="25" t="str">
        <x:v>数据通信工程师</x:v>
      </x:c>
      <x:c r="D1208" s="25" t="str">
        <x:v>2-02-10-03</x:v>
      </x:c>
      <x:c r="E1208" s="25" t="str">
        <x:v>计算机软件工程技术人员</x:v>
      </x:c>
      <x:c r="F1208" s="28" t="n">
        <x:f>COUNTIF('岗位-产业节点关系'!$C$4:$C$709,B1208)</x:f>
        <x:v>1</x:v>
      </x:c>
      <x:c r="G1208" s="26" t="str">
        <x:f>IF(F1208=0,"未匹配（现有产业链范围未覆盖或证据不足）",IF(COUNTIFS('岗位-产业节点关系'!$C$4:$C$709,B1208,'岗位-产业节点关系'!$M$4:$M$709,"低")&gt;0,"已匹配，建议复核","已匹配"))</x:f>
        <x:v>已匹配</x:v>
      </x:c>
      <x:c r="H1208" s="26" t="str">
        <x:v>中</x:v>
      </x:c>
      <x:c r="I1208" s="26" t="str">
        <x:v>ICN029</x:v>
      </x:c>
      <x:c r="J1208" s="26" t="str">
        <x:v>新一代信息基础设施产业链/中游/5G网络、数据中心与云边平台</x:v>
      </x:c>
      <x:c r="K1208" s="26" t="str">
        <x:v>数据通信工程师是通信/电子行业中至关重要的技术角色，他们专注于设计、实施和维护高效的数据通信系统，确保信息能够快速、安全地传输。这一职位不仅在推动技术创新方面发挥着关键作用，而且对于提高企业竞争力和服务质量至关重要。 作…</x:v>
      </x:c>
      <x:c r="L1208" s="26" t="str">
        <x:v>1. 设计和部署高效、稳定的数据通信网络，确保满足业务需求并符合相关标准。 2. 对现有通信系统进行定期评估，识别潜在风险点，提出改进建议并实施优化方案。 3. 负责处理网络故障，快速响应并解决各类紧急情况，保障服务连续…</x:v>
      </x:c>
    </x:row>
    <x:row r="1209" ht="72" customHeight="1">
      <x:c r="A1209" s="25" t="n">
        <x:v>12101</x:v>
      </x:c>
      <x:c r="B1209" s="25" t="str">
        <x:v>IC-L3-1358</x:v>
      </x:c>
      <x:c r="C1209" s="25" t="str">
        <x:v>无线通信工程师</x:v>
      </x:c>
      <x:c r="D1209" s="25" t="str">
        <x:v>2-02-10-01</x:v>
      </x:c>
      <x:c r="E1209" s="25" t="str">
        <x:v>通信工程技术人员</x:v>
      </x:c>
      <x:c r="F1209" s="28" t="n">
        <x:f>COUNTIF('岗位-产业节点关系'!$C$4:$C$709,B1209)</x:f>
        <x:v>1</x:v>
      </x:c>
      <x:c r="G1209" s="26" t="str">
        <x:f>IF(F1209=0,"未匹配（现有产业链范围未覆盖或证据不足）",IF(COUNTIFS('岗位-产业节点关系'!$C$4:$C$709,B1209,'岗位-产业节点关系'!$M$4:$M$709,"低")&gt;0,"已匹配，建议复核","已匹配"))</x:f>
        <x:v>已匹配</x:v>
      </x:c>
      <x:c r="H1209" s="26" t="str">
        <x:v>中</x:v>
      </x:c>
      <x:c r="I1209" s="26" t="str">
        <x:v>ICN029</x:v>
      </x:c>
      <x:c r="J1209" s="26" t="str">
        <x:v>新一代信息基础设施产业链/中游/5G网络、数据中心与云边平台</x:v>
      </x:c>
      <x:c r="K1209" s="26" t="str">
        <x:v>无线通信工程师是通信/电子行业中不可或缺的专业人才，他们专注于无线通信技术的研究、开发及应用，确保信息传输的高效、稳定与安全。作为连接技术创新与实际应用的桥梁，无线通信工程师在推动行业发展、满足市场需求方面发挥着关键作用…</x:v>
      </x:c>
      <x:c r="L1209" s="26" t="str">
        <x:v>1. 负责无线通信系统的设计与优化，确保系统性能符合行业标准和客户要求。 2. 参与新产品的研发工作，从技术角度提出创新解决方案，缩短产品上市周期。 3. 对现有网络进行故障排查与维护，及时解决用户反馈的问题，保障服务连…</x:v>
      </x:c>
    </x:row>
    <x:row r="1210" ht="72" customHeight="1">
      <x:c r="A1210" s="25" t="n">
        <x:v>12102</x:v>
      </x:c>
      <x:c r="B1210" s="25" t="str">
        <x:v>IC-L3-1359</x:v>
      </x:c>
      <x:c r="C1210" s="25" t="str">
        <x:v>有线传输工程师</x:v>
      </x:c>
      <x:c r="D1210" s="25" t="str">
        <x:v>2-02-10-01</x:v>
      </x:c>
      <x:c r="E1210" s="25" t="str">
        <x:v>通信工程技术人员</x:v>
      </x:c>
      <x:c r="F1210" s="28" t="n">
        <x:f>COUNTIF('岗位-产业节点关系'!$C$4:$C$709,B1210)</x:f>
        <x:v>1</x:v>
      </x:c>
      <x:c r="G1210" s="26" t="str">
        <x:f>IF(F1210=0,"未匹配（现有产业链范围未覆盖或证据不足）",IF(COUNTIFS('岗位-产业节点关系'!$C$4:$C$709,B1210,'岗位-产业节点关系'!$M$4:$M$709,"低")&gt;0,"已匹配，建议复核","已匹配"))</x:f>
        <x:v>已匹配，建议复核</x:v>
      </x:c>
      <x:c r="H1210" s="26" t="str">
        <x:v>低</x:v>
      </x:c>
      <x:c r="I1210" s="26" t="str">
        <x:v>ICN029</x:v>
      </x:c>
      <x:c r="J1210" s="26" t="str">
        <x:v>新一代信息基础设施产业链/中游/5G网络、数据中心与云边平台</x:v>
      </x:c>
      <x:c r="K1210" s="26" t="str">
        <x:v>有线传输工程师是通信行业中不可或缺的专业人才，他们专注于有线通信网络的设计、实施与优化工作，在保障数据高效稳定传输方面扮演着至关重要的角色。通过研究先进的传输技术和协议标准，他们能够为公司提供创新性的解决方案，不仅提升了…</x:v>
      </x:c>
      <x:c r="L1210" s="26" t="str">
        <x:v>1. 负责有线通信系统的架构设计及技术方案制定，确保满足客户对于带宽、延迟等方面的特定需求。 2. 实施并监控有线传输设备的安装调试过程，及时解决现场出现的技术难题，保证项目的顺利推进。 3. 对现有网络进行定期维护与升…</x:v>
      </x:c>
    </x:row>
    <x:row r="1211" ht="72" customHeight="1">
      <x:c r="A1211" s="25" t="n">
        <x:v>12103</x:v>
      </x:c>
      <x:c r="B1211" s="25" t="str">
        <x:v>IC-L3-1360</x:v>
      </x:c>
      <x:c r="C1211" s="25" t="str">
        <x:v>核心网工程师</x:v>
      </x:c>
      <x:c r="D1211" s="25" t="str">
        <x:v>2-02-10-01</x:v>
      </x:c>
      <x:c r="E1211" s="25" t="str">
        <x:v>通信工程技术人员</x:v>
      </x:c>
      <x:c r="F1211" s="28" t="n">
        <x:f>COUNTIF('岗位-产业节点关系'!$C$4:$C$709,B1211)</x:f>
        <x:v>1</x:v>
      </x:c>
      <x:c r="G1211" s="26" t="str">
        <x:f>IF(F1211=0,"未匹配（现有产业链范围未覆盖或证据不足）",IF(COUNTIFS('岗位-产业节点关系'!$C$4:$C$709,B1211,'岗位-产业节点关系'!$M$4:$M$709,"低")&gt;0,"已匹配，建议复核","已匹配"))</x:f>
        <x:v>已匹配，建议复核</x:v>
      </x:c>
      <x:c r="H1211" s="26" t="str">
        <x:v>低</x:v>
      </x:c>
      <x:c r="I1211" s="26" t="str">
        <x:v>ICN029</x:v>
      </x:c>
      <x:c r="J1211" s="26" t="str">
        <x:v>新一代信息基础设施产业链/中游/5G网络、数据中心与云边平台</x:v>
      </x:c>
      <x:c r="K1211" s="26" t="str">
        <x:v>核心网工程师是通信/电子行业中不可或缺的专业人才，负责构建和维护电信网络的核心部分，确保数据高效传输和用户服务的稳定运行。该职位通过设计、优化及维护核心网络架构，实现对大规模数据流量的有效管理，提高网络性能和安全性，对于…</x:v>
      </x:c>
      <x:c r="L1211" s="26" t="str">
        <x:v>1. 负责核心网络的设计、配置与调优工作，确保系统稳定运行并满足业务需求。 2. 进行网络故障排查，快速响应并解决出现的问题，保障服务连续性。 3. 参与新项目的技术评估，提出合理化建议以降低风险和成本。 4. 持续跟踪…</x:v>
      </x:c>
    </x:row>
    <x:row r="1212" ht="72" customHeight="1">
      <x:c r="A1212" s="25" t="n">
        <x:v>12104</x:v>
      </x:c>
      <x:c r="B1212" s="25" t="str">
        <x:v>IC-L3-1361</x:v>
      </x:c>
      <x:c r="C1212" s="25" t="str">
        <x:v>通信产品经理/产品工程师</x:v>
      </x:c>
      <x:c r="D1212" s="25" t="str">
        <x:v>2-02-10-01</x:v>
      </x:c>
      <x:c r="E1212" s="25" t="str">
        <x:v>通信工程技术人员</x:v>
      </x:c>
      <x:c r="F1212" s="28" t="n">
        <x:f>COUNTIF('岗位-产业节点关系'!$C$4:$C$709,B1212)</x:f>
        <x:v>1</x:v>
      </x:c>
      <x:c r="G1212" s="26" t="str">
        <x:f>IF(F1212=0,"未匹配（现有产业链范围未覆盖或证据不足）",IF(COUNTIFS('岗位-产业节点关系'!$C$4:$C$709,B1212,'岗位-产业节点关系'!$M$4:$M$709,"低")&gt;0,"已匹配，建议复核","已匹配"))</x:f>
        <x:v>已匹配</x:v>
      </x:c>
      <x:c r="H1212" s="26" t="str">
        <x:v>中</x:v>
      </x:c>
      <x:c r="I1212" s="26" t="str">
        <x:v>ICN028</x:v>
      </x:c>
      <x:c r="J1212" s="26" t="str">
        <x:v>新一代信息基础设施产业链/上游/通信与算力硬件设备</x:v>
      </x:c>
      <x:c r="K1212" s="26" t="str">
        <x:v>通信产品经理/产品工程师是通信/电子行业中至关重要的角色，他们不仅负责将最新的通信技术转化为实际可用的产品和服务，还承担着推动技术创新和市场发展的双重使命。作为连接技术研发与市场需求之间的桥梁，该职位对于促进企业技术进步…</x:v>
      </x:c>
      <x:c r="L1212" s="26" t="str">
        <x:v>1. 负责通信产品的整体规划与设计，明确产品功能需求，制定详细的产品规格书，确保产品符合行业标准及客户需求。 2. 组织并参与跨部门会议，协调各方资源，解决产品开发过程中遇到的技术难题，保证项目按时按质完成。 3. 定期…</x:v>
      </x:c>
    </x:row>
    <x:row r="1213" ht="72" customHeight="1">
      <x:c r="A1213" s="25" t="n">
        <x:v>12105</x:v>
      </x:c>
      <x:c r="B1213" s="25" t="str">
        <x:v>IC-L3-1362</x:v>
      </x:c>
      <x:c r="C1213" s="25" t="str">
        <x:v>通信测试工程师</x:v>
      </x:c>
      <x:c r="D1213" s="25" t="str">
        <x:v>2-02-10-01</x:v>
      </x:c>
      <x:c r="E1213" s="25" t="str">
        <x:v>通信工程技术人员</x:v>
      </x:c>
      <x:c r="F1213" s="28" t="n">
        <x:f>COUNTIF('岗位-产业节点关系'!$C$4:$C$709,B1213)</x:f>
        <x:v>1</x:v>
      </x:c>
      <x:c r="G1213" s="26" t="str">
        <x:f>IF(F1213=0,"未匹配（现有产业链范围未覆盖或证据不足）",IF(COUNTIFS('岗位-产业节点关系'!$C$4:$C$709,B1213,'岗位-产业节点关系'!$M$4:$M$709,"低")&gt;0,"已匹配，建议复核","已匹配"))</x:f>
        <x:v>已匹配</x:v>
      </x:c>
      <x:c r="H1213" s="26" t="str">
        <x:v>中</x:v>
      </x:c>
      <x:c r="I1213" s="26" t="str">
        <x:v>ICN028</x:v>
      </x:c>
      <x:c r="J1213" s="26" t="str">
        <x:v>新一代信息基础设施产业链/上游/通信与算力硬件设备</x:v>
      </x:c>
      <x:c r="K1213" s="26" t="str">
        <x:v>通信测试工程师是通信/电子行业中不可或缺的角色，负责确保通信系统的稳定性和可靠性，其工作直接影响到产品的性能和用户体验，对于推动技术创新和市场竞争力具有关键作用。该职位的核心目标在于通过设计并执行全面的测试计划，发现并解…</x:v>
      </x:c>
      <x:c r="L1213" s="26" t="str">
        <x:v>1. 负责制定详细的测试方案，包括功能测试、性能测试和兼容性测试，确保覆盖所有关键业务场景，以验证通信设备及系统的正确性和稳定性。 2. 使用自动化工具和脚本语言（如Python）编写测试脚本，提高测试效率，减少人为错误…</x:v>
      </x:c>
    </x:row>
    <x:row r="1214" ht="72" customHeight="1">
      <x:c r="A1214" s="25" t="n">
        <x:v>12106</x:v>
      </x:c>
      <x:c r="B1214" s="25" t="str">
        <x:v>IC-L3-1363</x:v>
      </x:c>
      <x:c r="C1214" s="25" t="str">
        <x:v>通信电源工程师</x:v>
      </x:c>
      <x:c r="D1214" s="25" t="str">
        <x:v>2-02-10-01</x:v>
      </x:c>
      <x:c r="E1214" s="25" t="str">
        <x:v>通信工程技术人员</x:v>
      </x:c>
      <x:c r="F1214" s="28" t="n">
        <x:f>COUNTIF('岗位-产业节点关系'!$C$4:$C$709,B1214)</x:f>
        <x:v>1</x:v>
      </x:c>
      <x:c r="G1214" s="26" t="str">
        <x:f>IF(F1214=0,"未匹配（现有产业链范围未覆盖或证据不足）",IF(COUNTIFS('岗位-产业节点关系'!$C$4:$C$709,B1214,'岗位-产业节点关系'!$M$4:$M$709,"低")&gt;0,"已匹配，建议复核","已匹配"))</x:f>
        <x:v>已匹配</x:v>
      </x:c>
      <x:c r="H1214" s="26" t="str">
        <x:v>中</x:v>
      </x:c>
      <x:c r="I1214" s="26" t="str">
        <x:v>ICN028</x:v>
      </x:c>
      <x:c r="J1214" s="26" t="str">
        <x:v>新一代信息基础设施产业链/上游/通信与算力硬件设备</x:v>
      </x:c>
      <x:c r="K1214" s="26" t="str">
        <x:v>通信电源工程师是通信行业中不可或缺的技术人才，主要负责确保通信设备稳定可靠运行的电力供应系统的设计、安装与维护工作。在现代通信网络中，通信电源系统的性能直接影响到整个网络的稳定性与安全性，因此该职位对于保障通信质量和服务…</x:v>
      </x:c>
      <x:c r="L1214" s="26" t="str">
        <x:v>1. 负责通信电源系统的需求分析、方案设计及技术评审，确保设计方案满足客户需求并符合行业标准。 2. 参与新产品的开发流程，从概念阶段到量产阶段全程跟踪，及时解决试制过程中出现的技术问题。 3. 对现有产品进行持续改进，…</x:v>
      </x:c>
    </x:row>
    <x:row r="1215" ht="72" customHeight="1">
      <x:c r="A1215" s="25" t="n">
        <x:v>12107</x:v>
      </x:c>
      <x:c r="B1215" s="25" t="str">
        <x:v>IC-L3-1364</x:v>
      </x:c>
      <x:c r="C1215" s="25" t="str">
        <x:v>通信网络工程师</x:v>
      </x:c>
      <x:c r="D1215" s="25" t="str">
        <x:v>2-02-10-01</x:v>
      </x:c>
      <x:c r="E1215" s="25" t="str">
        <x:v>通信工程技术人员</x:v>
      </x:c>
      <x:c r="F1215" s="28" t="n">
        <x:f>COUNTIF('岗位-产业节点关系'!$C$4:$C$709,B1215)</x:f>
        <x:v>1</x:v>
      </x:c>
      <x:c r="G1215" s="26" t="str">
        <x:f>IF(F1215=0,"未匹配（现有产业链范围未覆盖或证据不足）",IF(COUNTIFS('岗位-产业节点关系'!$C$4:$C$709,B1215,'岗位-产业节点关系'!$M$4:$M$709,"低")&gt;0,"已匹配，建议复核","已匹配"))</x:f>
        <x:v>已匹配</x:v>
      </x:c>
      <x:c r="H1215" s="26" t="str">
        <x:v>高</x:v>
      </x:c>
      <x:c r="I1215" s="26" t="str">
        <x:v>ICN029</x:v>
      </x:c>
      <x:c r="J1215" s="26" t="str">
        <x:v>新一代信息基础设施产业链/中游/5G网络、数据中心与云边平台</x:v>
      </x:c>
      <x:c r="K1215" s="26" t="str">
        <x:v>通信网络工程师是通信/电子行业中不可或缺的技术角色，负责确保通信系统的高效运行和持续优化。作为连接用户与服务提供商之间的桥梁，他们不仅需要具备深厚的技术背景，还应拥有良好的问题解决能力，以应对不断变化的市场需求和技术挑战…</x:v>
      </x:c>
      <x:c r="L1215" s="26" t="str">
        <x:v>1. 负责通信网络的设计、配置及优化工作，确保网络架构符合业务需求并达到最佳性能。 2. 定期监控网络状态，及时发现并解决潜在故障，保障系统稳定运行。 3. 参与新产品的测试与评估，提供技术支持，协助完成产品上市前的各项…</x:v>
      </x:c>
    </x:row>
    <x:row r="1216" ht="72" customHeight="1">
      <x:c r="A1216" s="25" t="n">
        <x:v>12108</x:v>
      </x:c>
      <x:c r="B1216" s="25" t="str">
        <x:v>IC-L3-1365</x:v>
      </x:c>
      <x:c r="C1216" s="25" t="str">
        <x:v>通信设备工程师</x:v>
      </x:c>
      <x:c r="D1216" s="25" t="str">
        <x:v>2-02-10-01</x:v>
      </x:c>
      <x:c r="E1216" s="25" t="str">
        <x:v>通信工程技术人员</x:v>
      </x:c>
      <x:c r="F1216" s="28" t="n">
        <x:f>COUNTIF('岗位-产业节点关系'!$C$4:$C$709,B1216)</x:f>
        <x:v>1</x:v>
      </x:c>
      <x:c r="G1216" s="26" t="str">
        <x:f>IF(F1216=0,"未匹配（现有产业链范围未覆盖或证据不足）",IF(COUNTIFS('岗位-产业节点关系'!$C$4:$C$709,B1216,'岗位-产业节点关系'!$M$4:$M$709,"低")&gt;0,"已匹配，建议复核","已匹配"))</x:f>
        <x:v>已匹配</x:v>
      </x:c>
      <x:c r="H1216" s="26" t="str">
        <x:v>中</x:v>
      </x:c>
      <x:c r="I1216" s="26" t="str">
        <x:v>ICN028</x:v>
      </x:c>
      <x:c r="J1216" s="26" t="str">
        <x:v>新一代信息基础设施产业链/上游/通信与算力硬件设备</x:v>
      </x:c>
      <x:c r="K1216" s="26" t="str">
        <x:v>通信设备工程师是通信/电子行业中不可或缺的专业人才，负责通信系统的设计、实施和维护工作。通过确保通信网络的高效运行，他们不仅促进了信息的快速传递，还为新技术的应用提供了坚实的基础设施支持。作为公司技术创新的核心力量之一，…</x:v>
      </x:c>
      <x:c r="L1216" s="26" t="str">
        <x:v>1. 负责通信设备的研发设计，从需求分析到方案制定，确保符合行业标准并满足用户需求。 2. 对现有通信网络进行定期检查与维护，及时发现并排除故障，保障网络服务的连续性和可靠性。 3. 参与新产品的测试验证过程，编写详细的…</x:v>
      </x:c>
    </x:row>
    <x:row r="1217" ht="72" customHeight="1">
      <x:c r="A1217" s="25" t="n">
        <x:v>12109</x:v>
      </x:c>
      <x:c r="B1217" s="25" t="str">
        <x:v>IC-L3-1366</x:v>
      </x:c>
      <x:c r="C1217" s="25" t="str">
        <x:v>通信销售工程师</x:v>
      </x:c>
      <x:c r="D1217" s="25" t="str">
        <x:v>4-04-05-01</x:v>
      </x:c>
      <x:c r="E1217" s="25" t="str">
        <x:v>计算机程序设计员</x:v>
      </x:c>
      <x:c r="F1217" s="28" t="n">
        <x:f>COUNTIF('岗位-产业节点关系'!$C$4:$C$709,B1217)</x:f>
        <x:v>1</x:v>
      </x:c>
      <x:c r="G1217" s="26" t="str">
        <x:f>IF(F1217=0,"未匹配（现有产业链范围未覆盖或证据不足）",IF(COUNTIFS('岗位-产业节点关系'!$C$4:$C$709,B1217,'岗位-产业节点关系'!$M$4:$M$709,"低")&gt;0,"已匹配，建议复核","已匹配"))</x:f>
        <x:v>已匹配</x:v>
      </x:c>
      <x:c r="H1217" s="26" t="str">
        <x:v>中</x:v>
      </x:c>
      <x:c r="I1217" s="26" t="str">
        <x:v>ICN030</x:v>
      </x:c>
      <x:c r="J1217" s="26" t="str">
        <x:v>新一代信息基础设施产业链/下游/云网算服务与行业数字化支撑</x:v>
      </x:c>
      <x:c r="K1217" s="26" t="str">
        <x:v>通信销售工程师是通信/电子行业中至关重要的角色，他们不仅连接着公司与客户之间的桥梁，还负责推动先进的通信技术产品和服务的市场拓展。作为技术与市场的纽带，这一职位对于促进技术创新成果的商业化转化具有不可替代的作用。 通信销…</x:v>
      </x:c>
      <x:c r="L1217" s="26" t="str">
        <x:v>1. 负责区域内通信设备及解决方案的推广与销售，完成既定的销售指标。 2. 定期拜访潜在客户，了解其业务需求和技术要求，提供专业的咨询建议及售前支持。 3. 与内部跨职能团队密切配合，确保从技术选型到交付实施的全过程顺利…</x:v>
      </x:c>
    </x:row>
    <x:row r="1218" ht="72" customHeight="1">
      <x:c r="A1218" s="25" t="n">
        <x:v>12110</x:v>
      </x:c>
      <x:c r="B1218" s="25" t="str">
        <x:v>IC-L3-1367</x:v>
      </x:c>
      <x:c r="C1218" s="25" t="str">
        <x:v>通信项目管理</x:v>
      </x:c>
      <x:c r="D1218" s="25" t="str">
        <x:v>2-02-10-01</x:v>
      </x:c>
      <x:c r="E1218" s="25" t="str">
        <x:v>通信工程技术人员</x:v>
      </x:c>
      <x:c r="F1218" s="28" t="n">
        <x:f>COUNTIF('岗位-产业节点关系'!$C$4:$C$709,B1218)</x:f>
        <x:v>1</x:v>
      </x:c>
      <x:c r="G1218" s="26" t="str">
        <x:f>IF(F1218=0,"未匹配（现有产业链范围未覆盖或证据不足）",IF(COUNTIFS('岗位-产业节点关系'!$C$4:$C$709,B1218,'岗位-产业节点关系'!$M$4:$M$709,"低")&gt;0,"已匹配，建议复核","已匹配"))</x:f>
        <x:v>已匹配</x:v>
      </x:c>
      <x:c r="H1218" s="26" t="str">
        <x:v>中</x:v>
      </x:c>
      <x:c r="I1218" s="26" t="str">
        <x:v>ICN029</x:v>
      </x:c>
      <x:c r="J1218" s="26" t="str">
        <x:v>新一代信息基础设施产业链/中游/5G网络、数据中心与云边平台</x:v>
      </x:c>
      <x:c r="K1218" s="26" t="str">
        <x:v>通信项目管理是通信/电子行业中不可或缺的角色，负责确保通信项目的顺利实施和完成。作为项目管理的专业人士，他们不仅需要具备扎实的技术背景，还需要拥有良好的组织协调能力和项目管理知识，以确保项目按时按质完成，满足客户需求。 …</x:v>
      </x:c>
      <x:c r="L1218" s="26" t="str">
        <x:v>1. 负责通信项目的整体规划，包括但不限于制定详细的项目计划、预算及时间表，确保项目目标清晰并得到所有相关方的认可。 2. 组织并领导项目团队，协调内部资源与外部合作伙伴，确保项目按计划高效执行，及时解决项目中遇到的问题…</x:v>
      </x:c>
    </x:row>
    <x:row r="1219" ht="72" customHeight="1">
      <x:c r="A1219" s="25" t="n">
        <x:v>12111</x:v>
      </x:c>
      <x:c r="B1219" s="25" t="str">
        <x:v>IC-L3-1368</x:v>
      </x:c>
      <x:c r="C1219" s="25" t="str">
        <x:v>旅游顾问</x:v>
      </x:c>
      <x:c r="D1219" s="25" t="str">
        <x:v>4-07-01-01</x:v>
      </x:c>
      <x:c r="E1219" s="25" t="str">
        <x:v>租赁业务员</x:v>
      </x:c>
      <x:c r="F1219" s="28" t="n">
        <x:f>COUNTIF('岗位-产业节点关系'!$C$4:$C$709,B1219)</x:f>
        <x:v>0</x:v>
      </x:c>
      <x:c r="G1219" s="26" t="str">
        <x:f>IF(F1219=0,"未匹配（现有产业链范围未覆盖或证据不足）",IF(COUNTIFS('岗位-产业节点关系'!$C$4:$C$709,B1219,'岗位-产业节点关系'!$M$4:$M$709,"低")&gt;0,"已匹配，建议复核","已匹配"))</x:f>
        <x:v>未匹配（现有产业链范围未覆盖或证据不足）</x:v>
      </x:c>
      <x:c r="H1219" s="26" t="str">
        <x:v>-</x:v>
      </x:c>
      <x:c r="I1219" s="26" t="str"/>
      <x:c r="J1219" s="26" t="str"/>
      <x:c r="K1219" s="26" t="str">
        <x:v>旅游顾问是酒店与旅游业中不可或缺的专业角色，他们通过提供个性化旅行建议和服务，帮助客户规划完美的旅行体验。作为连接游客与目的地之间的桥梁，旅游顾问不仅提升了客户满意度，还促进了旅游产品的销售，增强了品牌忠诚度，对于旅行社…</x:v>
      </x:c>
      <x:c r="L1219" s="26" t="str">
        <x:v>1. 了解客户需求，根据客户的兴趣、预算及时间安排，为其量身定制旅游计划，确保每位客户都能获得满意的旅行体验。 2. 熟悉国内外热门旅游线路及景点特色，及时更新旅游资讯，向客户提供最新、最准确的信息，提高客户预订率。 3…</x:v>
      </x:c>
    </x:row>
    <x:row r="1220" ht="72" customHeight="1">
      <x:c r="A1220" s="25" t="n">
        <x:v>12112</x:v>
      </x:c>
      <x:c r="B1220" s="25" t="str">
        <x:v>IC-L3-1369</x:v>
      </x:c>
      <x:c r="C1220" s="25" t="str">
        <x:v>机场代表</x:v>
      </x:c>
      <x:c r="D1220" s="25" t="str">
        <x:v>4-07-01-01</x:v>
      </x:c>
      <x:c r="E1220" s="25" t="str">
        <x:v>租赁业务员</x:v>
      </x:c>
      <x:c r="F1220" s="28" t="n">
        <x:f>COUNTIF('岗位-产业节点关系'!$C$4:$C$709,B1220)</x:f>
        <x:v>1</x:v>
      </x:c>
      <x:c r="G1220" s="26" t="str">
        <x:f>IF(F1220=0,"未匹配（现有产业链范围未覆盖或证据不足）",IF(COUNTIFS('岗位-产业节点关系'!$C$4:$C$709,B1220,'岗位-产业节点关系'!$M$4:$M$709,"低")&gt;0,"已匹配，建议复核","已匹配"))</x:f>
        <x:v>已匹配，建议复核</x:v>
      </x:c>
      <x:c r="H1220" s="26" t="str">
        <x:v>低</x:v>
      </x:c>
      <x:c r="I1220" s="26" t="str">
        <x:v>ICN039</x:v>
      </x:c>
      <x:c r="J1220" s="26" t="str">
        <x:v>空天装备与低空经济产业链/下游/低空运营、空域服务与场景应用</x:v>
      </x:c>
      <x:c r="K1220" s="26" t="str">
        <x:v>机场代表是酒店与旅游业中不可或缺的角色之一，负责在机场迎接客户，确保他们的旅行体验从一开始就充满愉悦。作为公司形象的第一窗口，机场代表不仅代表着公司的专业形象，还直接影响着客户对品牌的初步印象和后续合作意愿。通过高效的服…</x:v>
      </x:c>
      <x:c r="L1220" s="26" t="str">
        <x:v>1. 在机场接待来自不同国家和地区的客人，热情地介绍公司服务项目及特色，确保每位顾客都能获得个性化的欢迎体验。 2. 及时响应旅客的需求和疑问，协助解决行李托运、航班延误等问题，保障旅客顺利到达目的地或入住酒店。 3. …</x:v>
      </x:c>
    </x:row>
    <x:row r="1221" ht="72" customHeight="1">
      <x:c r="A1221" s="25" t="n">
        <x:v>12113</x:v>
      </x:c>
      <x:c r="B1221" s="25" t="str">
        <x:v>IC-L3-1370</x:v>
      </x:c>
      <x:c r="C1221" s="25" t="str">
        <x:v>研学项目经理/主管</x:v>
      </x:c>
      <x:c r="D1221" s="25" t="str">
        <x:v>4-07-01-01</x:v>
      </x:c>
      <x:c r="E1221" s="25" t="str">
        <x:v>租赁业务员</x:v>
      </x:c>
      <x:c r="F1221" s="28" t="n">
        <x:f>COUNTIF('岗位-产业节点关系'!$C$4:$C$709,B1221)</x:f>
        <x:v>0</x:v>
      </x:c>
      <x:c r="G1221" s="26" t="str">
        <x:f>IF(F1221=0,"未匹配（现有产业链范围未覆盖或证据不足）",IF(COUNTIFS('岗位-产业节点关系'!$C$4:$C$709,B1221,'岗位-产业节点关系'!$M$4:$M$709,"低")&gt;0,"已匹配，建议复核","已匹配"))</x:f>
        <x:v>未匹配（现有产业链范围未覆盖或证据不足）</x:v>
      </x:c>
      <x:c r="H1221" s="26" t="str">
        <x:v>-</x:v>
      </x:c>
      <x:c r="I1221" s="26" t="str"/>
      <x:c r="J1221" s="26" t="str"/>
      <x:c r="K1221" s="26" t="str">
        <x:v>研学项目经理/主管是酒店与旅游业中不可或缺的角色，主要负责研学旅行项目的策划、执行与管理，确保项目顺利进行并达到预期效果。该职位不仅能够提升客户体验，还能够通过研学活动促进文化传承与教育普及，增强企业社会责任感，为企业树…</x:v>
      </x:c>
      <x:c r="L1221" s="26" t="str">
        <x:v>1. 负责研学旅行项目的整体规划与设计，包括但不限于课程设置、路线安排、安全保障等，确保项目符合教育目的及客户需求。 2. 组织并参与研学活动的前期调研工作，收集目标群体的意见与建议，分析市场趋势，以优化产品内容和服务质…</x:v>
      </x:c>
    </x:row>
    <x:row r="1222" ht="72" customHeight="1">
      <x:c r="A1222" s="25" t="n">
        <x:v>12114</x:v>
      </x:c>
      <x:c r="B1222" s="25" t="str">
        <x:v>IC-L3-1371</x:v>
      </x:c>
      <x:c r="C1222" s="25" t="str">
        <x:v>签证专员</x:v>
      </x:c>
      <x:c r="D1222" s="25" t="str">
        <x:v>2-06-07-12</x:v>
      </x:c>
      <x:c r="E1222" s="25" t="str">
        <x:v>报关人员</x:v>
      </x:c>
      <x:c r="F1222" s="28" t="n">
        <x:f>COUNTIF('岗位-产业节点关系'!$C$4:$C$709,B1222)</x:f>
        <x:v>0</x:v>
      </x:c>
      <x:c r="G1222" s="26" t="str">
        <x:f>IF(F1222=0,"未匹配（现有产业链范围未覆盖或证据不足）",IF(COUNTIFS('岗位-产业节点关系'!$C$4:$C$709,B1222,'岗位-产业节点关系'!$M$4:$M$709,"低")&gt;0,"已匹配，建议复核","已匹配"))</x:f>
        <x:v>未匹配（现有产业链范围未覆盖或证据不足）</x:v>
      </x:c>
      <x:c r="H1222" s="26" t="str">
        <x:v>-</x:v>
      </x:c>
      <x:c r="I1222" s="26" t="str"/>
      <x:c r="J1222" s="26" t="str"/>
      <x:c r="K1222" s="26" t="str">
        <x:v>签证专员是酒店与旅游业中不可或缺的专业角色，负责处理客户出国旅行所需的各类签证事务，确保客户的出行计划顺利进行。通过高效准确地完成签证申请流程，该职位不仅能够提升客户体验，还直接关系到旅行社或酒店的品牌形象和服务质量。签…</x:v>
      </x:c>
      <x:c r="L1222" s="26" t="str">
        <x:v>1. 为客户提供专业的签证咨询服务，包括但不限于签证类型选择、所需材料清单提供以及申请流程指导，确保客户充分了解并准备齐全所有必要文件。 2. 审核客户提交的签证申请材料，检查其完整性和准确性，及时发现并纠正问题，以避免…</x:v>
      </x:c>
    </x:row>
    <x:row r="1223" ht="72" customHeight="1">
      <x:c r="A1223" s="25" t="n">
        <x:v>12115</x:v>
      </x:c>
      <x:c r="B1223" s="25" t="str">
        <x:v>IC-L3-1372</x:v>
      </x:c>
      <x:c r="C1223" s="25" t="str">
        <x:v>行程管理/计调</x:v>
      </x:c>
      <x:c r="D1223" s="25" t="str">
        <x:v>4-07-01-01</x:v>
      </x:c>
      <x:c r="E1223" s="25" t="str">
        <x:v>租赁业务员</x:v>
      </x:c>
      <x:c r="F1223" s="28" t="n">
        <x:f>COUNTIF('岗位-产业节点关系'!$C$4:$C$709,B1223)</x:f>
        <x:v>0</x:v>
      </x:c>
      <x:c r="G1223" s="26" t="str">
        <x:f>IF(F1223=0,"未匹配（现有产业链范围未覆盖或证据不足）",IF(COUNTIFS('岗位-产业节点关系'!$C$4:$C$709,B1223,'岗位-产业节点关系'!$M$4:$M$709,"低")&gt;0,"已匹配，建议复核","已匹配"))</x:f>
        <x:v>未匹配（现有产业链范围未覆盖或证据不足）</x:v>
      </x:c>
      <x:c r="H1223" s="26" t="str">
        <x:v>-</x:v>
      </x:c>
      <x:c r="I1223" s="26" t="str"/>
      <x:c r="J1223" s="26" t="str"/>
      <x:c r="K1223" s="26" t="str">
        <x:v>行程管理/计调是旅游行业中不可或缺的角色之一，主要负责旅游产品的策划与执行，确保每位客户都能享受到高质量的服务体验。该职位不仅需要具备出色的组织协调能力，还需要有敏锐的市场洞察力，能够根据市场需求变化快速调整产品策略，以…</x:v>
      </x:c>
      <x:c r="L1223" s="26" t="str">
        <x:v>1. 负责设计并实施各类旅游线路，确保行程安排科学合理，符合客户需求。 2. 与供应商建立良好关系，谈判价格，签订合作协议，保证服务质量和成本效益。 3. 监控整个旅行过程中的各项事务，及时应对突发事件，确保游客安全及行…</x:v>
      </x:c>
    </x:row>
    <x:row r="1224" ht="72" customHeight="1">
      <x:c r="A1224" s="25" t="n">
        <x:v>12116</x:v>
      </x:c>
      <x:c r="B1224" s="25" t="str">
        <x:v>IC-L3-1373</x:v>
      </x:c>
      <x:c r="C1224" s="25" t="str">
        <x:v>健身房服务</x:v>
      </x:c>
      <x:c r="D1224" s="25" t="str">
        <x:v>4-07-02-01</x:v>
      </x:c>
      <x:c r="E1224" s="25" t="str">
        <x:v>风险管理师</x:v>
      </x:c>
      <x:c r="F1224" s="28" t="n">
        <x:f>COUNTIF('岗位-产业节点关系'!$C$4:$C$709,B1224)</x:f>
        <x:v>0</x:v>
      </x:c>
      <x:c r="G1224" s="26" t="str">
        <x:f>IF(F1224=0,"未匹配（现有产业链范围未覆盖或证据不足）",IF(COUNTIFS('岗位-产业节点关系'!$C$4:$C$709,B1224,'岗位-产业节点关系'!$M$4:$M$709,"低")&gt;0,"已匹配，建议复核","已匹配"))</x:f>
        <x:v>未匹配（现有产业链范围未覆盖或证据不足）</x:v>
      </x:c>
      <x:c r="H1224" s="26" t="str">
        <x:v>-</x:v>
      </x:c>
      <x:c r="I1224" s="26" t="str"/>
      <x:c r="J1224" s="26" t="str"/>
      <x:c r="K1224" s="26" t="str">
        <x:v>健身房服务员在酒店行业中扮演着重要的角色，是提升客人体验的关键因素之一。随着健康意识的提高，越来越多的旅行者倾向于选择提供高质量健身设施的酒店，因此这一职位的重要性日益凸显。 健身房服务员的核心目标是确保所有健身器材的清…</x:v>
      </x:c>
      <x:c r="L1224" s="26" t="str">
        <x:v>1. 定期检查并维护健身房内所有设备，确保其处于最佳工作状态，及时报告任何故障或损坏情况。 2. 保持健身房区域的整洁有序，包括更衣室、淋浴间等附属设施，为客人提供干净卫生的运动空间。 3. 为入住酒店的客人提供专业的健…</x:v>
      </x:c>
    </x:row>
    <x:row r="1225" ht="72" customHeight="1">
      <x:c r="A1225" s="25" t="n">
        <x:v>12117</x:v>
      </x:c>
      <x:c r="B1225" s="25" t="str">
        <x:v>IC-L3-1374</x:v>
      </x:c>
      <x:c r="C1225" s="25" t="str">
        <x:v>宴会管理</x:v>
      </x:c>
      <x:c r="D1225" s="25" t="str">
        <x:v>4-07-02-01</x:v>
      </x:c>
      <x:c r="E1225" s="25" t="str">
        <x:v>风险管理师</x:v>
      </x:c>
      <x:c r="F1225" s="28" t="n">
        <x:f>COUNTIF('岗位-产业节点关系'!$C$4:$C$709,B1225)</x:f>
        <x:v>0</x:v>
      </x:c>
      <x:c r="G1225" s="26" t="str">
        <x:f>IF(F1225=0,"未匹配（现有产业链范围未覆盖或证据不足）",IF(COUNTIFS('岗位-产业节点关系'!$C$4:$C$709,B1225,'岗位-产业节点关系'!$M$4:$M$709,"低")&gt;0,"已匹配，建议复核","已匹配"))</x:f>
        <x:v>未匹配（现有产业链范围未覆盖或证据不足）</x:v>
      </x:c>
      <x:c r="H1225" s="26" t="str">
        <x:v>-</x:v>
      </x:c>
      <x:c r="I1225" s="26" t="str"/>
      <x:c r="J1225" s="26" t="str"/>
      <x:c r="K1225" s="26" t="str">
        <x:v>宴会管理人员是酒店运营中不可或缺的角色之一，他们负责确保各类宴会活动的顺利进行，从前期策划到现场执行，每一个环节都需要其精心安排与协调。通过高效地组织和管理宴会活动，不仅能够提升客户满意度，还能有效提高酒店的品牌形象和市…</x:v>
      </x:c>
      <x:c r="L1225" s="26" t="str">
        <x:v>1. 负责与客户沟通了解需求，制定详细的宴会方案并监督实施，确保活动按计划高质量完成。 2. 协调酒店内部各部门资源（如餐饮、客房、安保等），保证宴会现场服务的专业性和及时性。 3. 对宴会场地布置、设备租赁、供应商选择…</x:v>
      </x:c>
    </x:row>
    <x:row r="1226" ht="72" customHeight="1">
      <x:c r="A1226" s="25" t="n">
        <x:v>12118</x:v>
      </x:c>
      <x:c r="B1226" s="25" t="str">
        <x:v>IC-L3-1375</x:v>
      </x:c>
      <x:c r="C1226" s="25" t="str">
        <x:v>宾客服务经理</x:v>
      </x:c>
      <x:c r="D1226" s="25" t="str">
        <x:v>4-04-05-01</x:v>
      </x:c>
      <x:c r="E1226" s="25" t="str">
        <x:v>计算机程序设计员</x:v>
      </x:c>
      <x:c r="F1226" s="28" t="n">
        <x:f>COUNTIF('岗位-产业节点关系'!$C$4:$C$709,B1226)</x:f>
        <x:v>0</x:v>
      </x:c>
      <x:c r="G1226" s="26" t="str">
        <x:f>IF(F1226=0,"未匹配（现有产业链范围未覆盖或证据不足）",IF(COUNTIFS('岗位-产业节点关系'!$C$4:$C$709,B1226,'岗位-产业节点关系'!$M$4:$M$709,"低")&gt;0,"已匹配，建议复核","已匹配"))</x:f>
        <x:v>未匹配（现有产业链范围未覆盖或证据不足）</x:v>
      </x:c>
      <x:c r="H1226" s="26" t="str">
        <x:v>-</x:v>
      </x:c>
      <x:c r="I1226" s="26" t="str"/>
      <x:c r="J1226" s="26" t="str"/>
      <x:c r="K1226" s="26" t="str">
        <x:v>宾客服务经理是酒店业中至关重要的职位之一，负责确保每位客人都能享受到优质的服务体验。作为酒店与客户之间的桥梁，宾客服务经理不仅代表着酒店的形象，更是解决客人问题、提升客户满意度的关键人物。通过高效管理和协调前厅部各项业务…</x:v>
      </x:c>
      <x:c r="L1226" s="26" t="str">
        <x:v>1. 负责监督并指导前台接待员及其他相关人员，确保所有宾客从入住到退房期间都能获得高效而友好的服务。 2. 定期组织服务质量评估会议，收集客户意见，分析服务中存在的问题，并提出改进措施。 3. 制定并执行员工培训计划，包…</x:v>
      </x:c>
    </x:row>
    <x:row r="1227" ht="72" customHeight="1">
      <x:c r="A1227" s="25" t="n">
        <x:v>12119</x:v>
      </x:c>
      <x:c r="B1227" s="25" t="str">
        <x:v>IC-L3-1376</x:v>
      </x:c>
      <x:c r="C1227" s="25" t="str">
        <x:v>旅游顾问</x:v>
      </x:c>
      <x:c r="D1227" s="25" t="str">
        <x:v>4-07-01-01</x:v>
      </x:c>
      <x:c r="E1227" s="25" t="str">
        <x:v>租赁业务员</x:v>
      </x:c>
      <x:c r="F1227" s="28" t="n">
        <x:f>COUNTIF('岗位-产业节点关系'!$C$4:$C$709,B1227)</x:f>
        <x:v>0</x:v>
      </x:c>
      <x:c r="G1227" s="26" t="str">
        <x:f>IF(F1227=0,"未匹配（现有产业链范围未覆盖或证据不足）",IF(COUNTIFS('岗位-产业节点关系'!$C$4:$C$709,B1227,'岗位-产业节点关系'!$M$4:$M$709,"低")&gt;0,"已匹配，建议复核","已匹配"))</x:f>
        <x:v>未匹配（现有产业链范围未覆盖或证据不足）</x:v>
      </x:c>
      <x:c r="H1227" s="26" t="str">
        <x:v>-</x:v>
      </x:c>
      <x:c r="I1227" s="26" t="str"/>
      <x:c r="J1227" s="26" t="str"/>
      <x:c r="K1227" s="26" t="str">
        <x:v>旅游顾问是酒店行业中不可或缺的角色之一，他们通过提供专业的旅行建议和服务，帮助客户规划满意的旅程，提升客户的旅行体验，从而增强酒店的品牌形象和客户忠诚度。该职位的核心目标在于深入了解客户需求，结合酒店资源和目的地特色，为…</x:v>
      </x:c>
      <x:c r="L1227" s="26" t="str">
        <x:v>1. 通过面对面咨询、电话或在线方式与客户沟通，了解其旅行偏好、预算限制及特殊需求，提供个性化旅行建议。 2. 根据客户需求设计合理的行程安排，包括但不限于交通、住宿、餐饮、景点游览等方面，确保行程顺畅且符合预期。 3.…</x:v>
      </x:c>
    </x:row>
    <x:row r="1228" ht="72" customHeight="1">
      <x:c r="A1228" s="25" t="n">
        <x:v>12120</x:v>
      </x:c>
      <x:c r="B1228" s="25" t="str">
        <x:v>IC-L3-1377</x:v>
      </x:c>
      <x:c r="C1228" s="25" t="str">
        <x:v>楼面经理</x:v>
      </x:c>
      <x:c r="D1228" s="25" t="str">
        <x:v>4-07-02-01</x:v>
      </x:c>
      <x:c r="E1228" s="25" t="str">
        <x:v>风险管理师</x:v>
      </x:c>
      <x:c r="F1228" s="28" t="n">
        <x:f>COUNTIF('岗位-产业节点关系'!$C$4:$C$709,B1228)</x:f>
        <x:v>0</x:v>
      </x:c>
      <x:c r="G1228" s="26" t="str">
        <x:f>IF(F1228=0,"未匹配（现有产业链范围未覆盖或证据不足）",IF(COUNTIFS('岗位-产业节点关系'!$C$4:$C$709,B1228,'岗位-产业节点关系'!$M$4:$M$709,"低")&gt;0,"已匹配，建议复核","已匹配"))</x:f>
        <x:v>未匹配（现有产业链范围未覆盖或证据不足）</x:v>
      </x:c>
      <x:c r="H1228" s="26" t="str">
        <x:v>-</x:v>
      </x:c>
      <x:c r="I1228" s="26" t="str"/>
      <x:c r="J1228" s="26" t="str"/>
      <x:c r="K1228" s="26" t="str">
        <x:v>楼面经理是酒店业中不可或缺的关键角色，负责确保酒店楼层的高效运作和服务质量。作为连接前台与客房服务的重要桥梁，楼面经理不仅直接关系到客户体验的提升，也是酒店品牌形象塑造的重要一环。 该职位的核心目标在于通过优化楼层管理流…</x:v>
      </x:c>
      <x:c r="L1228" s="26" t="str">
        <x:v>1. 负责监督并指导楼层服务员完成日常清洁保养任务，确保所有客房均符合酒店制定的服务标准。 2. 定期巡查各楼层，检查设施设备运行状态，发现故障问题时迅速安排维修，保障客人入住安全舒适。 3. 处理客人投诉和特殊需求，提…</x:v>
      </x:c>
    </x:row>
    <x:row r="1229" ht="72" customHeight="1">
      <x:c r="A1229" s="25" t="n">
        <x:v>12121</x:v>
      </x:c>
      <x:c r="B1229" s="25" t="str">
        <x:v>IC-L3-1378</x:v>
      </x:c>
      <x:c r="C1229" s="25" t="str">
        <x:v>管家部经理/主管</x:v>
      </x:c>
      <x:c r="D1229" s="25" t="str">
        <x:v>4-07-02-01</x:v>
      </x:c>
      <x:c r="E1229" s="25" t="str">
        <x:v>风险管理师</x:v>
      </x:c>
      <x:c r="F1229" s="28" t="n">
        <x:f>COUNTIF('岗位-产业节点关系'!$C$4:$C$709,B1229)</x:f>
        <x:v>0</x:v>
      </x:c>
      <x:c r="G1229" s="26" t="str">
        <x:f>IF(F1229=0,"未匹配（现有产业链范围未覆盖或证据不足）",IF(COUNTIFS('岗位-产业节点关系'!$C$4:$C$709,B1229,'岗位-产业节点关系'!$M$4:$M$709,"低")&gt;0,"已匹配，建议复核","已匹配"))</x:f>
        <x:v>未匹配（现有产业链范围未覆盖或证据不足）</x:v>
      </x:c>
      <x:c r="H1229" s="26" t="str">
        <x:v>-</x:v>
      </x:c>
      <x:c r="I1229" s="26" t="str"/>
      <x:c r="J1229" s="26" t="str"/>
      <x:c r="K1229" s="26" t="str">
        <x:v>管家部经理/主管是酒店运营中不可或缺的关键角色，负责确保客房服务的高标准与高效运作，直接影响着宾客的入住体验及酒店的品牌形象。作为部门负责人，其核心目标在于通过优化服务流程、提高员工技能水平和服务质量，实现客户满意度的最…</x:v>
      </x:c>
      <x:c r="L1229" s="26" t="str">
        <x:v>1. 负责制定并实施管家部工作计划，包括但不限于清洁保养、布草管理、物品采购等，确保各项服务达到既定标准。 2. 监督日常运营，检查客房清洁状况和服务质量，及时解决出现的问题，保证客人满意。 3. 组织开展员工培训，提升…</x:v>
      </x:c>
    </x:row>
    <x:row r="1230" ht="72" customHeight="1">
      <x:c r="A1230" s="25" t="n">
        <x:v>12122</x:v>
      </x:c>
      <x:c r="B1230" s="25" t="str">
        <x:v>IC-L3-1379</x:v>
      </x:c>
      <x:c r="C1230" s="25" t="str">
        <x:v>酒店/宾馆经理</x:v>
      </x:c>
      <x:c r="D1230" s="25" t="str">
        <x:v>4-07-02-01</x:v>
      </x:c>
      <x:c r="E1230" s="25" t="str">
        <x:v>风险管理师</x:v>
      </x:c>
      <x:c r="F1230" s="28" t="n">
        <x:f>COUNTIF('岗位-产业节点关系'!$C$4:$C$709,B1230)</x:f>
        <x:v>0</x:v>
      </x:c>
      <x:c r="G1230" s="26" t="str">
        <x:f>IF(F1230=0,"未匹配（现有产业链范围未覆盖或证据不足）",IF(COUNTIFS('岗位-产业节点关系'!$C$4:$C$709,B1230,'岗位-产业节点关系'!$M$4:$M$709,"低")&gt;0,"已匹配，建议复核","已匹配"))</x:f>
        <x:v>未匹配（现有产业链范围未覆盖或证据不足）</x:v>
      </x:c>
      <x:c r="H1230" s="26" t="str">
        <x:v>-</x:v>
      </x:c>
      <x:c r="I1230" s="26" t="str"/>
      <x:c r="J1230" s="26" t="str"/>
      <x:c r="K1230" s="26" t="str">
        <x:v>酒店/宾馆经理是酒店业中不可或缺的关键角色，负责确保酒店运营顺畅，提升客户满意度，同时维护酒店的品牌形象和市场竞争力。作为管理层的核心成员，该职位的核心目标在于通过优化服务流程、提高服务质量以及控制成本等手段，实现酒店利…</x:v>
      </x:c>
      <x:c r="L1230" s="26" t="str">
        <x:v>1. 制定并执行酒店的经营策略，包括但不限于客房管理、餐饮服务、市场营销等方面，以达成年度财务指标及顾客满意度目标。 2. 监督日常运营活动，确保所有操作符合行业标准和服务规范，及时处理客人投诉，维护良好的公众形象。 3…</x:v>
      </x:c>
    </x:row>
    <x:row r="1231" ht="72" customHeight="1">
      <x:c r="A1231" s="25" t="n">
        <x:v>12123</x:v>
      </x:c>
      <x:c r="B1231" s="25" t="str">
        <x:v>IC-L3-1380</x:v>
      </x:c>
      <x:c r="C1231" s="25" t="str">
        <x:v>酒店前台</x:v>
      </x:c>
      <x:c r="D1231" s="25" t="str">
        <x:v>4-07-02-01</x:v>
      </x:c>
      <x:c r="E1231" s="25" t="str">
        <x:v>风险管理师</x:v>
      </x:c>
      <x:c r="F1231" s="28" t="n">
        <x:f>COUNTIF('岗位-产业节点关系'!$C$4:$C$709,B1231)</x:f>
        <x:v>0</x:v>
      </x:c>
      <x:c r="G1231" s="26" t="str">
        <x:f>IF(F1231=0,"未匹配（现有产业链范围未覆盖或证据不足）",IF(COUNTIFS('岗位-产业节点关系'!$C$4:$C$709,B1231,'岗位-产业节点关系'!$M$4:$M$709,"低")&gt;0,"已匹配，建议复核","已匹配"))</x:f>
        <x:v>未匹配（现有产业链范围未覆盖或证据不足）</x:v>
      </x:c>
      <x:c r="H1231" s="26" t="str">
        <x:v>-</x:v>
      </x:c>
      <x:c r="I1231" s="26" t="str"/>
      <x:c r="J1231" s="26" t="str"/>
      <x:c r="K1231" s="26" t="str">
        <x:v>酒店前台是酒店运营中的关键岗位，负责与顾客的第一接触点，是展示酒店形象和服务质量的重要窗口。前台人员通过高效、热情的服务，不仅能够提升顾客的入住体验，还能有效增强酒店的品牌影响力。 作为酒店前台，核心目标在于确保每位客人…</x:v>
      </x:c>
      <x:c r="L1231" s="26" t="str">
        <x:v>1. 为到达酒店的客人办理快速准确的入住手续，确保每位客人获得个性化欢迎服务，提升第一印象。 2. 在客人入住期间，积极解答关于酒店设施、周边景点及交通信息的询问，提供实用建议，帮助客人更好地享受旅程。 3. 协调处理客…</x:v>
      </x:c>
    </x:row>
    <x:row r="1232" ht="72" customHeight="1">
      <x:c r="A1232" s="25" t="n">
        <x:v>12124</x:v>
      </x:c>
      <x:c r="B1232" s="25" t="str">
        <x:v>IC-L3-1381</x:v>
      </x:c>
      <x:c r="C1232" s="25" t="str">
        <x:v>酒店大堂经理</x:v>
      </x:c>
      <x:c r="D1232" s="25" t="str">
        <x:v>4-07-02-01</x:v>
      </x:c>
      <x:c r="E1232" s="25" t="str">
        <x:v>风险管理师</x:v>
      </x:c>
      <x:c r="F1232" s="28" t="n">
        <x:f>COUNTIF('岗位-产业节点关系'!$C$4:$C$709,B1232)</x:f>
        <x:v>0</x:v>
      </x:c>
      <x:c r="G1232" s="26" t="str">
        <x:f>IF(F1232=0,"未匹配（现有产业链范围未覆盖或证据不足）",IF(COUNTIFS('岗位-产业节点关系'!$C$4:$C$709,B1232,'岗位-产业节点关系'!$M$4:$M$709,"低")&gt;0,"已匹配，建议复核","已匹配"))</x:f>
        <x:v>未匹配（现有产业链范围未覆盖或证据不足）</x:v>
      </x:c>
      <x:c r="H1232" s="26" t="str">
        <x:v>-</x:v>
      </x:c>
      <x:c r="I1232" s="26" t="str"/>
      <x:c r="J1232" s="26" t="str"/>
      <x:c r="K1232" s="26" t="str">
        <x:v>酒店大堂经理是酒店运营中不可或缺的关键角色，他们不仅代表着酒店的第一印象，还负责确保宾客从踏入酒店到离开期间的所有体验都能达到最高标准。作为酒店与客户之间的桥梁，大堂经理对于塑造品牌形象、提升顾客满意度以及促进重复消费起…</x:v>
      </x:c>
      <x:c r="L1232" s="26" t="str">
        <x:v>1. 负责协调前厅部日常运作，确保所有服务符合酒店标准，提升顾客满意度。 2. 处理宾客投诉与意见，迅速有效地解决问题，维护酒店良好形象。 3. 监督员工的工作表现，定期进行绩效评估并给予反馈，激励团队士气。 4. 协助…</x:v>
      </x:c>
    </x:row>
    <x:row r="1233" ht="72" customHeight="1">
      <x:c r="A1233" s="25" t="n">
        <x:v>12125</x:v>
      </x:c>
      <x:c r="B1233" s="25" t="str">
        <x:v>IC-L3-1382</x:v>
      </x:c>
      <x:c r="C1233" s="25" t="str">
        <x:v>预订主管</x:v>
      </x:c>
      <x:c r="D1233" s="25" t="str">
        <x:v>4-07-02-01</x:v>
      </x:c>
      <x:c r="E1233" s="25" t="str">
        <x:v>风险管理师</x:v>
      </x:c>
      <x:c r="F1233" s="28" t="n">
        <x:f>COUNTIF('岗位-产业节点关系'!$C$4:$C$709,B1233)</x:f>
        <x:v>0</x:v>
      </x:c>
      <x:c r="G1233" s="26" t="str">
        <x:f>IF(F1233=0,"未匹配（现有产业链范围未覆盖或证据不足）",IF(COUNTIFS('岗位-产业节点关系'!$C$4:$C$709,B1233,'岗位-产业节点关系'!$M$4:$M$709,"低")&gt;0,"已匹配，建议复核","已匹配"))</x:f>
        <x:v>未匹配（现有产业链范围未覆盖或证据不足）</x:v>
      </x:c>
      <x:c r="H1233" s="26" t="str">
        <x:v>-</x:v>
      </x:c>
      <x:c r="I1233" s="26" t="str"/>
      <x:c r="J1233" s="26" t="str"/>
      <x:c r="K1233" s="26" t="str">
        <x:v>预订主管是酒店行业中不可或缺的关键角色，负责确保酒店的预订流程顺畅高效，直接影响到客户体验和酒店的品牌形象。作为预订部门的核心人物，该职位的主要目标在于优化预订系统，提高预订效率与准确性，通过有效的客户沟通和服务策略，增…</x:v>
      </x:c>
      <x:c r="L1233" s="26" t="str">
        <x:v>1. 负责管理并指导预订团队完成日常预订工作，包括但不限于电话、邮件及在线平台等多种渠道的预订请求处理，确保所有预订操作符合酒店标准流程。 2. 定期分析预订数据，识别潜在问题或改进机会，提出并实施解决方案以提升预订服务…</x:v>
      </x:c>
    </x:row>
    <x:row r="1234" ht="72" customHeight="1">
      <x:c r="A1234" s="25" t="n">
        <x:v>12126</x:v>
      </x:c>
      <x:c r="B1234" s="25" t="str">
        <x:v>IC-L3-1383</x:v>
      </x:c>
      <x:c r="C1234" s="25" t="str">
        <x:v>预订员</x:v>
      </x:c>
      <x:c r="D1234" s="25" t="str">
        <x:v>4-07-02-01</x:v>
      </x:c>
      <x:c r="E1234" s="25" t="str">
        <x:v>风险管理师</x:v>
      </x:c>
      <x:c r="F1234" s="28" t="n">
        <x:f>COUNTIF('岗位-产业节点关系'!$C$4:$C$709,B1234)</x:f>
        <x:v>0</x:v>
      </x:c>
      <x:c r="G1234" s="26" t="str">
        <x:f>IF(F1234=0,"未匹配（现有产业链范围未覆盖或证据不足）",IF(COUNTIFS('岗位-产业节点关系'!$C$4:$C$709,B1234,'岗位-产业节点关系'!$M$4:$M$709,"低")&gt;0,"已匹配，建议复核","已匹配"))</x:f>
        <x:v>未匹配（现有产业链范围未覆盖或证据不足）</x:v>
      </x:c>
      <x:c r="H1234" s="26" t="str">
        <x:v>-</x:v>
      </x:c>
      <x:c r="I1234" s="26" t="str"/>
      <x:c r="J1234" s="26" t="str"/>
      <x:c r="K1234" s="26" t="str">
        <x:v>预订员是酒店业中不可或缺的一环，负责处理客户的所有预订需求，确保每位客人都能获得满意的住宿安排。作为酒店与客人之间的第一接触点，预订员不仅代表着酒店的形象，也是提升顾客满意度和忠诚度的关键角色。 该职位的核心目标在于通过…</x:v>
      </x:c>
      <x:c r="L1234" s="26" t="str">
        <x:v>1. 负责接听电话和回复邮件，及时准确地处理来自不同渠道的客房预订请求。 2. 根据客户需求推荐合适的房型，解释各项服务政策，并完成预订操作。 3. 定期检查并更新库存状态，确保系统中的可用房源信息真实可靠。 4. 收集…</x:v>
      </x:c>
    </x:row>
    <x:row r="1235" ht="72" customHeight="1">
      <x:c r="A1235" s="25" t="n">
        <x:v>12127</x:v>
      </x:c>
      <x:c r="B1235" s="25" t="str">
        <x:v>IC-L3-1384</x:v>
      </x:c>
      <x:c r="C1235" s="25" t="str">
        <x:v>业务跟单</x:v>
      </x:c>
      <x:c r="D1235" s="25" t="str">
        <x:v>4-01-02-01</x:v>
      </x:c>
      <x:c r="E1235" s="25" t="str">
        <x:v>营销员</x:v>
      </x:c>
      <x:c r="F1235" s="28" t="n">
        <x:f>COUNTIF('岗位-产业节点关系'!$C$4:$C$709,B1235)</x:f>
        <x:v>0</x:v>
      </x:c>
      <x:c r="G1235" s="26" t="str">
        <x:f>IF(F1235=0,"未匹配（现有产业链范围未覆盖或证据不足）",IF(COUNTIFS('岗位-产业节点关系'!$C$4:$C$709,B1235,'岗位-产业节点关系'!$M$4:$M$709,"低")&gt;0,"已匹配，建议复核","已匹配"))</x:f>
        <x:v>未匹配（现有产业链范围未覆盖或证据不足）</x:v>
      </x:c>
      <x:c r="H1235" s="26" t="str">
        <x:v>-</x:v>
      </x:c>
      <x:c r="I1235" s="26" t="str"/>
      <x:c r="J1235" s="26" t="str"/>
      <x:c r="K1235" s="26" t="str">
        <x:v>业务跟单是采购/贸易行业中不可或缺的角色，负责确保从订单到交货的每一个环节都能顺利进行。该职位不仅需要与供应商建立良好的沟通关系，还需具备较强的协调能力和问题解决能力，以应对国际贸易中可能出现的各种复杂情况。通过高效地完…</x:v>
      </x:c>
      <x:c r="L1235" s="26" t="str">
        <x:v>1. 负责跟踪客户订单状态，与国内外供应商保持密切联系，确保产品符合质量标准并及时发货。 2. 协调内部资源，解决生产过程中遇到的问题，保证订单按时完成。 3. 收集市场信息，分析客户需求变化趋势，为产品开发和库存管理提…</x:v>
      </x:c>
    </x:row>
    <x:row r="1236" ht="72" customHeight="1">
      <x:c r="A1236" s="25" t="n">
        <x:v>12128</x:v>
      </x:c>
      <x:c r="B1236" s="25" t="str">
        <x:v>IC-L3-1385</x:v>
      </x:c>
      <x:c r="C1236" s="25" t="str">
        <x:v>业务跟单经理</x:v>
      </x:c>
      <x:c r="D1236" s="25" t="str">
        <x:v>4-01-02-01</x:v>
      </x:c>
      <x:c r="E1236" s="25" t="str">
        <x:v>营销员</x:v>
      </x:c>
      <x:c r="F1236" s="28" t="n">
        <x:f>COUNTIF('岗位-产业节点关系'!$C$4:$C$709,B1236)</x:f>
        <x:v>0</x:v>
      </x:c>
      <x:c r="G1236" s="26" t="str">
        <x:f>IF(F1236=0,"未匹配（现有产业链范围未覆盖或证据不足）",IF(COUNTIFS('岗位-产业节点关系'!$C$4:$C$709,B1236,'岗位-产业节点关系'!$M$4:$M$709,"低")&gt;0,"已匹配，建议复核","已匹配"))</x:f>
        <x:v>未匹配（现有产业链范围未覆盖或证据不足）</x:v>
      </x:c>
      <x:c r="H1236" s="26" t="str">
        <x:v>-</x:v>
      </x:c>
      <x:c r="I1236" s="26" t="str"/>
      <x:c r="J1236" s="26" t="str"/>
      <x:c r="K1236" s="26" t="str">
        <x:v>业务跟单经理是采购/贸易行业中至关重要的角色之一，负责确保从订单到交付整个流程的顺畅运行。作为贸易过程中的关键协调者，他们不仅需要与供应商保持紧密联系，还要与内部销售、物流等部门密切合作，以保证产品按时按质完成交货，从而…</x:v>
      </x:c>
      <x:c r="L1236" s="26" t="str">
        <x:v>1. 负责跟进客户订单的执行情况，包括确认订单细节、安排生产计划、监督产品质量直至货物顺利出库。 2. 与国内外供应商建立并维护良好的合作关系，确保原材料供应稳定可靠，满足生产需求。 3. 定期分析订单数据，识别潜在风险…</x:v>
      </x:c>
    </x:row>
    <x:row r="1237" ht="72" customHeight="1">
      <x:c r="A1237" s="25" t="n">
        <x:v>12129</x:v>
      </x:c>
      <x:c r="B1237" s="25" t="str">
        <x:v>IC-L3-1386</x:v>
      </x:c>
      <x:c r="C1237" s="25" t="str">
        <x:v>国内贸易人员</x:v>
      </x:c>
      <x:c r="D1237" s="25" t="str">
        <x:v>4-01-02-01</x:v>
      </x:c>
      <x:c r="E1237" s="25" t="str">
        <x:v>营销员</x:v>
      </x:c>
      <x:c r="F1237" s="28" t="n">
        <x:f>COUNTIF('岗位-产业节点关系'!$C$4:$C$709,B1237)</x:f>
        <x:v>0</x:v>
      </x:c>
      <x:c r="G1237" s="26" t="str">
        <x:f>IF(F1237=0,"未匹配（现有产业链范围未覆盖或证据不足）",IF(COUNTIFS('岗位-产业节点关系'!$C$4:$C$709,B1237,'岗位-产业节点关系'!$M$4:$M$709,"低")&gt;0,"已匹配，建议复核","已匹配"))</x:f>
        <x:v>未匹配（现有产业链范围未覆盖或证据不足）</x:v>
      </x:c>
      <x:c r="H1237" s="26" t="str">
        <x:v>-</x:v>
      </x:c>
      <x:c r="I1237" s="26" t="str"/>
      <x:c r="J1237" s="26" t="str"/>
      <x:c r="K1237" s="26" t="str">
        <x:v>国内贸易人员在采购与贸易行业中扮演着至关重要的角色。作为连接供应商与客户的桥梁，他们不仅负责确保公司内部供应链的顺畅运作，还承担着开拓市场、优化成本结构的关键任务。通过精准把握市场需求变化，及时调整采购策略，有效控制成本…</x:v>
      </x:c>
      <x:c r="L1237" s="26" t="str">
        <x:v>1. 负责寻找并评估合格的供应商，建立和维护良好的供应商关系，确保采购渠道畅通无阻。 2. 根据公司需求制定详细的采购计划，定期跟踪订单执行情况，确保按时按质完成采购任务。 3. 对比分析不同供应商报价，通过谈判争取最优…</x:v>
      </x:c>
    </x:row>
    <x:row r="1238" ht="72" customHeight="1">
      <x:c r="A1238" s="25" t="n">
        <x:v>12130</x:v>
      </x:c>
      <x:c r="B1238" s="25" t="str">
        <x:v>IC-L3-1387</x:v>
      </x:c>
      <x:c r="C1238" s="25" t="str">
        <x:v>外贸销售</x:v>
      </x:c>
      <x:c r="D1238" s="25" t="str">
        <x:v>4-01-02-01</x:v>
      </x:c>
      <x:c r="E1238" s="25" t="str">
        <x:v>营销员</x:v>
      </x:c>
      <x:c r="F1238" s="28" t="n">
        <x:f>COUNTIF('岗位-产业节点关系'!$C$4:$C$709,B1238)</x:f>
        <x:v>0</x:v>
      </x:c>
      <x:c r="G1238" s="26" t="str">
        <x:f>IF(F1238=0,"未匹配（现有产业链范围未覆盖或证据不足）",IF(COUNTIFS('岗位-产业节点关系'!$C$4:$C$709,B1238,'岗位-产业节点关系'!$M$4:$M$709,"低")&gt;0,"已匹配，建议复核","已匹配"))</x:f>
        <x:v>未匹配（现有产业链范围未覆盖或证据不足）</x:v>
      </x:c>
      <x:c r="H1238" s="26" t="str">
        <x:v>-</x:v>
      </x:c>
      <x:c r="I1238" s="26" t="str"/>
      <x:c r="J1238" s="26" t="str"/>
      <x:c r="K1238" s="26" t="str">
        <x:v>外贸销售是采购与贸易行业中不可或缺的角色，它不仅连接了国际市场与中国企业，还促进了全球资源的有效配置。通过建立和维护国际客户关系，外贸销售人员能够帮助企业开拓海外市场，提高品牌知名度和市场份额，实现公司国际化战略目标。此…</x:v>
      </x:c>
      <x:c r="L1238" s="26" t="str">
        <x:v>1. 负责开发新客户并维护现有客户关系，定期拜访客户了解其需求变化，确保完成年度销售任务。 2. 分析市场需求趋势，制定有效的销售策略，提升产品竞争力，扩大市场份额。 3. 参与商务谈判，签订合同，处理订单流程，协调生产…</x:v>
      </x:c>
    </x:row>
    <x:row r="1239" ht="72" customHeight="1">
      <x:c r="A1239" s="25" t="n">
        <x:v>12131</x:v>
      </x:c>
      <x:c r="B1239" s="25" t="str">
        <x:v>IC-L3-1388</x:v>
      </x:c>
      <x:c r="C1239" s="25" t="str">
        <x:v>服装/纺织/皮革跟单</x:v>
      </x:c>
      <x:c r="D1239" s="25" t="str">
        <x:v>4-01-02-01</x:v>
      </x:c>
      <x:c r="E1239" s="25" t="str">
        <x:v>营销员</x:v>
      </x:c>
      <x:c r="F1239" s="28" t="n">
        <x:f>COUNTIF('岗位-产业节点关系'!$C$4:$C$709,B1239)</x:f>
        <x:v>1</x:v>
      </x:c>
      <x:c r="G1239" s="26" t="str">
        <x:f>IF(F1239=0,"未匹配（现有产业链范围未覆盖或证据不足）",IF(COUNTIFS('岗位-产业节点关系'!$C$4:$C$709,B1239,'岗位-产业节点关系'!$M$4:$M$709,"低")&gt;0,"已匹配，建议复核","已匹配"))</x:f>
        <x:v>已匹配</x:v>
      </x:c>
      <x:c r="H1239" s="26" t="str">
        <x:v>高</x:v>
      </x:c>
      <x:c r="I1239" s="26" t="str">
        <x:v>ICN051</x:v>
      </x:c>
      <x:c r="J1239" s="26" t="str">
        <x:v>纺织产业链/下游/服装家纺、品牌渠道与终端消费</x:v>
      </x:c>
      <x:c r="K1239" s="26" t="str">
        <x:v>服装/纺织/皮革跟单是采购/贸易行业中不可或缺的角色之一，负责确保从产品设计到成品交付的每一个环节都符合质量标准和时间要求。作为连接供应商与客户的桥梁，该职位在促进双方沟通、协调资源以及保障供应链顺畅运作方面发挥着至关重…</x:v>
      </x:c>
      <x:c r="L1239" s="26" t="str">
        <x:v>1. 负责与国内外供应商建立并维护良好的合作关系，确保按时按质完成各项订单任务。 2. 定期跟踪生产进度，协调解决生产过程中出现的问题，保证交货准时无误。 3. 对产品质量进行严格把控，定期抽查样品，确保符合客户要求及行…</x:v>
      </x:c>
    </x:row>
    <x:row r="1240" ht="72" customHeight="1">
      <x:c r="A1240" s="25" t="n">
        <x:v>12132</x:v>
      </x:c>
      <x:c r="B1240" s="25" t="str">
        <x:v>IC-L3-1389</x:v>
      </x:c>
      <x:c r="C1240" s="25" t="str">
        <x:v>贸易/外贸专员/助理</x:v>
      </x:c>
      <x:c r="D1240" s="25" t="str">
        <x:v>4-01-02-01</x:v>
      </x:c>
      <x:c r="E1240" s="25" t="str">
        <x:v>营销员</x:v>
      </x:c>
      <x:c r="F1240" s="28" t="n">
        <x:f>COUNTIF('岗位-产业节点关系'!$C$4:$C$709,B1240)</x:f>
        <x:v>0</x:v>
      </x:c>
      <x:c r="G1240" s="26" t="str">
        <x:f>IF(F1240=0,"未匹配（现有产业链范围未覆盖或证据不足）",IF(COUNTIFS('岗位-产业节点关系'!$C$4:$C$709,B1240,'岗位-产业节点关系'!$M$4:$M$709,"低")&gt;0,"已匹配，建议复核","已匹配"))</x:f>
        <x:v>未匹配（现有产业链范围未覆盖或证据不足）</x:v>
      </x:c>
      <x:c r="H1240" s="26" t="str">
        <x:v>-</x:v>
      </x:c>
      <x:c r="I1240" s="26" t="str"/>
      <x:c r="J1240" s="26" t="str"/>
      <x:c r="K1240" s="26" t="str">
        <x:v>贸易/外贸专员/助理是采购/贸易行业中不可或缺的角色，他们不仅承担着确保供应链顺畅运行的责任，还是连接公司与国际市场的重要桥梁。通过高效地处理国内外采购事务，该职位能够帮助公司降低运营成本、优化库存管理并提高市场竞争力。…</x:v>
      </x:c>
      <x:c r="L1240" s="26" t="str">
        <x:v>1. 负责寻找并评估潜在供应商，确保其资质符合公司要求，同时建立稳定的供应关系。 2. 与海外客户沟通，了解其需求变化，及时调整采购计划，保证产品按时按质交付。 3. 分析市场趋势及价格波动，制定合理的采购策略，控制采购…</x:v>
      </x:c>
    </x:row>
    <x:row r="1241" ht="72" customHeight="1">
      <x:c r="A1241" s="25" t="n">
        <x:v>12133</x:v>
      </x:c>
      <x:c r="B1241" s="25" t="str">
        <x:v>IC-L3-1390</x:v>
      </x:c>
      <x:c r="C1241" s="25" t="str">
        <x:v>贸易/外贸经理/主管</x:v>
      </x:c>
      <x:c r="D1241" s="25" t="str">
        <x:v>4-01-02-01</x:v>
      </x:c>
      <x:c r="E1241" s="25" t="str">
        <x:v>营销员</x:v>
      </x:c>
      <x:c r="F1241" s="28" t="n">
        <x:f>COUNTIF('岗位-产业节点关系'!$C$4:$C$709,B1241)</x:f>
        <x:v>0</x:v>
      </x:c>
      <x:c r="G1241" s="26" t="str">
        <x:f>IF(F1241=0,"未匹配（现有产业链范围未覆盖或证据不足）",IF(COUNTIFS('岗位-产业节点关系'!$C$4:$C$709,B1241,'岗位-产业节点关系'!$M$4:$M$709,"低")&gt;0,"已匹配，建议复核","已匹配"))</x:f>
        <x:v>未匹配（现有产业链范围未覆盖或证据不足）</x:v>
      </x:c>
      <x:c r="H1241" s="26" t="str">
        <x:v>-</x:v>
      </x:c>
      <x:c r="I1241" s="26" t="str"/>
      <x:c r="J1241" s="26" t="str"/>
      <x:c r="K1241" s="26" t="str">
        <x:v>贸易/外贸经理或主管是采购/贸易行业中不可或缺的角色，他们不仅负责确保公司与国际市场的有效对接，还肩负着推动公司业务增长的重要使命。通过优化供应链管理、拓展海外市场及维护客户关系等多方面工作，该职位能够显著提升企业的竞争…</x:v>
      </x:c>
      <x:c r="L1241" s="26" t="str">
        <x:v>1. 制定并执行国际贸易策略，分析国内外市场趋势，以扩大产品出口量和市场份额。 2. 负责建立和维护长期稳定的供应商关系，定期评估供应商绩效，确保采购成本效益最大化。 3. 组织协调跨部门项目，如物流、销售、财务等部门，…</x:v>
      </x:c>
    </x:row>
    <x:row r="1242" ht="72" customHeight="1">
      <x:c r="A1242" s="25" t="n">
        <x:v>12134</x:v>
      </x:c>
      <x:c r="B1242" s="25" t="str">
        <x:v>IC-L3-1391</x:v>
      </x:c>
      <x:c r="C1242" s="25" t="str">
        <x:v>买手</x:v>
      </x:c>
      <x:c r="D1242" s="25" t="str">
        <x:v>4-02-06-01</x:v>
      </x:c>
      <x:c r="E1242" s="25" t="str">
        <x:v>仓储管理员</x:v>
      </x:c>
      <x:c r="F1242" s="28" t="n">
        <x:f>COUNTIF('岗位-产业节点关系'!$C$4:$C$709,B1242)</x:f>
        <x:v>0</x:v>
      </x:c>
      <x:c r="G1242" s="26" t="str">
        <x:f>IF(F1242=0,"未匹配（现有产业链范围未覆盖或证据不足）",IF(COUNTIFS('岗位-产业节点关系'!$C$4:$C$709,B1242,'岗位-产业节点关系'!$M$4:$M$709,"低")&gt;0,"已匹配，建议复核","已匹配"))</x:f>
        <x:v>未匹配（现有产业链范围未覆盖或证据不足）</x:v>
      </x:c>
      <x:c r="H1242" s="26" t="str">
        <x:v>-</x:v>
      </x:c>
      <x:c r="I1242" s="26" t="str"/>
      <x:c r="J1242" s="26" t="str"/>
      <x:c r="K1242" s="26" t="str">
        <x:v>买手是采购/贸易行业中不可或缺的角色，他们负责确保公司能够获得高质量、成本效益高的商品或服务。通过精准的市场分析与供应商管理，买手不仅影响着供应链的效率，还直接关系到企业的成本控制与利润空间。在企业内部，买手需要与其他部…</x:v>
      </x:c>
      <x:c r="L1242" s="26" t="str">
        <x:v>1. 负责与供应商建立并维护良好的合作关系，定期评估供应商绩效，确保供应稳定可靠。 2. 根据市场需求预测，制定合理的采购计划，控制采购成本，提高资金周转率。 3. 对比分析不同供应商的产品质量、价格和服务，选择最优方案…</x:v>
      </x:c>
    </x:row>
    <x:row r="1243" ht="72" customHeight="1">
      <x:c r="A1243" s="25" t="n">
        <x:v>12135</x:v>
      </x:c>
      <x:c r="B1243" s="25" t="str">
        <x:v>IC-L3-1392</x:v>
      </x:c>
      <x:c r="C1243" s="25" t="str">
        <x:v>供应商开发</x:v>
      </x:c>
      <x:c r="D1243" s="25" t="str">
        <x:v>4-02-06-01</x:v>
      </x:c>
      <x:c r="E1243" s="25" t="str">
        <x:v>仓储管理员</x:v>
      </x:c>
      <x:c r="F1243" s="28" t="n">
        <x:f>COUNTIF('岗位-产业节点关系'!$C$4:$C$709,B1243)</x:f>
        <x:v>0</x:v>
      </x:c>
      <x:c r="G1243" s="26" t="str">
        <x:f>IF(F1243=0,"未匹配（现有产业链范围未覆盖或证据不足）",IF(COUNTIFS('岗位-产业节点关系'!$C$4:$C$709,B1243,'岗位-产业节点关系'!$M$4:$M$709,"低")&gt;0,"已匹配，建议复核","已匹配"))</x:f>
        <x:v>未匹配（现有产业链范围未覆盖或证据不足）</x:v>
      </x:c>
      <x:c r="H1243" s="26" t="str">
        <x:v>-</x:v>
      </x:c>
      <x:c r="I1243" s="26" t="str"/>
      <x:c r="J1243" s="26" t="str"/>
      <x:c r="K1243" s="26" t="str">
        <x:v>供应商开发作为采购领域的重要组成部分，其主要职责在于寻找并评估潜在的供应商，以确保公司能够获得高质量的产品和服务。这一职位不仅需要具备敏锐的市场洞察力，还需要有良好的谈判技巧和沟通能力，是连接公司与外部资源的关键桥梁。 …</x:v>
      </x:c>
      <x:c r="L1243" s="26" t="str">
        <x:v>1. 负责新供应商的搜索、筛选及初步接触，确保供应商符合公司的采购标准和要求。 2. 与潜在供应商进行商务谈判，争取最优价格条件及付款条款，同时确保双方利益平衡。 3. 定期组织供应商评估会议，收集反馈意见，制定改进计划…</x:v>
      </x:c>
    </x:row>
    <x:row r="1244" ht="72" customHeight="1">
      <x:c r="A1244" s="25" t="n">
        <x:v>12136</x:v>
      </x:c>
      <x:c r="B1244" s="25" t="str">
        <x:v>IC-L3-1393</x:v>
      </x:c>
      <x:c r="C1244" s="25" t="str">
        <x:v>采购主管</x:v>
      </x:c>
      <x:c r="D1244" s="25" t="str">
        <x:v>4-02-06-01</x:v>
      </x:c>
      <x:c r="E1244" s="25" t="str">
        <x:v>仓储管理员</x:v>
      </x:c>
      <x:c r="F1244" s="28" t="n">
        <x:f>COUNTIF('岗位-产业节点关系'!$C$4:$C$709,B1244)</x:f>
        <x:v>0</x:v>
      </x:c>
      <x:c r="G1244" s="26" t="str">
        <x:f>IF(F1244=0,"未匹配（现有产业链范围未覆盖或证据不足）",IF(COUNTIFS('岗位-产业节点关系'!$C$4:$C$709,B1244,'岗位-产业节点关系'!$M$4:$M$709,"低")&gt;0,"已匹配，建议复核","已匹配"))</x:f>
        <x:v>未匹配（现有产业链范围未覆盖或证据不足）</x:v>
      </x:c>
      <x:c r="H1244" s="26" t="str">
        <x:v>-</x:v>
      </x:c>
      <x:c r="I1244" s="26" t="str"/>
      <x:c r="J1244" s="26" t="str"/>
      <x:c r="K1244" s="26" t="str">
        <x:v>采购主管是采购/贸易行业中不可或缺的角色，他们负责确保公司能够以最高效的方式获取所需材料和服务。作为供应链管理的关键环节，采购主管不仅需要具备出色的谈判技巧和市场洞察力，还应拥有卓越的战略规划能力，以便在激烈的市场竞争中…</x:v>
      </x:c>
      <x:c r="L1244" s="26" t="str">
        <x:v>1. 负责制定和实施年度采购计划，确保所有采购活动符合公司政策和法律法规要求。 2. 与潜在供应商进行谈判，评估其资质，选择性价比最优的合作伙伴，签订合同并监督履行情况。 3. 定期分析市场趋势，预测价格波动，及时调整采…</x:v>
      </x:c>
    </x:row>
    <x:row r="1245" ht="72" customHeight="1">
      <x:c r="A1245" s="25" t="n">
        <x:v>12137</x:v>
      </x:c>
      <x:c r="B1245" s="25" t="str">
        <x:v>IC-L3-1394</x:v>
      </x:c>
      <x:c r="C1245" s="25" t="str">
        <x:v>采购助理</x:v>
      </x:c>
      <x:c r="D1245" s="25" t="str">
        <x:v>4-02-06-01</x:v>
      </x:c>
      <x:c r="E1245" s="25" t="str">
        <x:v>仓储管理员</x:v>
      </x:c>
      <x:c r="F1245" s="28" t="n">
        <x:f>COUNTIF('岗位-产业节点关系'!$C$4:$C$709,B1245)</x:f>
        <x:v>0</x:v>
      </x:c>
      <x:c r="G1245" s="26" t="str">
        <x:f>IF(F1245=0,"未匹配（现有产业链范围未覆盖或证据不足）",IF(COUNTIFS('岗位-产业节点关系'!$C$4:$C$709,B1245,'岗位-产业节点关系'!$M$4:$M$709,"低")&gt;0,"已匹配，建议复核","已匹配"))</x:f>
        <x:v>未匹配（现有产业链范围未覆盖或证据不足）</x:v>
      </x:c>
      <x:c r="H1245" s="26" t="str">
        <x:v>-</x:v>
      </x:c>
      <x:c r="I1245" s="26" t="str"/>
      <x:c r="J1245" s="26" t="str"/>
      <x:c r="K1245" s="26" t="str">
        <x:v>采购助理是采购/贸易行业中不可或缺的角色，负责协助采购经理完成日常采购任务，确保供应链的顺畅运作。通过优化采购流程和供应商管理，采购助理对于提高公司运营效率、降低成本及提升产品质量具有重要作用。 该职位的核心目标在于确保…</x:v>
      </x:c>
      <x:c r="L1245" s="26" t="str">
        <x:v>1. 协助采购经理制定并执行采购计划，确保所有订单符合公司标准及法律法规要求。 2. 负责与供应商沟通协调，包括询价、谈判价格、确认交货日期等事宜，以保证供应链稳定可靠。 3. 定期评估现有供应商的表现，寻找新的潜在供应…</x:v>
      </x:c>
    </x:row>
    <x:row r="1246" ht="72" customHeight="1">
      <x:c r="A1246" s="25" t="n">
        <x:v>12138</x:v>
      </x:c>
      <x:c r="B1246" s="25" t="str">
        <x:v>IC-L3-1395</x:v>
      </x:c>
      <x:c r="C1246" s="25" t="str">
        <x:v>采购员</x:v>
      </x:c>
      <x:c r="D1246" s="25" t="str">
        <x:v>4-02-06-01</x:v>
      </x:c>
      <x:c r="E1246" s="25" t="str">
        <x:v>仓储管理员</x:v>
      </x:c>
      <x:c r="F1246" s="28" t="n">
        <x:f>COUNTIF('岗位-产业节点关系'!$C$4:$C$709,B1246)</x:f>
        <x:v>0</x:v>
      </x:c>
      <x:c r="G1246" s="26" t="str">
        <x:f>IF(F1246=0,"未匹配（现有产业链范围未覆盖或证据不足）",IF(COUNTIFS('岗位-产业节点关系'!$C$4:$C$709,B1246,'岗位-产业节点关系'!$M$4:$M$709,"低")&gt;0,"已匹配，建议复核","已匹配"))</x:f>
        <x:v>未匹配（现有产业链范围未覆盖或证据不足）</x:v>
      </x:c>
      <x:c r="H1246" s="26" t="str">
        <x:v>-</x:v>
      </x:c>
      <x:c r="I1246" s="26" t="str"/>
      <x:c r="J1246" s="26" t="str"/>
      <x:c r="K1246" s="26" t="str">
        <x:v>采购员是采购/贸易行业中不可或缺的角色，他们负责确保企业能够获得高质量、价格合理的原材料或商品，以支持生产或销售活动的顺利进行。通过有效的采购管理，采购员不仅能够帮助企业降低运营成本，提高市场竞争力，还能在供应链中建立稳…</x:v>
      </x:c>
      <x:c r="L1246" s="26" t="str">
        <x:v>1. 负责供应商的选择与评估，确保所采购物资符合公司质量标准及成本控制要求。 2. 定期收集市场信息，分析价格趋势，制定合理的采购计划，以满足生产和销售的需求。 3. 与供应商协商合同条款，包括但不限于价格、交货期、付款…</x:v>
      </x:c>
    </x:row>
    <x:row r="1247" ht="72" customHeight="1">
      <x:c r="A1247" s="25" t="n">
        <x:v>12139</x:v>
      </x:c>
      <x:c r="B1247" s="25" t="str">
        <x:v>IC-L3-1396</x:v>
      </x:c>
      <x:c r="C1247" s="25" t="str">
        <x:v>采购总监</x:v>
      </x:c>
      <x:c r="D1247" s="25" t="str">
        <x:v>4-02-06-01</x:v>
      </x:c>
      <x:c r="E1247" s="25" t="str">
        <x:v>仓储管理员</x:v>
      </x:c>
      <x:c r="F1247" s="28" t="n">
        <x:f>COUNTIF('岗位-产业节点关系'!$C$4:$C$709,B1247)</x:f>
        <x:v>0</x:v>
      </x:c>
      <x:c r="G1247" s="26" t="str">
        <x:f>IF(F1247=0,"未匹配（现有产业链范围未覆盖或证据不足）",IF(COUNTIFS('岗位-产业节点关系'!$C$4:$C$709,B1247,'岗位-产业节点关系'!$M$4:$M$709,"低")&gt;0,"已匹配，建议复核","已匹配"))</x:f>
        <x:v>未匹配（现有产业链范围未覆盖或证据不足）</x:v>
      </x:c>
      <x:c r="H1247" s="26" t="str">
        <x:v>-</x:v>
      </x:c>
      <x:c r="I1247" s="26" t="str"/>
      <x:c r="J1247" s="26" t="str"/>
      <x:c r="K1247" s="26" t="str">
        <x:v>采购总监是采购/贸易行业中不可或缺的关键角色，负责确保企业获得所需物资和服务的同时，实现成本控制与供应链优化。作为公司采购策略的主要制定者，其不仅需要具备卓越的市场洞察力和谈判技巧，还需拥有丰富的行业经验和战略思维能力，…</x:v>
      </x:c>
      <x:c r="L1247" s="26" t="str">
        <x:v>1. 制定并执行全面的采购政策和程序，确保所有采购活动符合法律法规要求及公司内部标准。 2. 分析市场需求趋势，预测物料价格波动，指导团队采取有效措施应对市场变化，减少风险。 3. 选择和管理合格供应商，定期审核供应商表…</x:v>
      </x:c>
    </x:row>
    <x:row r="1248" ht="72" customHeight="1">
      <x:c r="A1248" s="25" t="n">
        <x:v>12140</x:v>
      </x:c>
      <x:c r="B1248" s="25" t="str">
        <x:v>IC-L3-1397</x:v>
      </x:c>
      <x:c r="C1248" s="25" t="str">
        <x:v>采购经理</x:v>
      </x:c>
      <x:c r="D1248" s="25" t="str">
        <x:v>4-02-06-01</x:v>
      </x:c>
      <x:c r="E1248" s="25" t="str">
        <x:v>仓储管理员</x:v>
      </x:c>
      <x:c r="F1248" s="28" t="n">
        <x:f>COUNTIF('岗位-产业节点关系'!$C$4:$C$709,B1248)</x:f>
        <x:v>0</x:v>
      </x:c>
      <x:c r="G1248" s="26" t="str">
        <x:f>IF(F1248=0,"未匹配（现有产业链范围未覆盖或证据不足）",IF(COUNTIFS('岗位-产业节点关系'!$C$4:$C$709,B1248,'岗位-产业节点关系'!$M$4:$M$709,"低")&gt;0,"已匹配，建议复核","已匹配"))</x:f>
        <x:v>未匹配（现有产业链范围未覆盖或证据不足）</x:v>
      </x:c>
      <x:c r="H1248" s="26" t="str">
        <x:v>-</x:v>
      </x:c>
      <x:c r="I1248" s="26" t="str"/>
      <x:c r="J1248" s="26" t="str"/>
      <x:c r="K1248" s="26" t="str">
        <x:v>采购经理是采购/贸易行业中至关重要的角色，负责确保公司能够及时、高效地获取所需物资和服务，以支持业务运营。该职位不仅需要具备优秀的市场分析能力，还需要与供应商建立良好的合作关系，以实现成本控制和供应链优化的目标。作为团队…</x:v>
      </x:c>
      <x:c r="L1248" s="26" t="str">
        <x:v>1. 制定并执行采购策略，包括但不限于供应商选择、价格谈判、合同管理等，以确保公司获得性价比最高的产品或服务。 2. 监控市场动态，定期评估现有供应商的表现，积极寻找潜在的新供应商，以满足公司不断变化的需求。 3. 与财…</x:v>
      </x:c>
    </x:row>
    <x:row r="1249" ht="72" customHeight="1">
      <x:c r="A1249" s="25" t="n">
        <x:v>12141</x:v>
      </x:c>
      <x:c r="B1249" s="25" t="str">
        <x:v>IC-L3-1398</x:v>
      </x:c>
      <x:c r="C1249" s="25" t="str">
        <x:v>保险业务推动/督导</x:v>
      </x:c>
      <x:c r="D1249" s="25" t="str">
        <x:v>2-06-10-01</x:v>
      </x:c>
      <x:c r="E1249" s="25" t="str">
        <x:v>精算专业人员</x:v>
      </x:c>
      <x:c r="F1249" s="28" t="n">
        <x:f>COUNTIF('岗位-产业节点关系'!$C$4:$C$709,B1249)</x:f>
        <x:v>0</x:v>
      </x:c>
      <x:c r="G1249" s="26" t="str">
        <x:f>IF(F1249=0,"未匹配（现有产业链范围未覆盖或证据不足）",IF(COUNTIFS('岗位-产业节点关系'!$C$4:$C$709,B1249,'岗位-产业节点关系'!$M$4:$M$709,"低")&gt;0,"已匹配，建议复核","已匹配"))</x:f>
        <x:v>未匹配（现有产业链范围未覆盖或证据不足）</x:v>
      </x:c>
      <x:c r="H1249" s="26" t="str">
        <x:v>-</x:v>
      </x:c>
      <x:c r="I1249" s="26" t="str"/>
      <x:c r="J1249" s="26" t="str"/>
      <x:c r="K1249" s="26" t="str">
        <x:v>保险业务推动/督导是保险行业中一个至关重要的职位，它不仅直接关系到保险公司业务的发展速度与质量，还肩负着提高客户满意度、维护公司品牌形象的重要使命。通过制定有效的业务策略，指导销售团队达成业绩目标，确保公司各项业务指标的…</x:v>
      </x:c>
      <x:c r="L1249" s="26" t="str">
        <x:v>1. 制定并实施业务拓展计划，定期评估执行效果，调整策略以确保完成年度销售任务。 2. 对下属销售人员进行日常管理和绩效考核，提供专业培训和支持，激发团队潜能，提高整体业绩水平。 3. 分析市场动态及竞争对手情况，及时反…</x:v>
      </x:c>
    </x:row>
    <x:row r="1250" ht="72" customHeight="1">
      <x:c r="A1250" s="25" t="n">
        <x:v>12142</x:v>
      </x:c>
      <x:c r="B1250" s="25" t="str">
        <x:v>IC-L3-1399</x:v>
      </x:c>
      <x:c r="C1250" s="25" t="str">
        <x:v>保险业务经理/主管</x:v>
      </x:c>
      <x:c r="D1250" s="25" t="str">
        <x:v>2-06-10-01</x:v>
      </x:c>
      <x:c r="E1250" s="25" t="str">
        <x:v>精算专业人员</x:v>
      </x:c>
      <x:c r="F1250" s="28" t="n">
        <x:f>COUNTIF('岗位-产业节点关系'!$C$4:$C$709,B1250)</x:f>
        <x:v>0</x:v>
      </x:c>
      <x:c r="G1250" s="26" t="str">
        <x:f>IF(F1250=0,"未匹配（现有产业链范围未覆盖或证据不足）",IF(COUNTIFS('岗位-产业节点关系'!$C$4:$C$709,B1250,'岗位-产业节点关系'!$M$4:$M$709,"低")&gt;0,"已匹配，建议复核","已匹配"))</x:f>
        <x:v>未匹配（现有产业链范围未覆盖或证据不足）</x:v>
      </x:c>
      <x:c r="H1250" s="26" t="str">
        <x:v>-</x:v>
      </x:c>
      <x:c r="I1250" s="26" t="str"/>
      <x:c r="J1250" s="26" t="str"/>
      <x:c r="K1250" s="26" t="str">
        <x:v>保险业务经理或主管在金融行业中扮演着至关重要的角色，他们不仅是保险公司与客户之间的桥梁，也是推动公司业务增长的关键人物。通过深入了解市场动态和客户需求，制定并执行有效的销售策略，确保公司产品和服务能够满足市场的期望，从而…</x:v>
      </x:c>
      <x:c r="L1250" s="26" t="str">
        <x:v>1. 负责制定并实施年度保险销售计划，确保完成既定的业务指标，提高市场份额。 2. 组织并领导销售团队开展市场调研活动，收集潜在客户信息，分析竞争对手状况，为产品开发提供数据支持。 3. 定期对下属进行培训和考核，提升团…</x:v>
      </x:c>
    </x:row>
    <x:row r="1251" ht="72" customHeight="1">
      <x:c r="A1251" s="25" t="n">
        <x:v>12143</x:v>
      </x:c>
      <x:c r="B1251" s="25" t="str">
        <x:v>IC-L3-1400</x:v>
      </x:c>
      <x:c r="C1251" s="25" t="str">
        <x:v>保险产品开发/项目策划</x:v>
      </x:c>
      <x:c r="D1251" s="25" t="str">
        <x:v>2-06-10-01</x:v>
      </x:c>
      <x:c r="E1251" s="25" t="str">
        <x:v>精算专业人员</x:v>
      </x:c>
      <x:c r="F1251" s="28" t="n">
        <x:f>COUNTIF('岗位-产业节点关系'!$C$4:$C$709,B1251)</x:f>
        <x:v>0</x:v>
      </x:c>
      <x:c r="G1251" s="26" t="str">
        <x:f>IF(F1251=0,"未匹配（现有产业链范围未覆盖或证据不足）",IF(COUNTIFS('岗位-产业节点关系'!$C$4:$C$709,B1251,'岗位-产业节点关系'!$M$4:$M$709,"低")&gt;0,"已匹配，建议复核","已匹配"))</x:f>
        <x:v>未匹配（现有产业链范围未覆盖或证据不足）</x:v>
      </x:c>
      <x:c r="H1251" s="26" t="str">
        <x:v>-</x:v>
      </x:c>
      <x:c r="I1251" s="26" t="str"/>
      <x:c r="J1251" s="26" t="str"/>
      <x:c r="K1251" s="26" t="str">
        <x:v>保险产品开发/项目策划是金融行业中至关重要的环节之一，特别是在保险领域。该职位不仅要求具备深刻理解市场趋势与客户需求的能力，还肩负着创新设计符合市场需求的新产品或改进现有产品的重任。作为公司与市场之间的桥梁，保险产品开发…</x:v>
      </x:c>
      <x:c r="L1251" s="26" t="str">
        <x:v>1. 负责调研分析国内外保险市场发展趋势及消费者行为特征，定期撰写市场研究报告，为新产品的开发提供决策依据。 2. 结合公司战略目标与市场需求，主导或参与制定保险产品开发计划，明确产品定位、功能特性及预期效果。 3. 与…</x:v>
      </x:c>
    </x:row>
    <x:row r="1252" ht="72" customHeight="1">
      <x:c r="A1252" s="25" t="n">
        <x:v>12144</x:v>
      </x:c>
      <x:c r="B1252" s="25" t="str">
        <x:v>IC-L3-1401</x:v>
      </x:c>
      <x:c r="C1252" s="25" t="str">
        <x:v>保险内勤</x:v>
      </x:c>
      <x:c r="D1252" s="25" t="str">
        <x:v>2-06-10-01</x:v>
      </x:c>
      <x:c r="E1252" s="25" t="str">
        <x:v>精算专业人员</x:v>
      </x:c>
      <x:c r="F1252" s="28" t="n">
        <x:f>COUNTIF('岗位-产业节点关系'!$C$4:$C$709,B1252)</x:f>
        <x:v>0</x:v>
      </x:c>
      <x:c r="G1252" s="26" t="str">
        <x:f>IF(F1252=0,"未匹配（现有产业链范围未覆盖或证据不足）",IF(COUNTIFS('岗位-产业节点关系'!$C$4:$C$709,B1252,'岗位-产业节点关系'!$M$4:$M$709,"低")&gt;0,"已匹配，建议复核","已匹配"))</x:f>
        <x:v>未匹配（现有产业链范围未覆盖或证据不足）</x:v>
      </x:c>
      <x:c r="H1252" s="26" t="str">
        <x:v>-</x:v>
      </x:c>
      <x:c r="I1252" s="26" t="str"/>
      <x:c r="J1252" s="26" t="str"/>
      <x:c r="K1252" s="26" t="str">
        <x:v>保险内勤是保险行业中不可或缺的一部分，他们通过高效准确地处理内部事务，确保公司运营顺畅，同时支持前线销售人员更好地服务客户。作为保险公司的重要支撑力量，保险内勤人员不仅负责日常行政管理，还承担着数据录入、文件归档等任务，…</x:v>
      </x:c>
      <x:c r="L1252" s="26" t="str">
        <x:v>1. 负责收集并审核各类保险申请材料，确保信息完整无误后提交至相关部门进行后续处理。 2. 定期整理和更新客户资料库，维护客户档案的安全性和准确性，以便于快速响应客户需求。 3. 协助处理客户投诉及咨询问题，及时反馈处理…</x:v>
      </x:c>
    </x:row>
    <x:row r="1253" ht="72" customHeight="1">
      <x:c r="A1253" s="25" t="n">
        <x:v>12145</x:v>
      </x:c>
      <x:c r="B1253" s="25" t="str">
        <x:v>IC-L3-1402</x:v>
      </x:c>
      <x:c r="C1253" s="25" t="str">
        <x:v>保险培训师</x:v>
      </x:c>
      <x:c r="D1253" s="25" t="str">
        <x:v>4-07-03-05</x:v>
      </x:c>
      <x:c r="E1253" s="25" t="str">
        <x:v>职业培训师</x:v>
      </x:c>
      <x:c r="F1253" s="28" t="n">
        <x:f>COUNTIF('岗位-产业节点关系'!$C$4:$C$709,B1253)</x:f>
        <x:v>0</x:v>
      </x:c>
      <x:c r="G1253" s="26" t="str">
        <x:f>IF(F1253=0,"未匹配（现有产业链范围未覆盖或证据不足）",IF(COUNTIFS('岗位-产业节点关系'!$C$4:$C$709,B1253,'岗位-产业节点关系'!$M$4:$M$709,"低")&gt;0,"已匹配，建议复核","已匹配"))</x:f>
        <x:v>未匹配（现有产业链范围未覆盖或证据不足）</x:v>
      </x:c>
      <x:c r="H1253" s="26" t="str">
        <x:v>-</x:v>
      </x:c>
      <x:c r="I1253" s="26" t="str"/>
      <x:c r="J1253" s="26" t="str"/>
      <x:c r="K1253" s="26" t="str">
        <x:v>保险培训师是金融行业中不可或缺的专业角色，尤其在保险领域内，他们负责培养和提升销售人员的专业知识和服务水平，确保客户能够获得高质量的服务体验，从而促进公司业务的持续增长。作为保险公司的核心人才，保险培训师的主要目标是通过…</x:v>
      </x:c>
      <x:c r="L1253" s="26" t="str">
        <x:v>1. 设计并实施针对新入职员工及现有销售团队的保险产品知识、法律法规以及销售技巧等全方位培训课程，确保所有员工都能达到公司的专业标准。 2. 定期评估培训效果，收集反馈信息，不断优化培训内容和方法，以适应市场变化和客户需…</x:v>
      </x:c>
    </x:row>
    <x:row r="1254" ht="72" customHeight="1">
      <x:c r="A1254" s="25" t="n">
        <x:v>12146</x:v>
      </x:c>
      <x:c r="B1254" s="25" t="str">
        <x:v>IC-L3-1403</x:v>
      </x:c>
      <x:c r="C1254" s="25" t="str">
        <x:v>保险客户服务/续期管理</x:v>
      </x:c>
      <x:c r="D1254" s="25" t="str">
        <x:v>2-06-10-01</x:v>
      </x:c>
      <x:c r="E1254" s="25" t="str">
        <x:v>精算专业人员</x:v>
      </x:c>
      <x:c r="F1254" s="28" t="n">
        <x:f>COUNTIF('岗位-产业节点关系'!$C$4:$C$709,B1254)</x:f>
        <x:v>0</x:v>
      </x:c>
      <x:c r="G1254" s="26" t="str">
        <x:f>IF(F1254=0,"未匹配（现有产业链范围未覆盖或证据不足）",IF(COUNTIFS('岗位-产业节点关系'!$C$4:$C$709,B1254,'岗位-产业节点关系'!$M$4:$M$709,"低")&gt;0,"已匹配，建议复核","已匹配"))</x:f>
        <x:v>未匹配（现有产业链范围未覆盖或证据不足）</x:v>
      </x:c>
      <x:c r="H1254" s="26" t="str">
        <x:v>-</x:v>
      </x:c>
      <x:c r="I1254" s="26" t="str"/>
      <x:c r="J1254" s="26" t="str"/>
      <x:c r="K1254" s="26" t="str">
        <x:v>保险客户服务/续期管理是金融行业中保险领域的重要组成部分，主要负责与客户建立并维护良好的关系，确保客户的保险需求得到满足。通过提供高质量的服务和支持，此职位不仅能够增强客户满意度和忠诚度，还能促进公司的品牌形象和市场竞争…</x:v>
      </x:c>
      <x:c r="L1254" s="26" t="str">
        <x:v>1. 主动联系即将到期的保单客户，了解其续保意愿，解答相关疑问，提供专业建议，以促进续保业务顺利进行。 2. 定期回访已投保客户，收集反馈意见，及时处理投诉，确保服务质量符合甚至超出客户期望。 3. 分析客户数据，识别潜…</x:v>
      </x:c>
    </x:row>
    <x:row r="1255" ht="72" customHeight="1">
      <x:c r="A1255" s="25" t="n">
        <x:v>12147</x:v>
      </x:c>
      <x:c r="B1255" s="25" t="str">
        <x:v>IC-L3-1404</x:v>
      </x:c>
      <x:c r="C1255" s="25" t="str">
        <x:v>保险核保</x:v>
      </x:c>
      <x:c r="D1255" s="25" t="str">
        <x:v>2-06-10-01</x:v>
      </x:c>
      <x:c r="E1255" s="25" t="str">
        <x:v>精算专业人员</x:v>
      </x:c>
      <x:c r="F1255" s="28" t="n">
        <x:f>COUNTIF('岗位-产业节点关系'!$C$4:$C$709,B1255)</x:f>
        <x:v>0</x:v>
      </x:c>
      <x:c r="G1255" s="26" t="str">
        <x:f>IF(F1255=0,"未匹配（现有产业链范围未覆盖或证据不足）",IF(COUNTIFS('岗位-产业节点关系'!$C$4:$C$709,B1255,'岗位-产业节点关系'!$M$4:$M$709,"低")&gt;0,"已匹配，建议复核","已匹配"))</x:f>
        <x:v>未匹配（现有产业链范围未覆盖或证据不足）</x:v>
      </x:c>
      <x:c r="H1255" s="26" t="str">
        <x:v>-</x:v>
      </x:c>
      <x:c r="I1255" s="26" t="str"/>
      <x:c r="J1255" s="26" t="str"/>
      <x:c r="K1255" s="26" t="str">
        <x:v>保险核保作为保险行业中不可或缺的一环，扮演着评估和管理风险的关键角色。通过精确的风险评估，核保人员能够确保公司承保的业务既符合法律法规的要求，又能在合理范围内承担风险，从而保护公司的财务稳定与持续发展。此外，核保工作还涉…</x:v>
      </x:c>
      <x:c r="L1255" s="26" t="str">
        <x:v>1. 对客户的投保申请进行全面审查，包括但不限于分析被保险人的健康状况、财产情况等信息，以确定是否承保以及承保条件。 2. 根据风险评估结果制定合理的保费标准和条款细则，确保公司利益不受损害的同时，维护客户权益。 3. …</x:v>
      </x:c>
    </x:row>
    <x:row r="1256" ht="72" customHeight="1">
      <x:c r="A1256" s="25" t="n">
        <x:v>12148</x:v>
      </x:c>
      <x:c r="B1256" s="25" t="str">
        <x:v>IC-L3-1405</x:v>
      </x:c>
      <x:c r="C1256" s="25" t="str">
        <x:v>保险理赔</x:v>
      </x:c>
      <x:c r="D1256" s="25" t="str">
        <x:v>2-06-10-01</x:v>
      </x:c>
      <x:c r="E1256" s="25" t="str">
        <x:v>精算专业人员</x:v>
      </x:c>
      <x:c r="F1256" s="28" t="n">
        <x:f>COUNTIF('岗位-产业节点关系'!$C$4:$C$709,B1256)</x:f>
        <x:v>0</x:v>
      </x:c>
      <x:c r="G1256" s="26" t="str">
        <x:f>IF(F1256=0,"未匹配（现有产业链范围未覆盖或证据不足）",IF(COUNTIFS('岗位-产业节点关系'!$C$4:$C$709,B1256,'岗位-产业节点关系'!$M$4:$M$709,"低")&gt;0,"已匹配，建议复核","已匹配"))</x:f>
        <x:v>未匹配（现有产业链范围未覆盖或证据不足）</x:v>
      </x:c>
      <x:c r="H1256" s="26" t="str">
        <x:v>-</x:v>
      </x:c>
      <x:c r="I1256" s="26" t="str"/>
      <x:c r="J1256" s="26" t="str"/>
      <x:c r="K1256" s="26" t="str">
        <x:v>保险理赔是金融行业中不可或缺的一部分，它直接关系到保险公司与客户之间的信任建立和服务质量。作为保险理赔专员，其角色至关重要，不仅代表着公司形象，也是连接客户与公司的桥梁，确保客户能够及时获得应有的赔偿。 该职位的核心目标…</x:v>
      </x:c>
      <x:c r="L1256" s="26" t="str">
        <x:v>1. 负责接收并审核客户的理赔申请材料，确保所有文件齐全有效，以便快速进入理赔流程。 2. 对接收到的案件进行初步评估，判断是否属于保险责任范围，必要时开展现场勘查或调取相关证据。 3. 与客户保持良好沟通，解释理赔政策…</x:v>
      </x:c>
    </x:row>
    <x:row r="1257" ht="72" customHeight="1">
      <x:c r="A1257" s="25" t="n">
        <x:v>12149</x:v>
      </x:c>
      <x:c r="B1257" s="25" t="str">
        <x:v>IC-L3-1406</x:v>
      </x:c>
      <x:c r="C1257" s="25" t="str">
        <x:v>保险电销</x:v>
      </x:c>
      <x:c r="D1257" s="25" t="str">
        <x:v>2-06-10-01</x:v>
      </x:c>
      <x:c r="E1257" s="25" t="str">
        <x:v>精算专业人员</x:v>
      </x:c>
      <x:c r="F1257" s="28" t="n">
        <x:f>COUNTIF('岗位-产业节点关系'!$C$4:$C$709,B1257)</x:f>
        <x:v>0</x:v>
      </x:c>
      <x:c r="G1257" s="26" t="str">
        <x:f>IF(F1257=0,"未匹配（现有产业链范围未覆盖或证据不足）",IF(COUNTIFS('岗位-产业节点关系'!$C$4:$C$709,B1257,'岗位-产业节点关系'!$M$4:$M$709,"低")&gt;0,"已匹配，建议复核","已匹配"))</x:f>
        <x:v>未匹配（现有产业链范围未覆盖或证据不足）</x:v>
      </x:c>
      <x:c r="H1257" s="26" t="str">
        <x:v>-</x:v>
      </x:c>
      <x:c r="I1257" s="26" t="str"/>
      <x:c r="J1257" s="26" t="str"/>
      <x:c r="K1257" s="26" t="str">
        <x:v>保险电销作为金融行业中保险领域的重要组成部分，扮演着连接保险公司与潜在客户的关键桥梁角色。通过电话沟通的方式，保险电销专员能够深入了解客户需求，提供个性化的保险产品推荐，从而促进销售转化，增强公司市场竞争力。 该职位的核…</x:v>
      </x:c>
      <x:c r="L1257" s="26" t="str">
        <x:v>1. 通过电话主动联系潜在客户，了解其保险需求，向其介绍适合的保险产品并促成交易。 2. 定期跟进已成交客户，解答他们在购买过程中遇到的问题，确保客户满意度。 3. 收集并分析市场信息及客户反馈，协助公司调整销售策略和改…</x:v>
      </x:c>
    </x:row>
    <x:row r="1258" ht="72" customHeight="1">
      <x:c r="A1258" s="25" t="n">
        <x:v>12150</x:v>
      </x:c>
      <x:c r="B1258" s="25" t="str">
        <x:v>IC-L3-1407</x:v>
      </x:c>
      <x:c r="C1258" s="25" t="str">
        <x:v>保险精算师</x:v>
      </x:c>
      <x:c r="D1258" s="25" t="str">
        <x:v>2-06-10-01</x:v>
      </x:c>
      <x:c r="E1258" s="25" t="str">
        <x:v>精算专业人员</x:v>
      </x:c>
      <x:c r="F1258" s="28" t="n">
        <x:f>COUNTIF('岗位-产业节点关系'!$C$4:$C$709,B1258)</x:f>
        <x:v>0</x:v>
      </x:c>
      <x:c r="G1258" s="26" t="str">
        <x:f>IF(F1258=0,"未匹配（现有产业链范围未覆盖或证据不足）",IF(COUNTIFS('岗位-产业节点关系'!$C$4:$C$709,B1258,'岗位-产业节点关系'!$M$4:$M$709,"低")&gt;0,"已匹配，建议复核","已匹配"))</x:f>
        <x:v>未匹配（现有产业链范围未覆盖或证据不足）</x:v>
      </x:c>
      <x:c r="H1258" s="26" t="str">
        <x:v>-</x:v>
      </x:c>
      <x:c r="I1258" s="26" t="str"/>
      <x:c r="J1258" s="26" t="str"/>
      <x:c r="K1258" s="26" t="str">
        <x:v>保险精算师是金融行业中不可或缺的专业人才，在保险领域扮演着至关重要的角色。他们利用数学、统计学以及财务理论来评估风险和不确定性，确保保险公司能够合理定价产品并维持财务稳定。作为保险公司的核心成员之一，保险精算师不仅需要具…</x:v>
      </x:c>
      <x:c r="L1258" s="26" t="str">
        <x:v>1. 根据历史数据和市场趋势进行深入分析，为新保险产品的设计提供科学依据，确保产品定价准确无误。 2. 定期审查现有保险产品的风险状况，及时调整费率或条款，以降低潜在损失并提高盈利能力。 3. 与相关部门合作，参与制定风…</x:v>
      </x:c>
    </x:row>
    <x:row r="1259" ht="72" customHeight="1">
      <x:c r="A1259" s="25" t="n">
        <x:v>12151</x:v>
      </x:c>
      <x:c r="B1259" s="25" t="str">
        <x:v>IC-L3-1408</x:v>
      </x:c>
      <x:c r="C1259" s="25" t="str">
        <x:v>保险经纪人/保险代理</x:v>
      </x:c>
      <x:c r="D1259" s="25" t="str">
        <x:v>2-06-10-01</x:v>
      </x:c>
      <x:c r="E1259" s="25" t="str">
        <x:v>精算专业人员</x:v>
      </x:c>
      <x:c r="F1259" s="28" t="n">
        <x:f>COUNTIF('岗位-产业节点关系'!$C$4:$C$709,B1259)</x:f>
        <x:v>0</x:v>
      </x:c>
      <x:c r="G1259" s="26" t="str">
        <x:f>IF(F1259=0,"未匹配（现有产业链范围未覆盖或证据不足）",IF(COUNTIFS('岗位-产业节点关系'!$C$4:$C$709,B1259,'岗位-产业节点关系'!$M$4:$M$709,"低")&gt;0,"已匹配，建议复核","已匹配"))</x:f>
        <x:v>未匹配（现有产业链范围未覆盖或证据不足）</x:v>
      </x:c>
      <x:c r="H1259" s="26" t="str">
        <x:v>-</x:v>
      </x:c>
      <x:c r="I1259" s="26" t="str"/>
      <x:c r="J1259" s="26" t="str"/>
      <x:c r="K1259" s="26" t="str">
        <x:v>保险经纪人在金融行业中扮演着至关重要的角色，他们是客户与保险公司之间的桥梁，不仅帮助个人和企业识别潜在的风险并提供相应的保险解决方案，而且通过专业知识和技能确保客户能够获得最合适的保障计划。该职位的核心目标是深入了解客户…</x:v>
      </x:c>
      <x:c r="L1259" s="26" t="str">
        <x:v>1. 通过面对面交流、电话沟通等方式收集客户的保险需求信息，分析其风险点，为客户量身定制保险方案。 2. 向客户解释保险条款、费用构成等细节，解答客户疑问，引导客户完成投保流程，确保客户充分理解所购买的保险产品。 3. …</x:v>
      </x:c>
    </x:row>
    <x:row r="1260" ht="72" customHeight="1">
      <x:c r="A1260" s="25" t="n">
        <x:v>12152</x:v>
      </x:c>
      <x:c r="B1260" s="25" t="str">
        <x:v>IC-L3-1409</x:v>
      </x:c>
      <x:c r="C1260" s="25" t="str">
        <x:v>储备经理人</x:v>
      </x:c>
      <x:c r="D1260" s="25" t="str">
        <x:v>2-06-10-01</x:v>
      </x:c>
      <x:c r="E1260" s="25" t="str">
        <x:v>精算专业人员</x:v>
      </x:c>
      <x:c r="F1260" s="28" t="n">
        <x:f>COUNTIF('岗位-产业节点关系'!$C$4:$C$709,B1260)</x:f>
        <x:v>0</x:v>
      </x:c>
      <x:c r="G1260" s="26" t="str">
        <x:f>IF(F1260=0,"未匹配（现有产业链范围未覆盖或证据不足）",IF(COUNTIFS('岗位-产业节点关系'!$C$4:$C$709,B1260,'岗位-产业节点关系'!$M$4:$M$709,"低")&gt;0,"已匹配，建议复核","已匹配"))</x:f>
        <x:v>未匹配（现有产业链范围未覆盖或证据不足）</x:v>
      </x:c>
      <x:c r="H1260" s="26" t="str">
        <x:v>-</x:v>
      </x:c>
      <x:c r="I1260" s="26" t="str"/>
      <x:c r="J1260" s="26" t="str"/>
      <x:c r="K1260" s="26" t="str">
        <x:v>作为金融行业中保险领域的储备经理人，您将扮演着至关重要的角色。这一职位不仅是公司内部管理和业务发展的核心力量，更是推动保险产品创新和服务质量提升的关键所在。通过您的专业知识与管理才能，能够有效提升客户满意度，促进公司业务…</x:v>
      </x:c>
      <x:c r="L1260" s="26" t="str">
        <x:v>1. 制定并实施年度销售计划，指导团队成员完成销售目标，确保公司业务持续增长。 2. 分析市场动态及客户需求，优化现有保险产品或开发新产品，以满足市场的变化需求。 3. 组织并培训销售团队，提升团队整体的专业水平和服务意…</x:v>
      </x:c>
    </x:row>
    <x:row r="1261" ht="72" customHeight="1">
      <x:c r="A1261" s="25" t="n">
        <x:v>12153</x:v>
      </x:c>
      <x:c r="B1261" s="25" t="str">
        <x:v>IC-L3-1410</x:v>
      </x:c>
      <x:c r="C1261" s="25" t="str">
        <x:v>契约管理</x:v>
      </x:c>
      <x:c r="D1261" s="25" t="str">
        <x:v>2-06-10-01</x:v>
      </x:c>
      <x:c r="E1261" s="25" t="str">
        <x:v>精算专业人员</x:v>
      </x:c>
      <x:c r="F1261" s="28" t="n">
        <x:f>COUNTIF('岗位-产业节点关系'!$C$4:$C$709,B1261)</x:f>
        <x:v>0</x:v>
      </x:c>
      <x:c r="G1261" s="26" t="str">
        <x:f>IF(F1261=0,"未匹配（现有产业链范围未覆盖或证据不足）",IF(COUNTIFS('岗位-产业节点关系'!$C$4:$C$709,B1261,'岗位-产业节点关系'!$M$4:$M$709,"低")&gt;0,"已匹配，建议复核","已匹配"))</x:f>
        <x:v>未匹配（现有产业链范围未覆盖或证据不足）</x:v>
      </x:c>
      <x:c r="H1261" s="26" t="str">
        <x:v>-</x:v>
      </x:c>
      <x:c r="I1261" s="26" t="str"/>
      <x:c r="J1261" s="26" t="str"/>
      <x:c r="K1261" s="26" t="str">
        <x:v>契约管理是保险行业中不可或缺的关键角色，负责确保所有保险合同的准确性和合规性。作为保险公司与客户之间的桥梁，契约管理人员通过高效处理各种保险协议，不仅能够提高客户满意度，还直接关系到公司的品牌形象和市场竞争力。此外，该职…</x:v>
      </x:c>
      <x:c r="L1261" s="26" t="str">
        <x:v>1. 负责审核并管理所有新签及续签的保险合同，确保条款清晰、合法有效，符合公司政策及法律法规要求。 2. 协助解决合同执行过程中出现的问题，及时与相关部门沟通协调，保证问题得到妥善处理，维护公司利益。 3. 定期更新维护…</x:v>
      </x:c>
    </x:row>
    <x:row r="1262" ht="72" customHeight="1">
      <x:c r="A1262" s="25" t="n">
        <x:v>12154</x:v>
      </x:c>
      <x:c r="B1262" s="25" t="str">
        <x:v>IC-L3-1411</x:v>
      </x:c>
      <x:c r="C1262" s="25" t="str">
        <x:v>理财顾问</x:v>
      </x:c>
      <x:c r="D1262" s="25" t="str">
        <x:v>2-06-10-01</x:v>
      </x:c>
      <x:c r="E1262" s="25" t="str">
        <x:v>精算专业人员</x:v>
      </x:c>
      <x:c r="F1262" s="28" t="n">
        <x:f>COUNTIF('岗位-产业节点关系'!$C$4:$C$709,B1262)</x:f>
        <x:v>0</x:v>
      </x:c>
      <x:c r="G1262" s="26" t="str">
        <x:f>IF(F1262=0,"未匹配（现有产业链范围未覆盖或证据不足）",IF(COUNTIFS('岗位-产业节点关系'!$C$4:$C$709,B1262,'岗位-产业节点关系'!$M$4:$M$709,"低")&gt;0,"已匹配，建议复核","已匹配"))</x:f>
        <x:v>未匹配（现有产业链范围未覆盖或证据不足）</x:v>
      </x:c>
      <x:c r="H1262" s="26" t="str">
        <x:v>-</x:v>
      </x:c>
      <x:c r="I1262" s="26" t="str"/>
      <x:c r="J1262" s="26" t="str"/>
      <x:c r="K1262" s="26" t="str">
        <x:v>理财顾问是保险行业中不可或缺的角色，他们不仅帮助客户实现财富的增长与保护，还通过提供专业的财务规划服务，增强客户的财务安全感。作为保险公司与客户之间的桥梁，理财顾问的核心目标在于深入了解客户需求，为其量身定制合适的保险产…</x:v>
      </x:c>
      <x:c r="L1262" s="26" t="str">
        <x:v>1. 通过面谈、电话沟通等方式，收集并分析客户的财务状况、投资偏好及未来规划，为其提供个性化的理财建议。 2. 根据客户需求推荐合适的保险产品和服务方案，协助客户完成投保流程，确保所有文件准确无误。 3. 定期回访客户，…</x:v>
      </x:c>
    </x:row>
    <x:row r="1263" ht="72" customHeight="1">
      <x:c r="A1263" s="25" t="n">
        <x:v>12155</x:v>
      </x:c>
      <x:c r="B1263" s="25" t="str">
        <x:v>IC-L3-1412</x:v>
      </x:c>
      <x:c r="C1263" s="25" t="str">
        <x:v>风险控制</x:v>
      </x:c>
      <x:c r="D1263" s="25" t="str">
        <x:v>2-06-10-01</x:v>
      </x:c>
      <x:c r="E1263" s="25" t="str">
        <x:v>精算专业人员</x:v>
      </x:c>
      <x:c r="F1263" s="28" t="n">
        <x:f>COUNTIF('岗位-产业节点关系'!$C$4:$C$709,B1263)</x:f>
        <x:v>0</x:v>
      </x:c>
      <x:c r="G1263" s="26" t="str">
        <x:f>IF(F1263=0,"未匹配（现有产业链范围未覆盖或证据不足）",IF(COUNTIFS('岗位-产业节点关系'!$C$4:$C$709,B1263,'岗位-产业节点关系'!$M$4:$M$709,"低")&gt;0,"已匹配，建议复核","已匹配"))</x:f>
        <x:v>未匹配（现有产业链范围未覆盖或证据不足）</x:v>
      </x:c>
      <x:c r="H1263" s="26" t="str">
        <x:v>-</x:v>
      </x:c>
      <x:c r="I1263" s="26" t="str"/>
      <x:c r="J1263" s="26" t="str"/>
      <x:c r="K1263" s="26" t="str">
        <x:v>风险控制是专门从事保险业务风险评估与管理的专业人员。该职位的核心目标是通过识别、分析和管控风险，实现公司业务稳健发展。在日常工作中，需要进行风险数据监测、承保风险评估、理赔风险审核以及制定风险防控策略等工作。</x:v>
      </x:c>
      <x:c r="L1263" s="26" t="str">
        <x:v>1. 制定风控政策制度 2. 评估保险产品风险 3. 监控业务风险指标 4. 分析理赔数据风险 5. 实施风险预警机制 6. 优化风险管理流程</x:v>
      </x:c>
    </x:row>
    <x:row r="1264" ht="72" customHeight="1">
      <x:c r="A1264" s="25" t="n">
        <x:v>12156</x:v>
      </x:c>
      <x:c r="B1264" s="25" t="str">
        <x:v>IC-L3-1413</x:v>
      </x:c>
      <x:c r="C1264" s="25" t="str">
        <x:v>投后管理</x:v>
      </x:c>
      <x:c r="D1264" s="25" t="str">
        <x:v>2-06-11-02</x:v>
      </x:c>
      <x:c r="E1264" s="25" t="str">
        <x:v>证券交易专业人员</x:v>
      </x:c>
      <x:c r="F1264" s="28" t="n">
        <x:f>COUNTIF('岗位-产业节点关系'!$C$4:$C$709,B1264)</x:f>
        <x:v>0</x:v>
      </x:c>
      <x:c r="G1264" s="26" t="str">
        <x:f>IF(F1264=0,"未匹配（现有产业链范围未覆盖或证据不足）",IF(COUNTIFS('岗位-产业节点关系'!$C$4:$C$709,B1264,'岗位-产业节点关系'!$M$4:$M$709,"低")&gt;0,"已匹配，建议复核","已匹配"))</x:f>
        <x:v>未匹配（现有产业链范围未覆盖或证据不足）</x:v>
      </x:c>
      <x:c r="H1264" s="26" t="str">
        <x:v>-</x:v>
      </x:c>
      <x:c r="I1264" s="26" t="str"/>
      <x:c r="J1264" s="26" t="str"/>
      <x:c r="K1264" s="26" t="str">
        <x:v>投后管理是金融行业中投融资领域的重要组成部分，主要负责对已完成投资项目的后续管理和监控，确保投资项目能够实现预期的投资回报，降低投资风险。通过深入分析项目运营状况、财务数据等关键指标，及时发现并解决潜在问题，优化投资组合…</x:v>
      </x:c>
      <x:c r="L1264" s="26" t="str">
        <x:v>1. 定期跟踪已投项目的进展情况，收集相关资料，编写项目分析报告，评估项目运行效果，确保投资项目符合预期目标。 2. 与被投企业建立良好的沟通渠道，定期组织会议或现场考察，了解企业的经营状况及需求变化，提供必要的支持与建…</x:v>
      </x:c>
    </x:row>
    <x:row r="1265" ht="72" customHeight="1">
      <x:c r="A1265" s="25" t="n">
        <x:v>12157</x:v>
      </x:c>
      <x:c r="B1265" s="25" t="str">
        <x:v>IC-L3-1414</x:v>
      </x:c>
      <x:c r="C1265" s="25" t="str">
        <x:v>投资并购</x:v>
      </x:c>
      <x:c r="D1265" s="25" t="str">
        <x:v>2-06-11-02</x:v>
      </x:c>
      <x:c r="E1265" s="25" t="str">
        <x:v>证券交易专业人员</x:v>
      </x:c>
      <x:c r="F1265" s="28" t="n">
        <x:f>COUNTIF('岗位-产业节点关系'!$C$4:$C$709,B1265)</x:f>
        <x:v>0</x:v>
      </x:c>
      <x:c r="G1265" s="26" t="str">
        <x:f>IF(F1265=0,"未匹配（现有产业链范围未覆盖或证据不足）",IF(COUNTIFS('岗位-产业节点关系'!$C$4:$C$709,B1265,'岗位-产业节点关系'!$M$4:$M$709,"低")&gt;0,"已匹配，建议复核","已匹配"))</x:f>
        <x:v>未匹配（现有产业链范围未覆盖或证据不足）</x:v>
      </x:c>
      <x:c r="H1265" s="26" t="str">
        <x:v>-</x:v>
      </x:c>
      <x:c r="I1265" s="26" t="str"/>
      <x:c r="J1265" s="26" t="str"/>
      <x:c r="K1265" s="26" t="str">
        <x:v>投资并购经理在金融行业中扮演着至关重要的角色，尤其是在投融资领域。他们负责评估潜在的投资机会与并购项目，确保公司能够实现资本的有效配置并促进业务增长。通过精准的市场分析、财务预测以及谈判技巧，该职位不仅有助于公司规避风险…</x:v>
      </x:c>
      <x:c r="L1265" s="26" t="str">
        <x:v>1. 负责寻找并筛选潜在的投资与并购目标，进行初步接触与洽谈，旨在扩大公司业务版图或增强核心竞争力。 2. 组织并参与尽职调查过程，深入分析目标企业的财务状况、市场地位及发展前景，确保投资决策的科学性和合理性。 3. 制…</x:v>
      </x:c>
    </x:row>
    <x:row r="1266" ht="72" customHeight="1">
      <x:c r="A1266" s="25" t="n">
        <x:v>12158</x:v>
      </x:c>
      <x:c r="B1266" s="25" t="str">
        <x:v>IC-L3-1415</x:v>
      </x:c>
      <x:c r="C1266" s="25" t="str">
        <x:v>投资总监</x:v>
      </x:c>
      <x:c r="D1266" s="25" t="str">
        <x:v>2-06-11-02</x:v>
      </x:c>
      <x:c r="E1266" s="25" t="str">
        <x:v>证券交易专业人员</x:v>
      </x:c>
      <x:c r="F1266" s="28" t="n">
        <x:f>COUNTIF('岗位-产业节点关系'!$C$4:$C$709,B1266)</x:f>
        <x:v>0</x:v>
      </x:c>
      <x:c r="G1266" s="26" t="str">
        <x:f>IF(F1266=0,"未匹配（现有产业链范围未覆盖或证据不足）",IF(COUNTIFS('岗位-产业节点关系'!$C$4:$C$709,B1266,'岗位-产业节点关系'!$M$4:$M$709,"低")&gt;0,"已匹配，建议复核","已匹配"))</x:f>
        <x:v>未匹配（现有产业链范围未覆盖或证据不足）</x:v>
      </x:c>
      <x:c r="H1266" s="26" t="str">
        <x:v>-</x:v>
      </x:c>
      <x:c r="I1266" s="26" t="str"/>
      <x:c r="J1266" s="26" t="str"/>
      <x:c r="K1266" s="26" t="str">
        <x:v>投资总监是金融行业中投融资领域的重要领导角色，负责指导和管理公司或机构的投资决策，确保资金的有效利用与增值。通过精准的市场分析和投资组合管理，该职位对于实现企业的长期战略目标至关重要，是连接金融市场与企业战略的关键桥梁。…</x:v>
      </x:c>
      <x:c r="L1266" s="26" t="str">
        <x:v>1. 负责制定全面的投资策略，评估潜在投资项目的风险与收益，确保投资组合的合理配置及持续增长。 2. 领导投资团队完成项目尽职调查，包括但不限于市场调研、财务分析、法律审查等工作，确保所有决策基于充分的信息和数据。 3.…</x:v>
      </x:c>
    </x:row>
    <x:row r="1267" ht="72" customHeight="1">
      <x:c r="A1267" s="25" t="n">
        <x:v>12159</x:v>
      </x:c>
      <x:c r="B1267" s="25" t="str">
        <x:v>IC-L3-1416</x:v>
      </x:c>
      <x:c r="C1267" s="25" t="str">
        <x:v>投资经理</x:v>
      </x:c>
      <x:c r="D1267" s="25" t="str">
        <x:v>2-06-11-02</x:v>
      </x:c>
      <x:c r="E1267" s="25" t="str">
        <x:v>证券交易专业人员</x:v>
      </x:c>
      <x:c r="F1267" s="28" t="n">
        <x:f>COUNTIF('岗位-产业节点关系'!$C$4:$C$709,B1267)</x:f>
        <x:v>0</x:v>
      </x:c>
      <x:c r="G1267" s="26" t="str">
        <x:f>IF(F1267=0,"未匹配（现有产业链范围未覆盖或证据不足）",IF(COUNTIFS('岗位-产业节点关系'!$C$4:$C$709,B1267,'岗位-产业节点关系'!$M$4:$M$709,"低")&gt;0,"已匹配，建议复核","已匹配"))</x:f>
        <x:v>未匹配（现有产业链范围未覆盖或证据不足）</x:v>
      </x:c>
      <x:c r="H1267" s="26" t="str">
        <x:v>-</x:v>
      </x:c>
      <x:c r="I1267" s="26" t="str"/>
      <x:c r="J1267" s="26" t="str"/>
      <x:c r="K1267" s="26" t="str">
        <x:v>投资经理是金融行业中至关重要的角色之一，尤其是在投融资领域。作为投资决策的关键人物，投资经理负责评估潜在的投资机会，制定并执行投资策略，以实现资本的最大化增值。该职位不仅要求具备深厚的专业知识和市场洞察力，还需要拥有出色…</x:v>
      </x:c>
      <x:c r="L1267" s="26" t="str">
        <x:v>1. 负责进行市场调研，识别潜在的投资机会，制定符合公司战略的投资计划。 2. 对拟投资项目进行全面的财务分析，包括但不限于盈利预测、现金流分析等，确保投资决策的科学性和合理性。 3. 协调内外部资源，组织并参与项目的尽…</x:v>
      </x:c>
    </x:row>
    <x:row r="1268" ht="72" customHeight="1">
      <x:c r="A1268" s="25" t="n">
        <x:v>12160</x:v>
      </x:c>
      <x:c r="B1268" s="25" t="str">
        <x:v>IC-L3-1417</x:v>
      </x:c>
      <x:c r="C1268" s="25" t="str">
        <x:v>投资者关系</x:v>
      </x:c>
      <x:c r="D1268" s="25" t="str">
        <x:v>2-06-11-02</x:v>
      </x:c>
      <x:c r="E1268" s="25" t="str">
        <x:v>证券交易专业人员</x:v>
      </x:c>
      <x:c r="F1268" s="28" t="n">
        <x:f>COUNTIF('岗位-产业节点关系'!$C$4:$C$709,B1268)</x:f>
        <x:v>0</x:v>
      </x:c>
      <x:c r="G1268" s="26" t="str">
        <x:f>IF(F1268=0,"未匹配（现有产业链范围未覆盖或证据不足）",IF(COUNTIFS('岗位-产业节点关系'!$C$4:$C$709,B1268,'岗位-产业节点关系'!$M$4:$M$709,"低")&gt;0,"已匹配，建议复核","已匹配"))</x:f>
        <x:v>未匹配（现有产业链范围未覆盖或证据不足）</x:v>
      </x:c>
      <x:c r="H1268" s="26" t="str">
        <x:v>-</x:v>
      </x:c>
      <x:c r="I1268" s="26" t="str"/>
      <x:c r="J1268" s="26" t="str"/>
      <x:c r="K1268" s="26" t="str">
        <x:v>投资者关系在金融行业中扮演着至关重要的角色，它不仅架起了公司与外部投资者之间的沟通桥梁，还确保了信息传递的透明度与及时性。作为投融资方向的一个核心岗位，投资者关系专员的主要目标是通过建立并维护与现有及潜在投资者的良好关系…</x:v>
      </x:c>
      <x:c r="L1268" s="26" t="str">
        <x:v>1. 负责策划并组织定期的投资者会议、路演活动等，以增强投资者对公司战略的理解和支持。 2. 定期编制并向投资者发布准确、全面的财务报告及非财务信息，确保信息的真实性和完整性。 3. 与主要股东保持密切联系，收集反馈意见…</x:v>
      </x:c>
    </x:row>
    <x:row r="1269" ht="72" customHeight="1">
      <x:c r="A1269" s="25" t="n">
        <x:v>12161</x:v>
      </x:c>
      <x:c r="B1269" s="25" t="str">
        <x:v>IC-L3-1418</x:v>
      </x:c>
      <x:c r="C1269" s="25" t="str">
        <x:v>投资银行业务</x:v>
      </x:c>
      <x:c r="D1269" s="25" t="str">
        <x:v>2-06-11-02</x:v>
      </x:c>
      <x:c r="E1269" s="25" t="str">
        <x:v>证券交易专业人员</x:v>
      </x:c>
      <x:c r="F1269" s="28" t="n">
        <x:f>COUNTIF('岗位-产业节点关系'!$C$4:$C$709,B1269)</x:f>
        <x:v>0</x:v>
      </x:c>
      <x:c r="G1269" s="26" t="str">
        <x:f>IF(F1269=0,"未匹配（现有产业链范围未覆盖或证据不足）",IF(COUNTIFS('岗位-产业节点关系'!$C$4:$C$709,B1269,'岗位-产业节点关系'!$M$4:$M$709,"低")&gt;0,"已匹配，建议复核","已匹配"))</x:f>
        <x:v>未匹配（现有产业链范围未覆盖或证据不足）</x:v>
      </x:c>
      <x:c r="H1269" s="26" t="str">
        <x:v>-</x:v>
      </x:c>
      <x:c r="I1269" s="26" t="str"/>
      <x:c r="J1269" s="26" t="str"/>
      <x:c r="K1269" s="26" t="str">
        <x:v>投资银行家在金融行业中扮演着至关重要的角色，他们不仅是资本市场的桥梁，也是企业成长与转型的关键推手。通过提供专业的财务建议、协助完成复杂的交易过程，投资银行家帮助客户实现资本运作的目标，从而促进经济的健康发展。 核心目标…</x:v>
      </x:c>
      <x:c r="L1269" s="26" t="str">
        <x:v>1. 负责开展项目前期调研工作，收集分析相关行业数据，评估潜在投资机会，确保项目符合公司战略发展方向。 2. 协调组织项目谈判会议，制定详细的交易方案，包括定价策略、支付方式等内容，推动交易顺利进行直至最终完成。 3. …</x:v>
      </x:c>
    </x:row>
    <x:row r="1270" ht="72" customHeight="1">
      <x:c r="A1270" s="25" t="n">
        <x:v>12162</x:v>
      </x:c>
      <x:c r="B1270" s="25" t="str">
        <x:v>IC-L3-1419</x:v>
      </x:c>
      <x:c r="C1270" s="25" t="str">
        <x:v>投资顾问</x:v>
      </x:c>
      <x:c r="D1270" s="25" t="str">
        <x:v>2-06-11-02</x:v>
      </x:c>
      <x:c r="E1270" s="25" t="str">
        <x:v>证券交易专业人员</x:v>
      </x:c>
      <x:c r="F1270" s="28" t="n">
        <x:f>COUNTIF('岗位-产业节点关系'!$C$4:$C$709,B1270)</x:f>
        <x:v>0</x:v>
      </x:c>
      <x:c r="G1270" s="26" t="str">
        <x:f>IF(F1270=0,"未匹配（现有产业链范围未覆盖或证据不足）",IF(COUNTIFS('岗位-产业节点关系'!$C$4:$C$709,B1270,'岗位-产业节点关系'!$M$4:$M$709,"低")&gt;0,"已匹配，建议复核","已匹配"))</x:f>
        <x:v>未匹配（现有产业链范围未覆盖或证据不足）</x:v>
      </x:c>
      <x:c r="H1270" s="26" t="str">
        <x:v>-</x:v>
      </x:c>
      <x:c r="I1270" s="26" t="str"/>
      <x:c r="J1270" s="26" t="str"/>
      <x:c r="K1270" s="26" t="str">
        <x:v>投资顾问是金融行业中不可或缺的专业角色，尤其在投融资领域中，他们通过精准的市场分析与预测，为企业和个人提供专业的投资建议，帮助客户实现资产的保值增值。该职位不仅需要具备深厚的金融知识和敏锐的市场洞察力，还需要拥有良好的沟…</x:v>
      </x:c>
      <x:c r="L1270" s="26" t="str">
        <x:v>1. 为客户提供全面的投资咨询及财务规划服务，包括但不限于股票、债券、基金等多种金融产品的分析与推荐，旨在帮助客户构建合理的资产配置方案，实现财富最大化。 2. 定期跟踪市场动态，研究宏观经济政策、行业发展状况以及企业经…</x:v>
      </x:c>
    </x:row>
    <x:row r="1271" ht="72" customHeight="1">
      <x:c r="A1271" s="25" t="n">
        <x:v>12163</x:v>
      </x:c>
      <x:c r="B1271" s="25" t="str">
        <x:v>IC-L3-1420</x:v>
      </x:c>
      <x:c r="C1271" s="25" t="str">
        <x:v>融资专员</x:v>
      </x:c>
      <x:c r="D1271" s="25" t="str">
        <x:v>2-06-11-02</x:v>
      </x:c>
      <x:c r="E1271" s="25" t="str">
        <x:v>证券交易专业人员</x:v>
      </x:c>
      <x:c r="F1271" s="28" t="n">
        <x:f>COUNTIF('岗位-产业节点关系'!$C$4:$C$709,B1271)</x:f>
        <x:v>0</x:v>
      </x:c>
      <x:c r="G1271" s="26" t="str">
        <x:f>IF(F1271=0,"未匹配（现有产业链范围未覆盖或证据不足）",IF(COUNTIFS('岗位-产业节点关系'!$C$4:$C$709,B1271,'岗位-产业节点关系'!$M$4:$M$709,"低")&gt;0,"已匹配，建议复核","已匹配"))</x:f>
        <x:v>未匹配（现有产业链范围未覆盖或证据不足）</x:v>
      </x:c>
      <x:c r="H1271" s="26" t="str">
        <x:v>-</x:v>
      </x:c>
      <x:c r="I1271" s="26" t="str"/>
      <x:c r="J1271" s="26" t="str"/>
      <x:c r="K1271" s="26" t="str">
        <x:v>融资专员是金融行业中不可或缺的专业人才，在投融资领域扮演着关键的角色。通过与金融机构、投资者等建立良好的关系，融资专员能够为公司或项目筹集所需资金，促进企业成长和发展。在企业内部，他们不仅负责制定融资策略，评估融资成本和…</x:v>
      </x:c>
      <x:c r="L1271" s="26" t="str">
        <x:v>1. 负责收集并分析市场信息，识别潜在的资金来源，建立和维护与银行、基金、证券公司等金融机构的合作关系，以获取最优的融资条件。 2. 根据公司战略目标及实际需求，设计融资方案，包括但不限于股权融资、债权融资等方式，确保融…</x:v>
      </x:c>
    </x:row>
    <x:row r="1272" ht="72" customHeight="1">
      <x:c r="A1272" s="25" t="n">
        <x:v>12164</x:v>
      </x:c>
      <x:c r="B1272" s="25" t="str">
        <x:v>IC-L3-1421</x:v>
      </x:c>
      <x:c r="C1272" s="25" t="str">
        <x:v>融资总监</x:v>
      </x:c>
      <x:c r="D1272" s="25" t="str">
        <x:v>2-06-11-02</x:v>
      </x:c>
      <x:c r="E1272" s="25" t="str">
        <x:v>证券交易专业人员</x:v>
      </x:c>
      <x:c r="F1272" s="28" t="n">
        <x:f>COUNTIF('岗位-产业节点关系'!$C$4:$C$709,B1272)</x:f>
        <x:v>0</x:v>
      </x:c>
      <x:c r="G1272" s="26" t="str">
        <x:f>IF(F1272=0,"未匹配（现有产业链范围未覆盖或证据不足）",IF(COUNTIFS('岗位-产业节点关系'!$C$4:$C$709,B1272,'岗位-产业节点关系'!$M$4:$M$709,"低")&gt;0,"已匹配，建议复核","已匹配"))</x:f>
        <x:v>未匹配（现有产业链范围未覆盖或证据不足）</x:v>
      </x:c>
      <x:c r="H1272" s="26" t="str">
        <x:v>-</x:v>
      </x:c>
      <x:c r="I1272" s="26" t="str"/>
      <x:c r="J1272" s="26" t="str"/>
      <x:c r="K1272" s="26" t="str">
        <x:v>融资总监是金融行业中至关重要的高级管理职位，负责领导公司融资策略的制定与实施，确保公司资本结构合理优化，为公司的长期稳定发展提供强有力的资金支持。作为公司的核心财务管理人员之一，融资总监的主要目标是通过高效的资金筹集和管…</x:v>
      </x:c>
      <x:c r="L1272" s="26" t="str">
        <x:v>1. 负责公司整体融资策略的规划与执行，包括但不限于股权融资、债权融资等方式，以满足公司不同阶段的资金需求。 2. 与外部金融机构建立并维护良好的合作关系，开拓多元化的融资渠道，确保公司在复杂多变的市场环境中获得持续稳定…</x:v>
      </x:c>
    </x:row>
    <x:row r="1273" ht="72" customHeight="1">
      <x:c r="A1273" s="25" t="n">
        <x:v>12165</x:v>
      </x:c>
      <x:c r="B1273" s="25" t="str">
        <x:v>IC-L3-1422</x:v>
      </x:c>
      <x:c r="C1273" s="25" t="str">
        <x:v>融资经理/融资主管</x:v>
      </x:c>
      <x:c r="D1273" s="25" t="str">
        <x:v>2-06-11-02</x:v>
      </x:c>
      <x:c r="E1273" s="25" t="str">
        <x:v>证券交易专业人员</x:v>
      </x:c>
      <x:c r="F1273" s="28" t="n">
        <x:f>COUNTIF('岗位-产业节点关系'!$C$4:$C$709,B1273)</x:f>
        <x:v>0</x:v>
      </x:c>
      <x:c r="G1273" s="26" t="str">
        <x:f>IF(F1273=0,"未匹配（现有产业链范围未覆盖或证据不足）",IF(COUNTIFS('岗位-产业节点关系'!$C$4:$C$709,B1273,'岗位-产业节点关系'!$M$4:$M$709,"低")&gt;0,"已匹配，建议复核","已匹配"))</x:f>
        <x:v>未匹配（现有产业链范围未覆盖或证据不足）</x:v>
      </x:c>
      <x:c r="H1273" s="26" t="str">
        <x:v>-</x:v>
      </x:c>
      <x:c r="I1273" s="26" t="str"/>
      <x:c r="J1273" s="26" t="str"/>
      <x:c r="K1273" s="26" t="str">
        <x:v>融资经理/融资主管是金融行业中投融资领域的重要角色，主要负责公司资金筹集与管理，确保企业运营的资金需求得到满足。通过制定并执行有效的融资策略，不仅能够帮助企业降低财务成本，提高资金使用效率，还能够在复杂的市场环境中为企业…</x:v>
      </x:c>
      <x:c r="L1273" s="26" t="str">
        <x:v>1. 负责制定并实施公司年度融资计划，确保按时完成既定目标，保障公司运营所需资金及时到位。 2. 开拓并维护多元化的融资渠道，包括但不限于银行贷款、债券发行、股权融资等方式，以降低融资成本，优化资本结构。 3. 对潜在融…</x:v>
      </x:c>
    </x:row>
    <x:row r="1274" ht="72" customHeight="1">
      <x:c r="A1274" s="25" t="n">
        <x:v>12166</x:v>
      </x:c>
      <x:c r="B1274" s="25" t="str">
        <x:v>IC-L3-1423</x:v>
      </x:c>
      <x:c r="C1274" s="25" t="str">
        <x:v>融资顾问</x:v>
      </x:c>
      <x:c r="D1274" s="25" t="str">
        <x:v>2-06-11-02</x:v>
      </x:c>
      <x:c r="E1274" s="25" t="str">
        <x:v>证券交易专业人员</x:v>
      </x:c>
      <x:c r="F1274" s="28" t="n">
        <x:f>COUNTIF('岗位-产业节点关系'!$C$4:$C$709,B1274)</x:f>
        <x:v>0</x:v>
      </x:c>
      <x:c r="G1274" s="26" t="str">
        <x:f>IF(F1274=0,"未匹配（现有产业链范围未覆盖或证据不足）",IF(COUNTIFS('岗位-产业节点关系'!$C$4:$C$709,B1274,'岗位-产业节点关系'!$M$4:$M$709,"低")&gt;0,"已匹配，建议复核","已匹配"))</x:f>
        <x:v>未匹配（现有产业链范围未覆盖或证据不足）</x:v>
      </x:c>
      <x:c r="H1274" s="26" t="str">
        <x:v>-</x:v>
      </x:c>
      <x:c r="I1274" s="26" t="str"/>
      <x:c r="J1274" s="26" t="str"/>
      <x:c r="K1274" s="26" t="str">
        <x:v>融资顾问是金融行业中不可或缺的专业角色，尤其在投融资领域中扮演着至关重要的角色。通过为客户提供量身定制的融资方案，帮助客户优化资本结构、降低财务成本并实现战略目标，从而在激烈的市场竞争中占据有利地位。本职位不仅需要与内部…</x:v>
      </x:c>
      <x:c r="L1274" s="26" t="str">
        <x:v>1. 负责搜集并分析市场信息，结合客户需求设计合理的融资计划，确保方案的可行性和竞争力。 2. 协调内外部资源，组织召开项目会议，推进融资流程顺利进行，直至完成资金到位。 3. 定期向客户汇报项目进展情况，解答客户的疑问…</x:v>
      </x:c>
    </x:row>
    <x:row r="1275" ht="72" customHeight="1">
      <x:c r="A1275" s="25" t="n">
        <x:v>12167</x:v>
      </x:c>
      <x:c r="B1275" s="25" t="str">
        <x:v>IC-L3-1424</x:v>
      </x:c>
      <x:c r="C1275" s="25" t="str">
        <x:v>期货分析师</x:v>
      </x:c>
      <x:c r="D1275" s="25" t="str">
        <x:v>2-06-11-02</x:v>
      </x:c>
      <x:c r="E1275" s="25" t="str">
        <x:v>证券交易专业人员</x:v>
      </x:c>
      <x:c r="F1275" s="28" t="n">
        <x:f>COUNTIF('岗位-产业节点关系'!$C$4:$C$709,B1275)</x:f>
        <x:v>0</x:v>
      </x:c>
      <x:c r="G1275" s="26" t="str">
        <x:f>IF(F1275=0,"未匹配（现有产业链范围未覆盖或证据不足）",IF(COUNTIFS('岗位-产业节点关系'!$C$4:$C$709,B1275,'岗位-产业节点关系'!$M$4:$M$709,"低")&gt;0,"已匹配，建议复核","已匹配"))</x:f>
        <x:v>未匹配（现有产业链范围未覆盖或证据不足）</x:v>
      </x:c>
      <x:c r="H1275" s="26" t="str">
        <x:v>-</x:v>
      </x:c>
      <x:c r="I1275" s="26" t="str"/>
      <x:c r="J1275" s="26" t="str"/>
      <x:c r="K1275" s="26" t="str">
        <x:v>期货分析师是金融市场中不可或缺的专业人才，他们通过深入研究市场动态、经济指标及政策变化，为投资者提供准确的期货市场分析与预测，帮助客户做出合理的投资决策。作为期货交易中的智囊团，期货分析师不仅能够洞悉市场趋势，还具备较强…</x:v>
      </x:c>
      <x:c r="L1275" s="26" t="str">
        <x:v>1. 负责收集并分析宏观经济数据、行业信息以及相关政策法规，撰写高质量的期货研究报告，为投资决策提供科学依据。 2. 对国内外主要商品期货品种进行持续跟踪研究，及时发现潜在的投资机会，提出具体的投资建议。 3. 定期参与…</x:v>
      </x:c>
    </x:row>
    <x:row r="1276" ht="72" customHeight="1">
      <x:c r="A1276" s="25" t="n">
        <x:v>12168</x:v>
      </x:c>
      <x:c r="B1276" s="25" t="str">
        <x:v>IC-L3-1425</x:v>
      </x:c>
      <x:c r="C1276" s="25" t="str">
        <x:v>股票/期货操盘手</x:v>
      </x:c>
      <x:c r="D1276" s="25" t="str">
        <x:v>2-06-11-02</x:v>
      </x:c>
      <x:c r="E1276" s="25" t="str">
        <x:v>证券交易专业人员</x:v>
      </x:c>
      <x:c r="F1276" s="28" t="n">
        <x:f>COUNTIF('岗位-产业节点关系'!$C$4:$C$709,B1276)</x:f>
        <x:v>0</x:v>
      </x:c>
      <x:c r="G1276" s="26" t="str">
        <x:f>IF(F1276=0,"未匹配（现有产业链范围未覆盖或证据不足）",IF(COUNTIFS('岗位-产业节点关系'!$C$4:$C$709,B1276,'岗位-产业节点关系'!$M$4:$M$709,"低")&gt;0,"已匹配，建议复核","已匹配"))</x:f>
        <x:v>未匹配（现有产业链范围未覆盖或证据不足）</x:v>
      </x:c>
      <x:c r="H1276" s="26" t="str">
        <x:v>-</x:v>
      </x:c>
      <x:c r="I1276" s="26" t="str"/>
      <x:c r="J1276" s="26" t="str"/>
      <x:c r="K1276" s="26" t="str">
        <x:v>股票/期货操盘手是金融市场中不可或缺的专业人才，他们通过精准的市场分析与判断，执行买卖操作，对于维护市场的稳定性和流动性具有重要作用。作为公司的重要成员，操盘手的核心目标是在确保风险可控的前提下实现资产的最大化增值，其决…</x:v>
      </x:c>
      <x:c r="L1276" s="26" t="str">
        <x:v>1. 负责每日股票或期货市场的实时监控，及时捕捉市场动态并作出快速反应，以把握最佳交易时机。 2. 根据公司既定的投资策略和计划，准确无误地完成各类订单的下达与执行，确保交易过程符合法律法规要求。 3. 定期撰写市场分析…</x:v>
      </x:c>
    </x:row>
    <x:row r="1277" ht="72" customHeight="1">
      <x:c r="A1277" s="25" t="n">
        <x:v>12169</x:v>
      </x:c>
      <x:c r="B1277" s="25" t="str">
        <x:v>IC-L3-1426</x:v>
      </x:c>
      <x:c r="C1277" s="25" t="str">
        <x:v>证券/期货/外汇经纪人</x:v>
      </x:c>
      <x:c r="D1277" s="25" t="str">
        <x:v>2-06-11-03</x:v>
      </x:c>
      <x:c r="E1277" s="25" t="str">
        <x:v>证券投资专业人员</x:v>
      </x:c>
      <x:c r="F1277" s="28" t="n">
        <x:f>COUNTIF('岗位-产业节点关系'!$C$4:$C$709,B1277)</x:f>
        <x:v>0</x:v>
      </x:c>
      <x:c r="G1277" s="26" t="str">
        <x:f>IF(F1277=0,"未匹配（现有产业链范围未覆盖或证据不足）",IF(COUNTIFS('岗位-产业节点关系'!$C$4:$C$709,B1277,'岗位-产业节点关系'!$M$4:$M$709,"低")&gt;0,"已匹配，建议复核","已匹配"))</x:f>
        <x:v>未匹配（现有产业链范围未覆盖或证据不足）</x:v>
      </x:c>
      <x:c r="H1277" s="26" t="str">
        <x:v>-</x:v>
      </x:c>
      <x:c r="I1277" s="26" t="str"/>
      <x:c r="J1277" s="26" t="str"/>
      <x:c r="K1277" s="26" t="str">
        <x:v>证券/期货/外汇经纪人在金融市场中扮演着至关重要的角色。他们不仅是投资者与市场之间的桥梁，还负责提供专业的投资建议和服务，帮助客户实现财富增长。作为金融市场的核心参与者之一，他们对于促进资本流动、提高市场效率具有不可替代…</x:v>
      </x:c>
      <x:c r="L1277" s="26" t="str">
        <x:v>1. 为客户提供全面的金融服务，包括但不限于证券、期货及外汇产品的咨询、开户指导以及交易操作等，旨在提升客户满意度和忠诚度。 2. 定期进行市场调研，分析宏观经济环境、政策变化等因素对市场的影响，撰写研究报告并向客户分享…</x:v>
      </x:c>
    </x:row>
    <x:row r="1278" ht="72" customHeight="1">
      <x:c r="A1278" s="25" t="n">
        <x:v>12170</x:v>
      </x:c>
      <x:c r="B1278" s="25" t="str">
        <x:v>IC-L3-1427</x:v>
      </x:c>
      <x:c r="C1278" s="25" t="str">
        <x:v>量化研究</x:v>
      </x:c>
      <x:c r="D1278" s="25" t="str">
        <x:v>2-06-11-02</x:v>
      </x:c>
      <x:c r="E1278" s="25" t="str">
        <x:v>证券交易专业人员</x:v>
      </x:c>
      <x:c r="F1278" s="28" t="n">
        <x:f>COUNTIF('岗位-产业节点关系'!$C$4:$C$709,B1278)</x:f>
        <x:v>0</x:v>
      </x:c>
      <x:c r="G1278" s="26" t="str">
        <x:f>IF(F1278=0,"未匹配（现有产业链范围未覆盖或证据不足）",IF(COUNTIFS('岗位-产业节点关系'!$C$4:$C$709,B1278,'岗位-产业节点关系'!$M$4:$M$709,"低")&gt;0,"已匹配，建议复核","已匹配"))</x:f>
        <x:v>未匹配（现有产业链范围未覆盖或证据不足）</x:v>
      </x:c>
      <x:c r="H1278" s="26" t="str">
        <x:v>-</x:v>
      </x:c>
      <x:c r="I1278" s="26" t="str"/>
      <x:c r="J1278" s="26" t="str"/>
      <x:c r="K1278" s="26" t="str">
        <x:v>量化研究员是金融行业中期货领域的重要角色，通过运用先进的数学模型和技术手段来分析市场数据，挖掘交易机会，为投资决策提供科学依据。该职位不仅要求具备深厚的理论知识，还需要有较强的实践能力，能够将复杂的金融市场现象转化为可操…</x:v>
      </x:c>
      <x:c r="L1278" s="26" t="str">
        <x:v>1. 负责收集、整理和清洗各类市场数据，建立和完善数据库，为量化分析提供准确的数据支持。 2. 运用统计学、机器学习等方法，设计并实现新的量化投资策略，定期评估策略表现，不断优化模型性能。 3. 与交易部门密切配合，将研…</x:v>
      </x:c>
    </x:row>
    <x:row r="1279" ht="72" customHeight="1">
      <x:c r="A1279" s="25" t="n">
        <x:v>12171</x:v>
      </x:c>
      <x:c r="B1279" s="25" t="str">
        <x:v>IC-L3-1428</x:v>
      </x:c>
      <x:c r="C1279" s="25" t="str">
        <x:v>基金经理</x:v>
      </x:c>
      <x:c r="D1279" s="25" t="str">
        <x:v>2-06-11-02</x:v>
      </x:c>
      <x:c r="E1279" s="25" t="str">
        <x:v>证券交易专业人员</x:v>
      </x:c>
      <x:c r="F1279" s="28" t="n">
        <x:f>COUNTIF('岗位-产业节点关系'!$C$4:$C$709,B1279)</x:f>
        <x:v>0</x:v>
      </x:c>
      <x:c r="G1279" s="26" t="str">
        <x:f>IF(F1279=0,"未匹配（现有产业链范围未覆盖或证据不足）",IF(COUNTIFS('岗位-产业节点关系'!$C$4:$C$709,B1279,'岗位-产业节点关系'!$M$4:$M$709,"低")&gt;0,"已匹配，建议复核","已匹配"))</x:f>
        <x:v>未匹配（现有产业链范围未覆盖或证据不足）</x:v>
      </x:c>
      <x:c r="H1279" s="26" t="str">
        <x:v>-</x:v>
      </x:c>
      <x:c r="I1279" s="26" t="str"/>
      <x:c r="J1279" s="26" t="str"/>
      <x:c r="K1279" s="26" t="str">
        <x:v>基金经理是专门从事期货投资管理的专业人员。该职位的核心目标是通过构建并优化投资组合，实现客户资产保值增值。在日常工作中，需要进行市场趋势分析、投资策略制定、风险控制管理以及投资绩效评估等工作。</x:v>
      </x:c>
      <x:c r="L1279" s="26" t="str">
        <x:v>1. 制定投资策略 2. 管理期货资产组合 3. 监控市场风险 4. 执行交易指令 5. 分析市场数据 6. 编制投资报告</x:v>
      </x:c>
    </x:row>
    <x:row r="1280" ht="72" customHeight="1">
      <x:c r="A1280" s="25" t="n">
        <x:v>12172</x:v>
      </x:c>
      <x:c r="B1280" s="25" t="str">
        <x:v>IC-L3-1429</x:v>
      </x:c>
      <x:c r="C1280" s="25" t="str">
        <x:v>基金经理</x:v>
      </x:c>
      <x:c r="D1280" s="25" t="str">
        <x:v>2-06-11-02</x:v>
      </x:c>
      <x:c r="E1280" s="25" t="str">
        <x:v>证券交易专业人员</x:v>
      </x:c>
      <x:c r="F1280" s="28" t="n">
        <x:f>COUNTIF('岗位-产业节点关系'!$C$4:$C$709,B1280)</x:f>
        <x:v>0</x:v>
      </x:c>
      <x:c r="G1280" s="26" t="str">
        <x:f>IF(F1280=0,"未匹配（现有产业链范围未覆盖或证据不足）",IF(COUNTIFS('岗位-产业节点关系'!$C$4:$C$709,B1280,'岗位-产业节点关系'!$M$4:$M$709,"低")&gt;0,"已匹配，建议复核","已匹配"))</x:f>
        <x:v>未匹配（现有产业链范围未覆盖或证据不足）</x:v>
      </x:c>
      <x:c r="H1280" s="26" t="str">
        <x:v>-</x:v>
      </x:c>
      <x:c r="I1280" s="26" t="str"/>
      <x:c r="J1280" s="26" t="str"/>
      <x:c r="K1280" s="26" t="str">
        <x:v>基金经理是证券行业中至关重要的人物，他们负责管理投资组合，以实现投资者的财务目标。作为资本市场的关键参与者，基金经理不仅影响着资金的流向，还对市场稳定与经济发展起着不可忽视的作用。 基金经理的核心目标在于通过深入分析市场…</x:v>
      </x:c>
      <x:c r="L1280" s="26" t="str">
        <x:v>1. 负责基金产品的日常管理和运作，包括但不限于资产配置、交易执行等，旨在实现基金资产的保值增值。 2. 定期进行市场调研，结合宏观经济形势和行业动态，调整投资组合，降低风险，提高收益。 3. 与研究团队密切沟通，获取最…</x:v>
      </x:c>
    </x:row>
    <x:row r="1281" ht="72" customHeight="1">
      <x:c r="A1281" s="25" t="n">
        <x:v>12173</x:v>
      </x:c>
      <x:c r="B1281" s="25" t="str">
        <x:v>IC-L3-1430</x:v>
      </x:c>
      <x:c r="C1281" s="25" t="str">
        <x:v>股票/期货操盘手</x:v>
      </x:c>
      <x:c r="D1281" s="25" t="str">
        <x:v>2-06-11-02</x:v>
      </x:c>
      <x:c r="E1281" s="25" t="str">
        <x:v>证券交易专业人员</x:v>
      </x:c>
      <x:c r="F1281" s="28" t="n">
        <x:f>COUNTIF('岗位-产业节点关系'!$C$4:$C$709,B1281)</x:f>
        <x:v>0</x:v>
      </x:c>
      <x:c r="G1281" s="26" t="str">
        <x:f>IF(F1281=0,"未匹配（现有产业链范围未覆盖或证据不足）",IF(COUNTIFS('岗位-产业节点关系'!$C$4:$C$709,B1281,'岗位-产业节点关系'!$M$4:$M$709,"低")&gt;0,"已匹配，建议复核","已匹配"))</x:f>
        <x:v>未匹配（现有产业链范围未覆盖或证据不足）</x:v>
      </x:c>
      <x:c r="H1281" s="26" t="str">
        <x:v>-</x:v>
      </x:c>
      <x:c r="I1281" s="26" t="str"/>
      <x:c r="J1281" s="26" t="str"/>
      <x:c r="K1281" s="26" t="str">
        <x:v>股票/期货操盘手是金融市场中至关重要的角色之一，负责执行交易策略，以实现资本增值或保值的目标。他们不仅需要具备深厚的市场分析能力，还应拥有快速决策的能力，在瞬息万变的市场环境中寻找最佳交易时机。作为证券公司或投资机构的核…</x:v>
      </x:c>
      <x:c r="L1281" s="26" t="str">
        <x:v>1. 根据市场分析结果及公司策略，制定并执行股票或期货的买卖计划，确保达成预期的投资回报率。 2. 实时监控市场动态，及时调整交易方案，规避潜在的风险因素，保障账户安全。 3. 与研究团队保持沟通，获取最新的行业资讯和技…</x:v>
      </x:c>
    </x:row>
    <x:row r="1282" ht="72" customHeight="1">
      <x:c r="A1282" s="25" t="n">
        <x:v>12174</x:v>
      </x:c>
      <x:c r="B1282" s="25" t="str">
        <x:v>IC-L3-1431</x:v>
      </x:c>
      <x:c r="C1282" s="25" t="str">
        <x:v>营业部总经理/副总经理</x:v>
      </x:c>
      <x:c r="D1282" s="25" t="str">
        <x:v>2-06-11-02</x:v>
      </x:c>
      <x:c r="E1282" s="25" t="str">
        <x:v>证券交易专业人员</x:v>
      </x:c>
      <x:c r="F1282" s="28" t="n">
        <x:f>COUNTIF('岗位-产业节点关系'!$C$4:$C$709,B1282)</x:f>
        <x:v>0</x:v>
      </x:c>
      <x:c r="G1282" s="26" t="str">
        <x:f>IF(F1282=0,"未匹配（现有产业链范围未覆盖或证据不足）",IF(COUNTIFS('岗位-产业节点关系'!$C$4:$C$709,B1282,'岗位-产业节点关系'!$M$4:$M$709,"低")&gt;0,"已匹配，建议复核","已匹配"))</x:f>
        <x:v>未匹配（现有产业链范围未覆盖或证据不足）</x:v>
      </x:c>
      <x:c r="H1282" s="26" t="str">
        <x:v>-</x:v>
      </x:c>
      <x:c r="I1282" s="26" t="str"/>
      <x:c r="J1282" s="26" t="str"/>
      <x:c r="K1282" s="26" t="str">
        <x:v>营业部总经理/副总经理是证券行业中极为重要的管理岗位，负责领导整个营业部的日常运营及战略规划，确保业务高效运转并实现长期发展。该职位不仅是公司与市场之间的桥梁，也是连接客户与金融服务的关键节点，在推动业务增长和维护品牌形…</x:v>
      </x:c>
      <x:c r="L1282" s="26" t="str">
        <x:v>1. 负责制定营业部的发展战略规划，指导各部门实施具体措施，确保各项业务指标的完成。 2. 监控市场动态，分析竞争对手状况，及时调整营销策略，拓展新客户群体，巩固现有客户关系。 3. 管理和培训团队成员，建立高效的组织架…</x:v>
      </x:c>
    </x:row>
    <x:row r="1283" ht="72" customHeight="1">
      <x:c r="A1283" s="25" t="n">
        <x:v>12175</x:v>
      </x:c>
      <x:c r="B1283" s="25" t="str">
        <x:v>IC-L3-1432</x:v>
      </x:c>
      <x:c r="C1283" s="25" t="str">
        <x:v>证券/期货/外汇经纪人</x:v>
      </x:c>
      <x:c r="D1283" s="25" t="str">
        <x:v>2-06-11-03</x:v>
      </x:c>
      <x:c r="E1283" s="25" t="str">
        <x:v>证券投资专业人员</x:v>
      </x:c>
      <x:c r="F1283" s="28" t="n">
        <x:f>COUNTIF('岗位-产业节点关系'!$C$4:$C$709,B1283)</x:f>
        <x:v>0</x:v>
      </x:c>
      <x:c r="G1283" s="26" t="str">
        <x:f>IF(F1283=0,"未匹配（现有产业链范围未覆盖或证据不足）",IF(COUNTIFS('岗位-产业节点关系'!$C$4:$C$709,B1283,'岗位-产业节点关系'!$M$4:$M$709,"低")&gt;0,"已匹配，建议复核","已匹配"))</x:f>
        <x:v>未匹配（现有产业链范围未覆盖或证据不足）</x:v>
      </x:c>
      <x:c r="H1283" s="26" t="str">
        <x:v>-</x:v>
      </x:c>
      <x:c r="I1283" s="26" t="str"/>
      <x:c r="J1283" s="26" t="str"/>
      <x:c r="K1283" s="26" t="str">
        <x:v>证券/期货/外汇经纪人是金融市场中不可或缺的专业人才，他们不仅为客户提供投资建议，还负责执行交易指令，在促进资本流动与市场活跃度方面发挥着重要作用。作为连接投资者与市场的桥梁，经纪人需具备敏锐的市场洞察力和丰富的金融知识…</x:v>
      </x:c>
      <x:c r="L1283" s="26" t="str">
        <x:v>1. 负责开发新客户并维护现有客户关系，定期沟通了解客户需求，提供个性化的投资咨询与指导。 2. 分析市场动态，及时向客户传达重要信息，协助其做出合理决策，确保交易活动符合法律法规要求。 3. 执行客户的买卖指令，确保交…</x:v>
      </x:c>
    </x:row>
    <x:row r="1284" ht="72" customHeight="1">
      <x:c r="A1284" s="25" t="n">
        <x:v>12176</x:v>
      </x:c>
      <x:c r="B1284" s="25" t="str">
        <x:v>IC-L3-1433</x:v>
      </x:c>
      <x:c r="C1284" s="25" t="str">
        <x:v>证券交易员</x:v>
      </x:c>
      <x:c r="D1284" s="25" t="str">
        <x:v>2-06-11-03</x:v>
      </x:c>
      <x:c r="E1284" s="25" t="str">
        <x:v>证券投资专业人员</x:v>
      </x:c>
      <x:c r="F1284" s="28" t="n">
        <x:f>COUNTIF('岗位-产业节点关系'!$C$4:$C$709,B1284)</x:f>
        <x:v>0</x:v>
      </x:c>
      <x:c r="G1284" s="26" t="str">
        <x:f>IF(F1284=0,"未匹配（现有产业链范围未覆盖或证据不足）",IF(COUNTIFS('岗位-产业节点关系'!$C$4:$C$709,B1284,'岗位-产业节点关系'!$M$4:$M$709,"低")&gt;0,"已匹配，建议复核","已匹配"))</x:f>
        <x:v>未匹配（现有产业链范围未覆盖或证据不足）</x:v>
      </x:c>
      <x:c r="H1284" s="26" t="str">
        <x:v>-</x:v>
      </x:c>
      <x:c r="I1284" s="26" t="str"/>
      <x:c r="J1284" s="26" t="str"/>
      <x:c r="K1284" s="26" t="str">
        <x:v>证券交易员是金融行业中证券市场运作的关键角色之一，他们负责执行买卖指令，确保交易活动高效顺畅地进行。通过精准分析市场动态，证券交易员能够及时捕捉投资机会，降低风险，为公司创造稳定的收益。此外，证券交易员还需与研究团队紧密…</x:v>
      </x:c>
      <x:c r="L1284" s="26" t="str">
        <x:v>1. 负责接收并准确执行来自客户或内部团队的买卖指令，在规定时间内完成交易操作。 2. 密切关注国内外金融市场动态及政策变化，利用专业知识和技术工具分析市场趋势，为公司制定合理的交易策略提供依据。 3. 定期向管理层汇报…</x:v>
      </x:c>
    </x:row>
    <x:row r="1285" ht="72" customHeight="1">
      <x:c r="A1285" s="25" t="n">
        <x:v>12177</x:v>
      </x:c>
      <x:c r="B1285" s="25" t="str">
        <x:v>IC-L3-1434</x:v>
      </x:c>
      <x:c r="C1285" s="25" t="str">
        <x:v>证券分析师</x:v>
      </x:c>
      <x:c r="D1285" s="25" t="str">
        <x:v>2-06-11-03</x:v>
      </x:c>
      <x:c r="E1285" s="25" t="str">
        <x:v>证券投资专业人员</x:v>
      </x:c>
      <x:c r="F1285" s="28" t="n">
        <x:f>COUNTIF('岗位-产业节点关系'!$C$4:$C$709,B1285)</x:f>
        <x:v>0</x:v>
      </x:c>
      <x:c r="G1285" s="26" t="str">
        <x:f>IF(F1285=0,"未匹配（现有产业链范围未覆盖或证据不足）",IF(COUNTIFS('岗位-产业节点关系'!$C$4:$C$709,B1285,'岗位-产业节点关系'!$M$4:$M$709,"低")&gt;0,"已匹配，建议复核","已匹配"))</x:f>
        <x:v>未匹配（现有产业链范围未覆盖或证据不足）</x:v>
      </x:c>
      <x:c r="H1285" s="26" t="str">
        <x:v>-</x:v>
      </x:c>
      <x:c r="I1285" s="26" t="str"/>
      <x:c r="J1285" s="26" t="str"/>
      <x:c r="K1285" s="26" t="str">
        <x:v>证券分析师是金融市场中不可或缺的专业人才，他们在证券市场分析、投资策略制定以及风险评估等方面发挥着关键作用。作为连接投资者与市场的桥梁，证券分析师通过深入研究宏观经济环境、行业动态及企业财务状况等多方面信息，为投资者提供…</x:v>
      </x:c>
      <x:c r="L1285" s="26" t="str">
        <x:v>1. 负责收集并整理国内外经济数据、行业报告及相关政策法规，分析其对公司业务的影响，定期撰写研究报告。 2. 对上市公司进行深度调研，包括但不限于公司治理结构、经营业绩、发展前景等方面，形成投资评级和目标价格预测。 3.…</x:v>
      </x:c>
    </x:row>
    <x:row r="1286" ht="72" customHeight="1">
      <x:c r="A1286" s="25" t="n">
        <x:v>12178</x:v>
      </x:c>
      <x:c r="B1286" s="25" t="str">
        <x:v>IC-L3-1435</x:v>
      </x:c>
      <x:c r="C1286" s="25" t="str">
        <x:v>证券投资顾问</x:v>
      </x:c>
      <x:c r="D1286" s="25" t="str">
        <x:v>2-06-11-03</x:v>
      </x:c>
      <x:c r="E1286" s="25" t="str">
        <x:v>证券投资专业人员</x:v>
      </x:c>
      <x:c r="F1286" s="28" t="n">
        <x:f>COUNTIF('岗位-产业节点关系'!$C$4:$C$709,B1286)</x:f>
        <x:v>0</x:v>
      </x:c>
      <x:c r="G1286" s="26" t="str">
        <x:f>IF(F1286=0,"未匹配（现有产业链范围未覆盖或证据不足）",IF(COUNTIFS('岗位-产业节点关系'!$C$4:$C$709,B1286,'岗位-产业节点关系'!$M$4:$M$709,"低")&gt;0,"已匹配，建议复核","已匹配"))</x:f>
        <x:v>未匹配（现有产业链范围未覆盖或证据不足）</x:v>
      </x:c>
      <x:c r="H1286" s="26" t="str">
        <x:v>-</x:v>
      </x:c>
      <x:c r="I1286" s="26" t="str"/>
      <x:c r="J1286" s="26" t="str"/>
      <x:c r="K1286" s="26" t="str">
        <x:v>证券投资顾问是证券行业中至关重要的角色，他们不仅为个人和机构客户提供专业的投资建议，帮助客户实现资产增值，而且通过精准的市场分析和风险评估，促进资本市场的健康发展。核心目标在于通过深入研究市场趋势、政策变化及宏观经济环境…</x:v>
      </x:c>
      <x:c r="L1286" s="26" t="str">
        <x:v>1. 为客户提供全面的财务规划服务，包括但不限于资产配置、风险管理、税务筹划等，旨在优化客户的财富管理方案，提高其资金使用效率。 2. 定期进行市场调研，收集并分析相关经济数据，撰写研究报告，预测股市走势，以便及时调整投…</x:v>
      </x:c>
    </x:row>
    <x:row r="1287" ht="72" customHeight="1">
      <x:c r="A1287" s="25" t="n">
        <x:v>12179</x:v>
      </x:c>
      <x:c r="B1287" s="25" t="str">
        <x:v>IC-L3-1436</x:v>
      </x:c>
      <x:c r="C1287" s="25" t="str">
        <x:v>量化研究</x:v>
      </x:c>
      <x:c r="D1287" s="25" t="str">
        <x:v>2-06-11-02</x:v>
      </x:c>
      <x:c r="E1287" s="25" t="str">
        <x:v>证券交易专业人员</x:v>
      </x:c>
      <x:c r="F1287" s="28" t="n">
        <x:f>COUNTIF('岗位-产业节点关系'!$C$4:$C$709,B1287)</x:f>
        <x:v>0</x:v>
      </x:c>
      <x:c r="G1287" s="26" t="str">
        <x:f>IF(F1287=0,"未匹配（现有产业链范围未覆盖或证据不足）",IF(COUNTIFS('岗位-产业节点关系'!$C$4:$C$709,B1287,'岗位-产业节点关系'!$M$4:$M$709,"低")&gt;0,"已匹配，建议复核","已匹配"))</x:f>
        <x:v>未匹配（现有产业链范围未覆盖或证据不足）</x:v>
      </x:c>
      <x:c r="H1287" s="26" t="str">
        <x:v>-</x:v>
      </x:c>
      <x:c r="I1287" s="26" t="str"/>
      <x:c r="J1287" s="26" t="str"/>
      <x:c r="K1287" s="26" t="str">
        <x:v>量化研究员是证券行业中至关重要的角色，通过运用先进的数学模型和技术分析市场数据，帮助公司做出更精准的投资决策。该职位不仅要求候选人具备扎实的数理统计基础，还需要拥有良好的编程能力和对金融市场深刻的理解，以适应快速变化的市…</x:v>
      </x:c>
      <x:c r="L1287" s="26" t="str">
        <x:v>1. 设计并实现高效的算法模型，用于预测股票价格走势及市场趋势，以提高投资回报率。 2. 对现有的量化交易策略进行持续监控与性能评估，及时发现并解决可能出现的问题，确保策略稳定运行。 3. 与跨职能团队合作，参与项目从概…</x:v>
      </x:c>
    </x:row>
    <x:row r="1288" ht="72" customHeight="1">
      <x:c r="A1288" s="25" t="n">
        <x:v>12180</x:v>
      </x:c>
      <x:c r="B1288" s="25" t="str">
        <x:v>IC-L3-1437</x:v>
      </x:c>
      <x:c r="C1288" s="25" t="str">
        <x:v>投资并购</x:v>
      </x:c>
      <x:c r="D1288" s="25" t="str">
        <x:v>2-06-11-02</x:v>
      </x:c>
      <x:c r="E1288" s="25" t="str">
        <x:v>证券交易专业人员</x:v>
      </x:c>
      <x:c r="F1288" s="28" t="n">
        <x:f>COUNTIF('岗位-产业节点关系'!$C$4:$C$709,B1288)</x:f>
        <x:v>0</x:v>
      </x:c>
      <x:c r="G1288" s="26" t="str">
        <x:f>IF(F1288=0,"未匹配（现有产业链范围未覆盖或证据不足）",IF(COUNTIFS('岗位-产业节点关系'!$C$4:$C$709,B1288,'岗位-产业节点关系'!$M$4:$M$709,"低")&gt;0,"已匹配，建议复核","已匹配"))</x:f>
        <x:v>未匹配（现有产业链范围未覆盖或证据不足）</x:v>
      </x:c>
      <x:c r="H1288" s="26" t="str">
        <x:v>-</x:v>
      </x:c>
      <x:c r="I1288" s="26" t="str"/>
      <x:c r="J1288" s="26" t="str"/>
      <x:c r="K1288" s="26" t="str">
        <x:v>投资并购是专门从事证券行业并购交易的专业人员。该职位的核心目标是通过分析、评估和执行并购项目，实现公司战略扩张和股东价值最大化。在日常工作中，需要进行标的筛选、尽职调查、估值分析、交易结构设计及谈判等工作。</x:v>
      </x:c>
      <x:c r="L1288" s="26" t="str">
        <x:v>1. 筛选潜在投资标的 2. 开展尽职调查工作 3. 评估项目投资价值 4. 设计交易结构方案 5. 主导并购谈判进程 6. 监控投后整合效果</x:v>
      </x:c>
    </x:row>
    <x:row r="1289" ht="72" customHeight="1">
      <x:c r="A1289" s="25" t="n">
        <x:v>12181</x:v>
      </x:c>
      <x:c r="B1289" s="25" t="str">
        <x:v>IC-L3-1438</x:v>
      </x:c>
      <x:c r="C1289" s="25" t="str">
        <x:v>行业研究员</x:v>
      </x:c>
      <x:c r="D1289" s="25" t="str">
        <x:v>2-01-06-03</x:v>
      </x:c>
      <x:c r="E1289" s="25" t="str">
        <x:v>化学研究人员</x:v>
      </x:c>
      <x:c r="F1289" s="28" t="n">
        <x:f>COUNTIF('岗位-产业节点关系'!$C$4:$C$709,B1289)</x:f>
        <x:v>0</x:v>
      </x:c>
      <x:c r="G1289" s="26" t="str">
        <x:f>IF(F1289=0,"未匹配（现有产业链范围未覆盖或证据不足）",IF(COUNTIFS('岗位-产业节点关系'!$C$4:$C$709,B1289,'岗位-产业节点关系'!$M$4:$M$709,"低")&gt;0,"已匹配，建议复核","已匹配"))</x:f>
        <x:v>未匹配（现有产业链范围未覆盖或证据不足）</x:v>
      </x:c>
      <x:c r="H1289" s="26" t="str">
        <x:v>-</x:v>
      </x:c>
      <x:c r="I1289" s="26" t="str"/>
      <x:c r="J1289" s="26" t="str"/>
      <x:c r="K1289" s="26" t="str">
        <x:v>行业研究员是专门从事证券行业分析与研究的专业人员。该职位的核心目标是通过深入研究行业发展趋势和公司基本面，为投资决策提供专业支持。在日常工作中，需要进行行业数据收集、公司财务分析、撰写研究报告等工作。</x:v>
      </x:c>
      <x:c r="L1289" s="26" t="str">
        <x:v>1. 跟踪行业动态 2. 分析市场数据 3. 撰写研究报告 4. 评估投资价值 5. 推荐投资标的 6. 路演客户交流</x:v>
      </x:c>
    </x:row>
    <x:row r="1290" ht="72" customHeight="1">
      <x:c r="A1290" s="25" t="n">
        <x:v>12182</x:v>
      </x:c>
      <x:c r="B1290" s="25" t="str">
        <x:v>IC-L3-1439</x:v>
      </x:c>
      <x:c r="C1290" s="25" t="str">
        <x:v>互联网金融</x:v>
      </x:c>
      <x:c r="D1290" s="25" t="str">
        <x:v>2-02-10-03</x:v>
      </x:c>
      <x:c r="E1290" s="25" t="str">
        <x:v>计算机软件工程技术人员</x:v>
      </x:c>
      <x:c r="F1290" s="28" t="n">
        <x:f>COUNTIF('岗位-产业节点关系'!$C$4:$C$709,B1290)</x:f>
        <x:v>0</x:v>
      </x:c>
      <x:c r="G1290" s="26" t="str">
        <x:f>IF(F1290=0,"未匹配（现有产业链范围未覆盖或证据不足）",IF(COUNTIFS('岗位-产业节点关系'!$C$4:$C$709,B1290,'岗位-产业节点关系'!$M$4:$M$709,"低")&gt;0,"已匹配，建议复核","已匹配"))</x:f>
        <x:v>未匹配（现有产业链范围未覆盖或证据不足）</x:v>
      </x:c>
      <x:c r="H1290" s="26" t="str">
        <x:v>-</x:v>
      </x:c>
      <x:c r="I1290" s="26" t="str"/>
      <x:c r="J1290" s="26" t="str"/>
      <x:c r="K1290" s="26" t="str">
        <x:v>互联网金融职位在金融行业中扮演着至关重要的角色，它不仅推动了金融服务的数字化转型，还极大地提高了金融服务的可访问性和便利性。作为互联网金融领域的专业人士，您将处于技术创新与传统金融交汇的前沿，通过利用先进的技术手段解决金…</x:v>
      </x:c>
      <x:c r="L1290" s="26" t="str">
        <x:v>1. 负责设计和实施互联网金融产品的功能优化方案，确保产品的易用性和安全性，以吸引并留住更多的用户。 2. 分析市场趋势及竞争对手动态，定期提出创新建议，指导新产品开发流程，确保公司始终处于行业领先地位。 3. 与技术团…</x:v>
      </x:c>
    </x:row>
    <x:row r="1291" ht="72" customHeight="1">
      <x:c r="A1291" s="25" t="n">
        <x:v>12183</x:v>
      </x:c>
      <x:c r="B1291" s="25" t="str">
        <x:v>IC-L3-1440</x:v>
      </x:c>
      <x:c r="C1291" s="25" t="str">
        <x:v>催收</x:v>
      </x:c>
      <x:c r="D1291" s="25" t="str">
        <x:v>2-06-11-02</x:v>
      </x:c>
      <x:c r="E1291" s="25" t="str">
        <x:v>证券交易专业人员</x:v>
      </x:c>
      <x:c r="F1291" s="28" t="n">
        <x:f>COUNTIF('岗位-产业节点关系'!$C$4:$C$709,B1291)</x:f>
        <x:v>0</x:v>
      </x:c>
      <x:c r="G1291" s="26" t="str">
        <x:f>IF(F1291=0,"未匹配（现有产业链范围未覆盖或证据不足）",IF(COUNTIFS('岗位-产业节点关系'!$C$4:$C$709,B1291,'岗位-产业节点关系'!$M$4:$M$709,"低")&gt;0,"已匹配，建议复核","已匹配"))</x:f>
        <x:v>未匹配（现有产业链范围未覆盖或证据不足）</x:v>
      </x:c>
      <x:c r="H1291" s="26" t="str">
        <x:v>-</x:v>
      </x:c>
      <x:c r="I1291" s="26" t="str"/>
      <x:c r="J1291" s="26" t="str"/>
      <x:c r="K1291" s="26" t="str">
        <x:v>催收专员是金融行业中不可或缺的一环，负责管理逾期贷款或欠款的回收工作，确保资金流的稳定与健康。通过高效、合法地追回欠款，催收专员不仅帮助公司减少坏账损失，还能够提升客户信用管理的质量，维护公司的财务安全。在日常工作中，催…</x:v>
      </x:c>
      <x:c r="L1291" s="26" t="str">
        <x:v>1. 定期联系逾期客户，了解其未能按时还款的原因，提供合理的解决方案以促使对方尽快结清欠款。 2. 对于长时间未解决的案件，与法务团队协商采取法律手段进行追讨，确保公司权益不受侵害。 3. 记录并分析客户的还款行为模式，…</x:v>
      </x:c>
    </x:row>
    <x:row r="1292" ht="72" customHeight="1">
      <x:c r="A1292" s="25" t="n">
        <x:v>12184</x:v>
      </x:c>
      <x:c r="B1292" s="25" t="str">
        <x:v>IC-L3-1441</x:v>
      </x:c>
      <x:c r="C1292" s="25" t="str">
        <x:v>公司金融顾问</x:v>
      </x:c>
      <x:c r="D1292" s="25" t="str">
        <x:v>2-06-11-04</x:v>
      </x:c>
      <x:c r="E1292" s="25" t="str">
        <x:v>金融产品销售专业人员</x:v>
      </x:c>
      <x:c r="F1292" s="28" t="n">
        <x:f>COUNTIF('岗位-产业节点关系'!$C$4:$C$709,B1292)</x:f>
        <x:v>0</x:v>
      </x:c>
      <x:c r="G1292" s="26" t="str">
        <x:f>IF(F1292=0,"未匹配（现有产业链范围未覆盖或证据不足）",IF(COUNTIFS('岗位-产业节点关系'!$C$4:$C$709,B1292,'岗位-产业节点关系'!$M$4:$M$709,"低")&gt;0,"已匹配，建议复核","已匹配"))</x:f>
        <x:v>未匹配（现有产业链范围未覆盖或证据不足）</x:v>
      </x:c>
      <x:c r="H1292" s="26" t="str">
        <x:v>-</x:v>
      </x:c>
      <x:c r="I1292" s="26" t="str"/>
      <x:c r="J1292" s="26" t="str"/>
      <x:c r="K1292" s="26" t="str">
        <x:v>公司金融顾问是金融行业中不可或缺的专业角色，主要负责为企业提供全面的财务规划与管理咨询服务，通过深入分析企业的财务状况，帮助其制定合理的资本运作策略。该职位在促进企业稳定发展、提高经济效益方面发挥着关键作用。 公司金融顾…</x:v>
      </x:c>
      <x:c r="L1292" s="26" t="str">
        <x:v>1. 对客户进行财务健康检查，评估其当前的财务状况并提出改进建议，旨在改善客户的财务表现。 2. 为客户提供关于投资、融资、并购等方面的策略建议，帮助其制定切实可行的实施方案，以达到预期的商业目标。 3. 分析市场动态和…</x:v>
      </x:c>
    </x:row>
    <x:row r="1293" ht="72" customHeight="1">
      <x:c r="A1293" s="25" t="n">
        <x:v>12185</x:v>
      </x:c>
      <x:c r="B1293" s="25" t="str">
        <x:v>IC-L3-1442</x:v>
      </x:c>
      <x:c r="C1293" s="25" t="str">
        <x:v>机构业务销售</x:v>
      </x:c>
      <x:c r="D1293" s="25" t="str">
        <x:v>4-01-02-01</x:v>
      </x:c>
      <x:c r="E1293" s="25" t="str">
        <x:v>营销员</x:v>
      </x:c>
      <x:c r="F1293" s="28" t="n">
        <x:f>COUNTIF('岗位-产业节点关系'!$C$4:$C$709,B1293)</x:f>
        <x:v>0</x:v>
      </x:c>
      <x:c r="G1293" s="26" t="str">
        <x:f>IF(F1293=0,"未匹配（现有产业链范围未覆盖或证据不足）",IF(COUNTIFS('岗位-产业节点关系'!$C$4:$C$709,B1293,'岗位-产业节点关系'!$M$4:$M$709,"低")&gt;0,"已匹配，建议复核","已匹配"))</x:f>
        <x:v>未匹配（现有产业链范围未覆盖或证据不足）</x:v>
      </x:c>
      <x:c r="H1293" s="26" t="str">
        <x:v>-</x:v>
      </x:c>
      <x:c r="I1293" s="26" t="str"/>
      <x:c r="J1293" s="26" t="str"/>
      <x:c r="K1293" s="26" t="str">
        <x:v>机构业务销售是金融行业中不可或缺的角色之一，主要负责与各类金融机构建立并维护良好的合作关系，通过提供专业的金融服务和解决方案来满足客户的需求。这一职位在推动公司业务增长、扩大市场份额方面发挥着至关重要的作用，是连接公司产…</x:v>
      </x:c>
      <x:c r="L1293" s="26" t="str">
        <x:v>1. 负责开拓新客户资源，挖掘潜在客户需求，完成年度销售任务。 2. 定期拜访重点客户，了解其业务发展状况，及时反馈市场信息，提出合理化建议。 3. 协调内部资源，配合产品和技术团队为客户提供全方位的服务支持，解决客户遇…</x:v>
      </x:c>
    </x:row>
    <x:row r="1294" ht="72" customHeight="1">
      <x:c r="A1294" s="25" t="n">
        <x:v>12186</x:v>
      </x:c>
      <x:c r="B1294" s="25" t="str">
        <x:v>IC-L3-1443</x:v>
      </x:c>
      <x:c r="C1294" s="25" t="str">
        <x:v>理财顾问</x:v>
      </x:c>
      <x:c r="D1294" s="25" t="str">
        <x:v>2-06-11-02</x:v>
      </x:c>
      <x:c r="E1294" s="25" t="str">
        <x:v>证券交易专业人员</x:v>
      </x:c>
      <x:c r="F1294" s="28" t="n">
        <x:f>COUNTIF('岗位-产业节点关系'!$C$4:$C$709,B1294)</x:f>
        <x:v>0</x:v>
      </x:c>
      <x:c r="G1294" s="26" t="str">
        <x:f>IF(F1294=0,"未匹配（现有产业链范围未覆盖或证据不足）",IF(COUNTIFS('岗位-产业节点关系'!$C$4:$C$709,B1294,'岗位-产业节点关系'!$M$4:$M$709,"低")&gt;0,"已匹配，建议复核","已匹配"))</x:f>
        <x:v>未匹配（现有产业链范围未覆盖或证据不足）</x:v>
      </x:c>
      <x:c r="H1294" s="26" t="str">
        <x:v>-</x:v>
      </x:c>
      <x:c r="I1294" s="26" t="str"/>
      <x:c r="J1294" s="26" t="str"/>
      <x:c r="K1294" s="26" t="str">
        <x:v>理财顾问是金融行业中不可或缺的专业角色，他们通过提供专业的财务建议帮助客户实现财富增长和个人财务目标。在日益复杂的金融市场中，理财顾问不仅为客户量身定制投资策略，还肩负着教育投资者正确理解市场动态的责任，从而增强其财务安…</x:v>
      </x:c>
      <x:c r="L1294" s="26" t="str">
        <x:v>1. 与客户进行深入沟通，全面了解其财务需求、目标及偏好，为其提供专业的理财规划建议。 2. 定期分析市场趋势，评估现有投资组合的表现，及时调整策略以适应变化的经济环境。 3. 协助客户完成各类金融产品的选择与配置，确保…</x:v>
      </x:c>
    </x:row>
    <x:row r="1295" ht="72" customHeight="1">
      <x:c r="A1295" s="25" t="n">
        <x:v>12187</x:v>
      </x:c>
      <x:c r="B1295" s="25" t="str">
        <x:v>IC-L3-1444</x:v>
      </x:c>
      <x:c r="C1295" s="25" t="str">
        <x:v>金融/经济研究员</x:v>
      </x:c>
      <x:c r="D1295" s="25" t="str">
        <x:v>2-06-11-04</x:v>
      </x:c>
      <x:c r="E1295" s="25" t="str">
        <x:v>金融产品销售专业人员</x:v>
      </x:c>
      <x:c r="F1295" s="28" t="n">
        <x:f>COUNTIF('岗位-产业节点关系'!$C$4:$C$709,B1295)</x:f>
        <x:v>0</x:v>
      </x:c>
      <x:c r="G1295" s="26" t="str">
        <x:f>IF(F1295=0,"未匹配（现有产业链范围未覆盖或证据不足）",IF(COUNTIFS('岗位-产业节点关系'!$C$4:$C$709,B1295,'岗位-产业节点关系'!$M$4:$M$709,"低")&gt;0,"已匹配，建议复核","已匹配"))</x:f>
        <x:v>未匹配（现有产业链范围未覆盖或证据不足）</x:v>
      </x:c>
      <x:c r="H1295" s="26" t="str">
        <x:v>-</x:v>
      </x:c>
      <x:c r="I1295" s="26" t="str"/>
      <x:c r="J1295" s="26" t="str"/>
      <x:c r="K1295" s="26" t="str">
        <x:v>金融/经济研究员是金融行业中不可或缺的专业人才，通过深入研究市场趋势、政策变动及宏观经济环境，为金融机构提供科学决策依据。该职位不仅能够帮助公司把握投资机会，规避风险，还能提升公司在复杂多变的金融市场中的竞争力。作为团队…</x:v>
      </x:c>
      <x:c r="L1295" s="26" t="str">
        <x:v>1. 跟踪国内外经济形势变化，定期撰写研究报告，为公司战略规划和业务拓展提供数据支持。 2. 分析各类金融产品和服务的特点及潜在风险，协助制定相应的风险管理措施。 3. 参与客户咨询项目，针对特定问题进行专项研究，提出切…</x:v>
      </x:c>
    </x:row>
    <x:row r="1296" ht="72" customHeight="1">
      <x:c r="A1296" s="25" t="n">
        <x:v>12188</x:v>
      </x:c>
      <x:c r="B1296" s="25" t="str">
        <x:v>IC-L3-1445</x:v>
      </x:c>
      <x:c r="C1296" s="25" t="str">
        <x:v>金融产品经理</x:v>
      </x:c>
      <x:c r="D1296" s="25" t="str">
        <x:v>2-06-11-04</x:v>
      </x:c>
      <x:c r="E1296" s="25" t="str">
        <x:v>金融产品销售专业人员</x:v>
      </x:c>
      <x:c r="F1296" s="28" t="n">
        <x:f>COUNTIF('岗位-产业节点关系'!$C$4:$C$709,B1296)</x:f>
        <x:v>0</x:v>
      </x:c>
      <x:c r="G1296" s="26" t="str">
        <x:f>IF(F1296=0,"未匹配（现有产业链范围未覆盖或证据不足）",IF(COUNTIFS('岗位-产业节点关系'!$C$4:$C$709,B1296,'岗位-产业节点关系'!$M$4:$M$709,"低")&gt;0,"已匹配，建议复核","已匹配"))</x:f>
        <x:v>未匹配（现有产业链范围未覆盖或证据不足）</x:v>
      </x:c>
      <x:c r="H1296" s="26" t="str">
        <x:v>-</x:v>
      </x:c>
      <x:c r="I1296" s="26" t="str"/>
      <x:c r="J1296" s="26" t="str"/>
      <x:c r="K1296" s="26" t="str">
        <x:v>金融产品经理是金融行业中不可或缺的角色，他们负责将金融产品从概念转化为市场上的成功案例。通过深入了解市场需求与用户行为，金融产品经理确保产品设计既符合法律法规要求，又能够满足客户的需求，从而推动业务增长。在公司内部，金融…</x:v>
      </x:c>
      <x:c r="L1296" s="26" t="str">
        <x:v>1. 负责收集并分析市场信息及客户需求，制定金融产品的长期发展规划，确保产品战略与公司整体目标一致。 2. 协调跨职能团队（如技术、设计、运营等），明确产品需求，监督整个产品生命周期，从初期调研到最终上线，确保按时按质完…</x:v>
      </x:c>
    </x:row>
    <x:row r="1297" ht="72" customHeight="1">
      <x:c r="A1297" s="25" t="n">
        <x:v>12189</x:v>
      </x:c>
      <x:c r="B1297" s="25" t="str">
        <x:v>IC-L3-1446</x:v>
      </x:c>
      <x:c r="C1297" s="25" t="str">
        <x:v>金融产品销售</x:v>
      </x:c>
      <x:c r="D1297" s="25" t="str">
        <x:v>2-06-11-04</x:v>
      </x:c>
      <x:c r="E1297" s="25" t="str">
        <x:v>金融产品销售专业人员</x:v>
      </x:c>
      <x:c r="F1297" s="28" t="n">
        <x:f>COUNTIF('岗位-产业节点关系'!$C$4:$C$709,B1297)</x:f>
        <x:v>0</x:v>
      </x:c>
      <x:c r="G1297" s="26" t="str">
        <x:f>IF(F1297=0,"未匹配（现有产业链范围未覆盖或证据不足）",IF(COUNTIFS('岗位-产业节点关系'!$C$4:$C$709,B1297,'岗位-产业节点关系'!$M$4:$M$709,"低")&gt;0,"已匹配，建议复核","已匹配"))</x:f>
        <x:v>未匹配（现有产业链范围未覆盖或证据不足）</x:v>
      </x:c>
      <x:c r="H1297" s="26" t="str">
        <x:v>-</x:v>
      </x:c>
      <x:c r="I1297" s="26" t="str"/>
      <x:c r="J1297" s="26" t="str"/>
      <x:c r="K1297" s="26" t="str">
        <x:v>金融产品销售是金融行业中不可或缺的角色之一，通过专业的销售技巧和市场洞察力，促进金融产品的流通与普及，不仅为客户带来财富增值的机会，也为企业创造可观的经济收益。该职位的核心目标在于深入了解客户需求，精准匹配适合的金融产品…</x:v>
      </x:c>
      <x:c r="L1297" s="26" t="str">
        <x:v>1. 通过电话、面谈等方式主动接触潜在客户，了解其投资需求和风险偏好，提供个性化的产品推荐方案。 2. 定期参加行业培训和内部学习会议，掌握最新金融政策法规及市场动态，确保所售产品符合法律法规要求。 3. 负责维护现有客…</x:v>
      </x:c>
    </x:row>
    <x:row r="1298" ht="72" customHeight="1">
      <x:c r="A1298" s="25" t="n">
        <x:v>12190</x:v>
      </x:c>
      <x:c r="B1298" s="25" t="str">
        <x:v>IC-L3-1447</x:v>
      </x:c>
      <x:c r="C1298" s="25" t="str">
        <x:v>金融衍生品</x:v>
      </x:c>
      <x:c r="D1298" s="25" t="str">
        <x:v>2-06-11-04</x:v>
      </x:c>
      <x:c r="E1298" s="25" t="str">
        <x:v>金融产品销售专业人员</x:v>
      </x:c>
      <x:c r="F1298" s="28" t="n">
        <x:f>COUNTIF('岗位-产业节点关系'!$C$4:$C$709,B1298)</x:f>
        <x:v>0</x:v>
      </x:c>
      <x:c r="G1298" s="26" t="str">
        <x:f>IF(F1298=0,"未匹配（现有产业链范围未覆盖或证据不足）",IF(COUNTIFS('岗位-产业节点关系'!$C$4:$C$709,B1298,'岗位-产业节点关系'!$M$4:$M$709,"低")&gt;0,"已匹配，建议复核","已匹配"))</x:f>
        <x:v>未匹配（现有产业链范围未覆盖或证据不足）</x:v>
      </x:c>
      <x:c r="H1298" s="26" t="str">
        <x:v>-</x:v>
      </x:c>
      <x:c r="I1298" s="26" t="str"/>
      <x:c r="J1298" s="26" t="str"/>
      <x:c r="K1298" s="26" t="str">
        <x:v>金融衍生品分析师在金融市场中扮演着至关重要的角色，他们通过深入分析复杂的金融工具来帮助企业和投资者管理风险、优化资产配置。作为金融行业的核心岗位之一，金融衍生品分析师不仅需要具备扎实的理论基础，还需要拥有敏锐的市场洞察力…</x:v>
      </x:c>
      <x:c r="L1298" s="26" t="str">
        <x:v>1. 负责金融衍生品的研究与开发，包括但不限于期权、期货、掉期等，以满足不同客户的特定需求。 2. 定期撰写市场分析报告，预测未来趋势，为管理层提供决策支持，确保公司在激烈的市场竞争中保持领先地位。 3. 与法律合规团队…</x:v>
      </x:c>
    </x:row>
    <x:row r="1299" ht="72" customHeight="1">
      <x:c r="A1299" s="25" t="n">
        <x:v>12191</x:v>
      </x:c>
      <x:c r="B1299" s="25" t="str">
        <x:v>IC-L3-1448</x:v>
      </x:c>
      <x:c r="C1299" s="25" t="str">
        <x:v>风险控制</x:v>
      </x:c>
      <x:c r="D1299" s="25" t="str">
        <x:v>2-06-11-02</x:v>
      </x:c>
      <x:c r="E1299" s="25" t="str">
        <x:v>证券交易专业人员</x:v>
      </x:c>
      <x:c r="F1299" s="28" t="n">
        <x:f>COUNTIF('岗位-产业节点关系'!$C$4:$C$709,B1299)</x:f>
        <x:v>0</x:v>
      </x:c>
      <x:c r="G1299" s="26" t="str">
        <x:f>IF(F1299=0,"未匹配（现有产业链范围未覆盖或证据不足）",IF(COUNTIFS('岗位-产业节点关系'!$C$4:$C$709,B1299,'岗位-产业节点关系'!$M$4:$M$709,"低")&gt;0,"已匹配，建议复核","已匹配"))</x:f>
        <x:v>未匹配（现有产业链范围未覆盖或证据不足）</x:v>
      </x:c>
      <x:c r="H1299" s="26" t="str">
        <x:v>-</x:v>
      </x:c>
      <x:c r="I1299" s="26" t="str"/>
      <x:c r="J1299" s="26" t="str"/>
      <x:c r="K1299" s="26" t="str">
        <x:v>风险控制作为金融行业中不可或缺的一环，承担着评估、监测和管理潜在财务风险的重要任务，确保金融机构能够稳健运营并实现可持续发展。通过建立和完善风险管理体系，该职位不仅能够帮助公司识别和量化各类金融活动中的不确定性因素，还能…</x:v>
      </x:c>
      <x:c r="L1299" s="26" t="str">
        <x:v>1. 制定并实施风险评估政策和程序，确保所有金融产品和服务符合法律法规要求，降低操作风险。 2. 定期审查市场数据和内部交易记录，识别异常波动或潜在风险点，及时向高级管理层报告并提出改进建议。 3. 与相关部门协作，参与…</x:v>
      </x:c>
    </x:row>
    <x:row r="1300" ht="72" customHeight="1">
      <x:c r="A1300" s="25" t="n">
        <x:v>12192</x:v>
      </x:c>
      <x:c r="B1300" s="25" t="str">
        <x:v>IC-L3-1449</x:v>
      </x:c>
      <x:c r="C1300" s="25" t="str">
        <x:v>个人业务客户经理</x:v>
      </x:c>
      <x:c r="D1300" s="25" t="str">
        <x:v>2-06-11-01</x:v>
      </x:c>
      <x:c r="E1300" s="25" t="str">
        <x:v>证券保荐承销专业人员</x:v>
      </x:c>
      <x:c r="F1300" s="28" t="n">
        <x:f>COUNTIF('岗位-产业节点关系'!$C$4:$C$709,B1300)</x:f>
        <x:v>0</x:v>
      </x:c>
      <x:c r="G1300" s="26" t="str">
        <x:f>IF(F1300=0,"未匹配（现有产业链范围未覆盖或证据不足）",IF(COUNTIFS('岗位-产业节点关系'!$C$4:$C$709,B1300,'岗位-产业节点关系'!$M$4:$M$709,"低")&gt;0,"已匹配，建议复核","已匹配"))</x:f>
        <x:v>未匹配（现有产业链范围未覆盖或证据不足）</x:v>
      </x:c>
      <x:c r="H1300" s="26" t="str">
        <x:v>-</x:v>
      </x:c>
      <x:c r="I1300" s="26" t="str"/>
      <x:c r="J1300" s="26" t="str"/>
      <x:c r="K1300" s="26" t="str">
        <x:v>个人业务客户经理是银行业务链中的关键环节，主要负责与个人客户建立和维护良好的关系，通过提供专业的金融服务满足客户的个性化需求，对于提升银行品牌形象和市场竞争力具有重要作用。该职位的核心目标在于通过深入了解客户需求，制定并…</x:v>
      </x:c>
      <x:c r="L1300" s="26" t="str">
        <x:v>1. 负责开发新客户资源，通过电话沟通、面对面会谈等方式了解潜在客户的金融需求，推广银行产品和服务，完成销售目标。 2. 为现有客户提供全方位的金融服务咨询，包括但不限于储蓄账户、信用卡、贷款、投资理财等，帮助客户合理规…</x:v>
      </x:c>
    </x:row>
    <x:row r="1301" ht="72" customHeight="1">
      <x:c r="A1301" s="25" t="n">
        <x:v>12193</x:v>
      </x:c>
      <x:c r="B1301" s="25" t="str">
        <x:v>IC-L3-1450</x:v>
      </x:c>
      <x:c r="C1301" s="25" t="str">
        <x:v>个人业务部门经理/主管</x:v>
      </x:c>
      <x:c r="D1301" s="25" t="str">
        <x:v>2-06-11-01</x:v>
      </x:c>
      <x:c r="E1301" s="25" t="str">
        <x:v>证券保荐承销专业人员</x:v>
      </x:c>
      <x:c r="F1301" s="28" t="n">
        <x:f>COUNTIF('岗位-产业节点关系'!$C$4:$C$709,B1301)</x:f>
        <x:v>0</x:v>
      </x:c>
      <x:c r="G1301" s="26" t="str">
        <x:f>IF(F1301=0,"未匹配（现有产业链范围未覆盖或证据不足）",IF(COUNTIFS('岗位-产业节点关系'!$C$4:$C$709,B1301,'岗位-产业节点关系'!$M$4:$M$709,"低")&gt;0,"已匹配，建议复核","已匹配"))</x:f>
        <x:v>未匹配（现有产业链范围未覆盖或证据不足）</x:v>
      </x:c>
      <x:c r="H1301" s="26" t="str">
        <x:v>-</x:v>
      </x:c>
      <x:c r="I1301" s="26" t="str"/>
      <x:c r="J1301" s="26" t="str"/>
      <x:c r="K1301" s="26" t="str">
        <x:v>个人业务部门经理/主管是银行零售银行业务领域中的关键角色，负责推动个人客户的金融产品和服务销售，确保满足客户的需求并实现业务增长。作为个人业务部门的核心领导者，该职位不仅需要制定并执行有效的市场策略，以提升市场份额和客户…</x:v>
      </x:c>
      <x:c r="L1301" s="26" t="str">
        <x:v>1. 制定并实施个人业务部的年度经营计划，设定合理的目标，确保完成各项业务指标。 2. 分析市场趋势，及时调整营销策略，提高产品竞争力，扩大市场份额。 3. 负责团队建设，选拔、培训和发展员工，激发团队潜力，提高工作效率…</x:v>
      </x:c>
    </x:row>
    <x:row r="1302" ht="72" customHeight="1">
      <x:c r="A1302" s="25" t="n">
        <x:v>12194</x:v>
      </x:c>
      <x:c r="B1302" s="25" t="str">
        <x:v>IC-L3-1451</x:v>
      </x:c>
      <x:c r="C1302" s="25" t="str">
        <x:v>信审核查</x:v>
      </x:c>
      <x:c r="D1302" s="25" t="str">
        <x:v>2-06-11-01</x:v>
      </x:c>
      <x:c r="E1302" s="25" t="str">
        <x:v>证券保荐承销专业人员</x:v>
      </x:c>
      <x:c r="F1302" s="28" t="n">
        <x:f>COUNTIF('岗位-产业节点关系'!$C$4:$C$709,B1302)</x:f>
        <x:v>0</x:v>
      </x:c>
      <x:c r="G1302" s="26" t="str">
        <x:f>IF(F1302=0,"未匹配（现有产业链范围未覆盖或证据不足）",IF(COUNTIFS('岗位-产业节点关系'!$C$4:$C$709,B1302,'岗位-产业节点关系'!$M$4:$M$709,"低")&gt;0,"已匹配，建议复核","已匹配"))</x:f>
        <x:v>未匹配（现有产业链范围未覆盖或证据不足）</x:v>
      </x:c>
      <x:c r="H1302" s="26" t="str">
        <x:v>-</x:v>
      </x:c>
      <x:c r="I1302" s="26" t="str"/>
      <x:c r="J1302" s="26" t="str"/>
      <x:c r="K1302" s="26" t="str">
        <x:v>信审核查是银行体系中不可或缺的一环，通过专业的信用评估和风险控制，确保贷款等金融产品的安全与合规，对于维护银行资产质量和客户信任至关重要。该职位的核心目标在于准确识别潜在风险，优化信贷政策，从而提升公司整体的风险管理水平…</x:v>
      </x:c>
      <x:c r="L1302" s="26" t="str">
        <x:v>1. 对申请贷款的客户进行详细的资信调查，收集并分析客户的财务状况、还款能力和信用记录，确保贷款业务的安全性和合规性。 2. 根据国家法律法规及银行内部规章制度，制定或修订信贷审查标准和流程，提高审查效率和质量。 3. …</x:v>
      </x:c>
    </x:row>
    <x:row r="1303" ht="72" customHeight="1">
      <x:c r="A1303" s="25" t="n">
        <x:v>12195</x:v>
      </x:c>
      <x:c r="B1303" s="25" t="str">
        <x:v>IC-L3-1452</x:v>
      </x:c>
      <x:c r="C1303" s="25" t="str">
        <x:v>信贷管理</x:v>
      </x:c>
      <x:c r="D1303" s="25" t="str">
        <x:v>2-06-11-01</x:v>
      </x:c>
      <x:c r="E1303" s="25" t="str">
        <x:v>证券保荐承销专业人员</x:v>
      </x:c>
      <x:c r="F1303" s="28" t="n">
        <x:f>COUNTIF('岗位-产业节点关系'!$C$4:$C$709,B1303)</x:f>
        <x:v>0</x:v>
      </x:c>
      <x:c r="G1303" s="26" t="str">
        <x:f>IF(F1303=0,"未匹配（现有产业链范围未覆盖或证据不足）",IF(COUNTIFS('岗位-产业节点关系'!$C$4:$C$709,B1303,'岗位-产业节点关系'!$M$4:$M$709,"低")&gt;0,"已匹配，建议复核","已匹配"))</x:f>
        <x:v>未匹配（现有产业链范围未覆盖或证据不足）</x:v>
      </x:c>
      <x:c r="H1303" s="26" t="str">
        <x:v>-</x:v>
      </x:c>
      <x:c r="I1303" s="26" t="str"/>
      <x:c r="J1303" s="26" t="str"/>
      <x:c r="K1303" s="26" t="str">
        <x:v>信贷管理是银行体系中不可或缺的关键环节，它不仅确保了金融机构的资金安全与高效运作，还直接关系到客户贷款需求的满足及风险控制水平。通过精准评估借款人的信用状况，制定合理的授信策略，信贷管理人员能够有效降低不良资产率，提高银…</x:v>
      </x:c>
      <x:c r="L1303" s="26" t="str">
        <x:v>1. 负责审核客户的贷款申请材料，依据相关法律法规及内部政策进行综合分析，判断其还款能力及违约风险，确保贷款决策的准确性和合规性。 2. 定期监控已发放贷款的质量，及时发现潜在问题并采取措施予以解决，包括但不限于调整还款…</x:v>
      </x:c>
    </x:row>
    <x:row r="1304" ht="72" customHeight="1">
      <x:c r="A1304" s="25" t="n">
        <x:v>12196</x:v>
      </x:c>
      <x:c r="B1304" s="25" t="str">
        <x:v>IC-L3-1453</x:v>
      </x:c>
      <x:c r="C1304" s="25" t="str">
        <x:v>公司业务部门经理/主管</x:v>
      </x:c>
      <x:c r="D1304" s="25" t="str">
        <x:v>2-06-11-01</x:v>
      </x:c>
      <x:c r="E1304" s="25" t="str">
        <x:v>证券保荐承销专业人员</x:v>
      </x:c>
      <x:c r="F1304" s="28" t="n">
        <x:f>COUNTIF('岗位-产业节点关系'!$C$4:$C$709,B1304)</x:f>
        <x:v>0</x:v>
      </x:c>
      <x:c r="G1304" s="26" t="str">
        <x:f>IF(F1304=0,"未匹配（现有产业链范围未覆盖或证据不足）",IF(COUNTIFS('岗位-产业节点关系'!$C$4:$C$709,B1304,'岗位-产业节点关系'!$M$4:$M$709,"低")&gt;0,"已匹配，建议复核","已匹配"))</x:f>
        <x:v>未匹配（现有产业链范围未覆盖或证据不足）</x:v>
      </x:c>
      <x:c r="H1304" s="26" t="str">
        <x:v>-</x:v>
      </x:c>
      <x:c r="I1304" s="26" t="str"/>
      <x:c r="J1304" s="26" t="str"/>
      <x:c r="K1304" s="26" t="str">
        <x:v>公司业务部门经理/主管是银行业务运营的关键角色之一，负责推动公司业务的增长与创新。作为部门的领导者，该职位不仅需要具备深厚的金融知识，还需要拥有卓越的领导能力和市场洞察力，以确保公司在激烈的市场竞争中保持领先地位。通过高…</x:v>
      </x:c>
      <x:c r="L1304" s="26" t="str">
        <x:v>1. 制定并执行公司业务的发展策略，确保业务目标的达成及超越，同时监控市场动态，及时调整策略以应对变化。 2. 负责管理公司业务团队，包括但不限于招聘、培训、绩效评估等，建立高效的工作机制，激发员工潜能，提升团队整体效能…</x:v>
      </x:c>
    </x:row>
    <x:row r="1305" ht="72" customHeight="1">
      <x:c r="A1305" s="25" t="n">
        <x:v>12197</x:v>
      </x:c>
      <x:c r="B1305" s="25" t="str">
        <x:v>IC-L3-1454</x:v>
      </x:c>
      <x:c r="C1305" s="25" t="str">
        <x:v>公司金融顾问</x:v>
      </x:c>
      <x:c r="D1305" s="25" t="str">
        <x:v>2-06-11-04</x:v>
      </x:c>
      <x:c r="E1305" s="25" t="str">
        <x:v>金融产品销售专业人员</x:v>
      </x:c>
      <x:c r="F1305" s="28" t="n">
        <x:f>COUNTIF('岗位-产业节点关系'!$C$4:$C$709,B1305)</x:f>
        <x:v>0</x:v>
      </x:c>
      <x:c r="G1305" s="26" t="str">
        <x:f>IF(F1305=0,"未匹配（现有产业链范围未覆盖或证据不足）",IF(COUNTIFS('岗位-产业节点关系'!$C$4:$C$709,B1305,'岗位-产业节点关系'!$M$4:$M$709,"低")&gt;0,"已匹配，建议复核","已匹配"))</x:f>
        <x:v>未匹配（现有产业链范围未覆盖或证据不足）</x:v>
      </x:c>
      <x:c r="H1305" s="26" t="str">
        <x:v>-</x:v>
      </x:c>
      <x:c r="I1305" s="26" t="str"/>
      <x:c r="J1305" s="26" t="str"/>
      <x:c r="K1305" s="26" t="str">
        <x:v>公司金融顾问是银行业务中不可或缺的专业角色，主要负责为企业客户提供全面的金融服务解决方案，确保客户能够有效管理和优化其财务状况。通过精准分析市场动态与客户需求，该职位不仅促进了企业客户的健康成长，也增强了银行与客户之间的…</x:v>
      </x:c>
      <x:c r="L1305" s="26" t="str">
        <x:v>1. 与潜在及现有企业客户进行沟通，深入了解其业务模式和财务需求，为其量身定制包括贷款、投资、风险管理在内的综合金融服务方案，以满足客户多样化的需求。 2. 定期跟踪并评估所服务企业的经营状况和信用等级变化，及时调整金融…</x:v>
      </x:c>
    </x:row>
    <x:row r="1306" ht="72" customHeight="1">
      <x:c r="A1306" s="25" t="n">
        <x:v>12198</x:v>
      </x:c>
      <x:c r="B1306" s="25" t="str">
        <x:v>IC-L3-1455</x:v>
      </x:c>
      <x:c r="C1306" s="25" t="str">
        <x:v>外汇交易</x:v>
      </x:c>
      <x:c r="D1306" s="25" t="str">
        <x:v>2-06-11-01</x:v>
      </x:c>
      <x:c r="E1306" s="25" t="str">
        <x:v>证券保荐承销专业人员</x:v>
      </x:c>
      <x:c r="F1306" s="28" t="n">
        <x:f>COUNTIF('岗位-产业节点关系'!$C$4:$C$709,B1306)</x:f>
        <x:v>0</x:v>
      </x:c>
      <x:c r="G1306" s="26" t="str">
        <x:f>IF(F1306=0,"未匹配（现有产业链范围未覆盖或证据不足）",IF(COUNTIFS('岗位-产业节点关系'!$C$4:$C$709,B1306,'岗位-产业节点关系'!$M$4:$M$709,"低")&gt;0,"已匹配，建议复核","已匹配"))</x:f>
        <x:v>未匹配（现有产业链范围未覆盖或证据不足）</x:v>
      </x:c>
      <x:c r="H1306" s="26" t="str">
        <x:v>-</x:v>
      </x:c>
      <x:c r="I1306" s="26" t="str"/>
      <x:c r="J1306" s="26" t="str"/>
      <x:c r="K1306" s="26" t="str">
        <x:v>外汇交易员在银行体系中扮演着至关重要的角色，他们不仅是金融市场动态的敏锐观察者，也是连接国际货币市场与银行内部运营的关键纽带。通过对外汇市场的深入研究和实时监控，外汇交易员能够为公司提供准确的汇率走势预测，优化资金配置策…</x:v>
      </x:c>
      <x:c r="L1306" s="26" t="str">
        <x:v>1. 负责监测全球主要货币对的实时行情变化，及时捕捉市场趋势，为银行制定合理的外汇买卖决策。 2. 分析宏观经济数据及政策导向，评估其对外汇市场的影响，撰写专业报告供管理层参考。 3. 根据客户需求设计个性化外汇产品和服…</x:v>
      </x:c>
    </x:row>
    <x:row r="1307" ht="72" customHeight="1">
      <x:c r="A1307" s="25" t="n">
        <x:v>12199</x:v>
      </x:c>
      <x:c r="B1307" s="25" t="str">
        <x:v>IC-L3-1456</x:v>
      </x:c>
      <x:c r="C1307" s="25" t="str">
        <x:v>客户专员</x:v>
      </x:c>
      <x:c r="D1307" s="25" t="str">
        <x:v>2-06-11-01</x:v>
      </x:c>
      <x:c r="E1307" s="25" t="str">
        <x:v>证券保荐承销专业人员</x:v>
      </x:c>
      <x:c r="F1307" s="28" t="n">
        <x:f>COUNTIF('岗位-产业节点关系'!$C$4:$C$709,B1307)</x:f>
        <x:v>0</x:v>
      </x:c>
      <x:c r="G1307" s="26" t="str">
        <x:f>IF(F1307=0,"未匹配（现有产业链范围未覆盖或证据不足）",IF(COUNTIFS('岗位-产业节点关系'!$C$4:$C$709,B1307,'岗位-产业节点关系'!$M$4:$M$709,"低")&gt;0,"已匹配，建议复核","已匹配"))</x:f>
        <x:v>未匹配（现有产业链范围未覆盖或证据不足）</x:v>
      </x:c>
      <x:c r="H1307" s="26" t="str">
        <x:v>-</x:v>
      </x:c>
      <x:c r="I1307" s="26" t="str"/>
      <x:c r="J1307" s="26" t="str"/>
      <x:c r="K1307" s="26" t="str">
        <x:v>客户专员是银行业务运行中不可或缺的角色，他们通过与客户的直接交流，确保服务质量，提高客户满意度，进而促进银行产品的销售和品牌形象的提升。作为连接银行与客户的桥梁，客户专员的核心目标在于理解并满足客户需求，提供个性化服务方…</x:v>
      </x:c>
      <x:c r="L1307" s="26" t="str">
        <x:v>1. 负责接待来访客户，主动了解其金融需求，提供专业咨询服务，解答关于产品和服务的疑问，目标是建立良好的第一印象，提高初次接触的转化率。 2. 根据客户的具体情况，推荐合适的理财产品、贷款方案或其他增值服务，协助客户完成…</x:v>
      </x:c>
    </x:row>
    <x:row r="1308" ht="72" customHeight="1">
      <x:c r="A1308" s="25" t="n">
        <x:v>12200</x:v>
      </x:c>
      <x:c r="B1308" s="25" t="str">
        <x:v>IC-L3-1457</x:v>
      </x:c>
      <x:c r="C1308" s="25" t="str">
        <x:v>客户主管</x:v>
      </x:c>
      <x:c r="D1308" s="25" t="str">
        <x:v>2-06-11-01</x:v>
      </x:c>
      <x:c r="E1308" s="25" t="str">
        <x:v>证券保荐承销专业人员</x:v>
      </x:c>
      <x:c r="F1308" s="28" t="n">
        <x:f>COUNTIF('岗位-产业节点关系'!$C$4:$C$709,B1308)</x:f>
        <x:v>0</x:v>
      </x:c>
      <x:c r="G1308" s="26" t="str">
        <x:f>IF(F1308=0,"未匹配（现有产业链范围未覆盖或证据不足）",IF(COUNTIFS('岗位-产业节点关系'!$C$4:$C$709,B1308,'岗位-产业节点关系'!$M$4:$M$709,"低")&gt;0,"已匹配，建议复核","已匹配"))</x:f>
        <x:v>未匹配（现有产业链范围未覆盖或证据不足）</x:v>
      </x:c>
      <x:c r="H1308" s="26" t="str">
        <x:v>-</x:v>
      </x:c>
      <x:c r="I1308" s="26" t="str"/>
      <x:c r="J1308" s="26" t="str"/>
      <x:c r="K1308" s="26" t="str">
        <x:v>客户主管是银行业务中不可或缺的角色，通过与客户的深入沟通和关系建立，为客户提供量身定制的金融产品和服务，确保满足其财务需求的同时，也推动了银行的业务增长。作为客户与银行之间的桥梁，客户主管的核心目标在于深入了解客户需求，…</x:v>
      </x:c>
      <x:c r="L1308" s="26" t="str">
        <x:v>1. 负责开发新客户资源，维护现有客户关系，定期进行客户回访，收集并分析客户反馈信息，及时调整服务策略，提高客户满意度。 2. 根据客户需求设计个性化金融服务方案，涵盖存款、贷款、投资理财等多个方面，协助客户完成相关手续…</x:v>
      </x:c>
    </x:row>
    <x:row r="1309" ht="72" customHeight="1">
      <x:c r="A1309" s="25" t="n">
        <x:v>12201</x:v>
      </x:c>
      <x:c r="B1309" s="25" t="str">
        <x:v>IC-L3-1458</x:v>
      </x:c>
      <x:c r="C1309" s="25" t="str">
        <x:v>小微信贷专员</x:v>
      </x:c>
      <x:c r="D1309" s="25" t="str">
        <x:v>2-06-11-01</x:v>
      </x:c>
      <x:c r="E1309" s="25" t="str">
        <x:v>证券保荐承销专业人员</x:v>
      </x:c>
      <x:c r="F1309" s="28" t="n">
        <x:f>COUNTIF('岗位-产业节点关系'!$C$4:$C$709,B1309)</x:f>
        <x:v>0</x:v>
      </x:c>
      <x:c r="G1309" s="26" t="str">
        <x:f>IF(F1309=0,"未匹配（现有产业链范围未覆盖或证据不足）",IF(COUNTIFS('岗位-产业节点关系'!$C$4:$C$709,B1309,'岗位-产业节点关系'!$M$4:$M$709,"低")&gt;0,"已匹配，建议复核","已匹配"))</x:f>
        <x:v>未匹配（现有产业链范围未覆盖或证据不足）</x:v>
      </x:c>
      <x:c r="H1309" s="26" t="str">
        <x:v>-</x:v>
      </x:c>
      <x:c r="I1309" s="26" t="str"/>
      <x:c r="J1309" s="26" t="str"/>
      <x:c r="K1309" s="26" t="str">
        <x:v>小微信贷专员是银行业务中不可或缺的一部分，主要负责小微企业贷款业务的开展与管理。作为连接银行与小微企业的桥梁，小微信贷专员不仅能够帮助企业解决资金周转问题，还能促进银行信贷业务的发展，提升银行的社会影响力和服务水平。通过…</x:v>
      </x:c>
      <x:c r="L1309" s="26" t="str">
        <x:v>1. 负责收集并审核小微企业客户的贷款申请资料，确保信息真实有效，为后续审批提供准确依据。 2. 对申请企业进行实地考察，深入了解其经营状况及还款能力，撰写详细的调查报告，提出初步授信建议。 3. 与客户沟通协商，设计符…</x:v>
      </x:c>
    </x:row>
    <x:row r="1310" ht="72" customHeight="1">
      <x:c r="A1310" s="25" t="n">
        <x:v>12202</x:v>
      </x:c>
      <x:c r="B1310" s="25" t="str">
        <x:v>IC-L3-1459</x:v>
      </x:c>
      <x:c r="C1310" s="25" t="str">
        <x:v>清算人员</x:v>
      </x:c>
      <x:c r="D1310" s="25" t="str">
        <x:v>2-06-11-01</x:v>
      </x:c>
      <x:c r="E1310" s="25" t="str">
        <x:v>证券保荐承销专业人员</x:v>
      </x:c>
      <x:c r="F1310" s="28" t="n">
        <x:f>COUNTIF('岗位-产业节点关系'!$C$4:$C$709,B1310)</x:f>
        <x:v>0</x:v>
      </x:c>
      <x:c r="G1310" s="26" t="str">
        <x:f>IF(F1310=0,"未匹配（现有产业链范围未覆盖或证据不足）",IF(COUNTIFS('岗位-产业节点关系'!$C$4:$C$709,B1310,'岗位-产业节点关系'!$M$4:$M$709,"低")&gt;0,"已匹配，建议复核","已匹配"))</x:f>
        <x:v>未匹配（现有产业链范围未覆盖或证据不足）</x:v>
      </x:c>
      <x:c r="H1310" s="26" t="str">
        <x:v>-</x:v>
      </x:c>
      <x:c r="I1310" s="26" t="str"/>
      <x:c r="J1310" s="26" t="str"/>
      <x:c r="K1310" s="26" t="str">
        <x:v>清算人员是银行体系中不可或缺的专业角色，他们负责确保每一笔交易的准确性和及时性，对于维护金融市场秩序和客户信任具有至关重要的作用。通过高效处理国内外支付结算业务，清算人员不仅能够帮助银行降低操作风险、提高资金周转效率，还…</x:v>
      </x:c>
      <x:c r="L1310" s="26" t="str">
        <x:v>1. 负责审核并执行各类金融产品的清算交割流程，确保交易数据的准确性及合规性。 2. 定期进行账户对账工作，及时发现并解决账务差异问题，保障公司资产安全。 3. 与外部金融机构保持良好沟通，协调解决清算过程中的异常情况，…</x:v>
      </x:c>
    </x:row>
    <x:row r="1311" ht="72" customHeight="1">
      <x:c r="A1311" s="25" t="n">
        <x:v>12203</x:v>
      </x:c>
      <x:c r="B1311" s="25" t="str">
        <x:v>IC-L3-1460</x:v>
      </x:c>
      <x:c r="C1311" s="25" t="str">
        <x:v>理财经理</x:v>
      </x:c>
      <x:c r="D1311" s="25" t="str">
        <x:v>2-06-11-01</x:v>
      </x:c>
      <x:c r="E1311" s="25" t="str">
        <x:v>证券保荐承销专业人员</x:v>
      </x:c>
      <x:c r="F1311" s="28" t="n">
        <x:f>COUNTIF('岗位-产业节点关系'!$C$4:$C$709,B1311)</x:f>
        <x:v>0</x:v>
      </x:c>
      <x:c r="G1311" s="26" t="str">
        <x:f>IF(F1311=0,"未匹配（现有产业链范围未覆盖或证据不足）",IF(COUNTIFS('岗位-产业节点关系'!$C$4:$C$709,B1311,'岗位-产业节点关系'!$M$4:$M$709,"低")&gt;0,"已匹配，建议复核","已匹配"))</x:f>
        <x:v>未匹配（现有产业链范围未覆盖或证据不足）</x:v>
      </x:c>
      <x:c r="H1311" s="26" t="str">
        <x:v>-</x:v>
      </x:c>
      <x:c r="I1311" s="26" t="str"/>
      <x:c r="J1311" s="26" t="str"/>
      <x:c r="K1311" s="26" t="str">
        <x:v>理财经理是银行业务中不可或缺的角色之一，他们通过专业的金融服务帮助客户实现财富增值，是银行与个人或企业客户之间的重要桥梁。理财经理不仅负责为客户提供全面的财务分析和投资建议，还承担着开发新客户资源、维护现有客户关系的任务…</x:v>
      </x:c>
      <x:c r="L1311" s="26" t="str">
        <x:v>1. 通过深入了解客户需求，提供个性化投资组合建议，以实现客户的资产保值增值。 2. 定期进行市场调研，掌握最新的金融产品和服务信息，确保所提供的方案符合当前经济形势。 3. 负责建立并维护良好的客户关系，及时响应客户咨…</x:v>
      </x:c>
    </x:row>
    <x:row r="1312" ht="72" customHeight="1">
      <x:c r="A1312" s="25" t="n">
        <x:v>12204</x:v>
      </x:c>
      <x:c r="B1312" s="25" t="str">
        <x:v>IC-L3-1461</x:v>
      </x:c>
      <x:c r="C1312" s="25" t="str">
        <x:v>综合业务经理/主管</x:v>
      </x:c>
      <x:c r="D1312" s="25" t="str">
        <x:v>2-06-11-01</x:v>
      </x:c>
      <x:c r="E1312" s="25" t="str">
        <x:v>证券保荐承销专业人员</x:v>
      </x:c>
      <x:c r="F1312" s="28" t="n">
        <x:f>COUNTIF('岗位-产业节点关系'!$C$4:$C$709,B1312)</x:f>
        <x:v>0</x:v>
      </x:c>
      <x:c r="G1312" s="26" t="str">
        <x:f>IF(F1312=0,"未匹配（现有产业链范围未覆盖或证据不足）",IF(COUNTIFS('岗位-产业节点关系'!$C$4:$C$709,B1312,'岗位-产业节点关系'!$M$4:$M$709,"低")&gt;0,"已匹配，建议复核","已匹配"))</x:f>
        <x:v>未匹配（现有产业链范围未覆盖或证据不足）</x:v>
      </x:c>
      <x:c r="H1312" s="26" t="str">
        <x:v>-</x:v>
      </x:c>
      <x:c r="I1312" s="26" t="str"/>
      <x:c r="J1312" s="26" t="str"/>
      <x:c r="K1312" s="26" t="str">
        <x:v>综合业务经理/主管是银行业务运营中不可或缺的关键角色，负责确保银行各项业务的顺利开展与高效执行。作为连接前台客户与后台支持部门的重要桥梁，综合业务经理/主管不仅需要具备扎实的专业知识，还需要拥有出色的沟通协调能力，以促进…</x:v>
      </x:c>
      <x:c r="L1312" s="26" t="str">
        <x:v>1. 负责制定并实施本部门年度工作计划及目标，确保各项业务指标的顺利完成。 2. 对接客户，了解其需求并提供专业的金融服务方案，维护良好的客户关系，扩大市场份额。 3. 监控业务操作流程，定期评估风险状况，采取有效措施预…</x:v>
      </x:c>
    </x:row>
    <x:row r="1313" ht="72" customHeight="1">
      <x:c r="A1313" s="25" t="n">
        <x:v>12205</x:v>
      </x:c>
      <x:c r="B1313" s="25" t="str">
        <x:v>IC-L3-1462</x:v>
      </x:c>
      <x:c r="C1313" s="25" t="str">
        <x:v>营业部大堂经理</x:v>
      </x:c>
      <x:c r="D1313" s="25" t="str">
        <x:v>2-06-11-01</x:v>
      </x:c>
      <x:c r="E1313" s="25" t="str">
        <x:v>证券保荐承销专业人员</x:v>
      </x:c>
      <x:c r="F1313" s="28" t="n">
        <x:f>COUNTIF('岗位-产业节点关系'!$C$4:$C$709,B1313)</x:f>
        <x:v>0</x:v>
      </x:c>
      <x:c r="G1313" s="26" t="str">
        <x:f>IF(F1313=0,"未匹配（现有产业链范围未覆盖或证据不足）",IF(COUNTIFS('岗位-产业节点关系'!$C$4:$C$709,B1313,'岗位-产业节点关系'!$M$4:$M$709,"低")&gt;0,"已匹配，建议复核","已匹配"))</x:f>
        <x:v>未匹配（现有产业链范围未覆盖或证据不足）</x:v>
      </x:c>
      <x:c r="H1313" s="26" t="str">
        <x:v>-</x:v>
      </x:c>
      <x:c r="I1313" s="26" t="str"/>
      <x:c r="J1313" s="26" t="str"/>
      <x:c r="K1313" s="26" t="str">
        <x:v>营业部大堂经理是银行客户体验的第一窗口，作为银行与客户之间的桥梁，其角色至关重要。通过高效管理和优质服务，大堂经理不仅能够提升客户满意度，还能有效促进银行业务发展，增强银行品牌形象。此外，该职位要求与前台柜员、理财顾问等…</x:v>
      </x:c>
      <x:c r="L1313" s="26" t="str">
        <x:v>1. 负责接待来访客户，解答咨询问题，引导客户办理相关业务，确保每位客户都能获得及时、准确的服务。 2. 监控营业厅内秩序，维护良好环境，处理突发事件及客户投诉，保障营业场所安全稳定运行。 3. 定期收集客户反馈意见，分…</x:v>
      </x:c>
    </x:row>
    <x:row r="1314" ht="72" customHeight="1">
      <x:c r="A1314" s="25" t="n">
        <x:v>12206</x:v>
      </x:c>
      <x:c r="B1314" s="25" t="str">
        <x:v>IC-L3-1463</x:v>
      </x:c>
      <x:c r="C1314" s="25" t="str">
        <x:v>行长/副行长</x:v>
      </x:c>
      <x:c r="D1314" s="25" t="str">
        <x:v>2-06-11-01</x:v>
      </x:c>
      <x:c r="E1314" s="25" t="str">
        <x:v>证券保荐承销专业人员</x:v>
      </x:c>
      <x:c r="F1314" s="28" t="n">
        <x:f>COUNTIF('岗位-产业节点关系'!$C$4:$C$709,B1314)</x:f>
        <x:v>0</x:v>
      </x:c>
      <x:c r="G1314" s="26" t="str">
        <x:f>IF(F1314=0,"未匹配（现有产业链范围未覆盖或证据不足）",IF(COUNTIFS('岗位-产业节点关系'!$C$4:$C$709,B1314,'岗位-产业节点关系'!$M$4:$M$709,"低")&gt;0,"已匹配，建议复核","已匹配"))</x:f>
        <x:v>未匹配（现有产业链范围未覆盖或证据不足）</x:v>
      </x:c>
      <x:c r="H1314" s="26" t="str">
        <x:v>-</x:v>
      </x:c>
      <x:c r="I1314" s="26" t="str"/>
      <x:c r="J1314" s="26" t="str"/>
      <x:c r="K1314" s="26" t="str">
        <x:v>行长或副行长是银行体系中极为关键的领导职务，其不仅在银行内部扮演着决策者和战略规划者的角色，同时对外也是金融机构形象与声誉的代表。该职位的主要目标在于确保银行遵守相关法律法规的前提下实现稳健经营，促进业务持续增长，提高市…</x:v>
      </x:c>
      <x:c r="L1314" s="26" t="str">
        <x:v>1. 制定并执行银行整体发展战略及年度经营计划，指导各部门完成各项指标任务，确保银行业务平稳高效运行。 2. 监督信贷审批流程，评估潜在风险，制定相应的风险控制措施，维护银行资金安全。 3. 加强与政府监管机构沟通联系，…</x:v>
      </x:c>
    </x:row>
    <x:row r="1315" ht="72" customHeight="1">
      <x:c r="A1315" s="25" t="n">
        <x:v>12207</x:v>
      </x:c>
      <x:c r="B1315" s="25" t="str">
        <x:v>IC-L3-1464</x:v>
      </x:c>
      <x:c r="C1315" s="25" t="str">
        <x:v>资产管理</x:v>
      </x:c>
      <x:c r="D1315" s="25" t="str">
        <x:v>2-06-11-01</x:v>
      </x:c>
      <x:c r="E1315" s="25" t="str">
        <x:v>证券保荐承销专业人员</x:v>
      </x:c>
      <x:c r="F1315" s="28" t="n">
        <x:f>COUNTIF('岗位-产业节点关系'!$C$4:$C$709,B1315)</x:f>
        <x:v>0</x:v>
      </x:c>
      <x:c r="G1315" s="26" t="str">
        <x:f>IF(F1315=0,"未匹配（现有产业链范围未覆盖或证据不足）",IF(COUNTIFS('岗位-产业节点关系'!$C$4:$C$709,B1315,'岗位-产业节点关系'!$M$4:$M$709,"低")&gt;0,"已匹配，建议复核","已匹配"))</x:f>
        <x:v>未匹配（现有产业链范围未覆盖或证据不足）</x:v>
      </x:c>
      <x:c r="H1315" s="26" t="str">
        <x:v>-</x:v>
      </x:c>
      <x:c r="I1315" s="26" t="str"/>
      <x:c r="J1315" s="26" t="str"/>
      <x:c r="K1315" s="26" t="str">
        <x:v>资产管理师在银行业务中扮演着至关重要的角色，负责客户资产的增长与保值。通过制定并执行有效的投资策略，资产管理师不仅能够帮助个人或机构投资者实现财富增长的目标，同时也促进了金融市场资源的有效配置。 本职位的核心目标是通过深…</x:v>
      </x:c>
      <x:c r="L1315" s="26" t="str">
        <x:v>1. 负责了解和分析客户的财务状况、风险偏好及投资需求，为其提供专业化的资产管理建议。 2. 根据市场趋势和经济形势的变化，定期审查并优化投资组合，确保符合既定的投资目标。 3. 与相关部门紧密沟通，协调解决投资过程中出…</x:v>
      </x:c>
    </x:row>
    <x:row r="1316" ht="72" customHeight="1">
      <x:c r="A1316" s="25" t="n">
        <x:v>12208</x:v>
      </x:c>
      <x:c r="B1316" s="25" t="str">
        <x:v>IC-L3-1465</x:v>
      </x:c>
      <x:c r="C1316" s="25" t="str">
        <x:v>资产评估/分析</x:v>
      </x:c>
      <x:c r="D1316" s="25" t="str">
        <x:v>2-06-11-01</x:v>
      </x:c>
      <x:c r="E1316" s="25" t="str">
        <x:v>证券保荐承销专业人员</x:v>
      </x:c>
      <x:c r="F1316" s="28" t="n">
        <x:f>COUNTIF('岗位-产业节点关系'!$C$4:$C$709,B1316)</x:f>
        <x:v>0</x:v>
      </x:c>
      <x:c r="G1316" s="26" t="str">
        <x:f>IF(F1316=0,"未匹配（现有产业链范围未覆盖或证据不足）",IF(COUNTIFS('岗位-产业节点关系'!$C$4:$C$709,B1316,'岗位-产业节点关系'!$M$4:$M$709,"低")&gt;0,"已匹配，建议复核","已匹配"))</x:f>
        <x:v>未匹配（现有产业链范围未覆盖或证据不足）</x:v>
      </x:c>
      <x:c r="H1316" s="26" t="str">
        <x:v>-</x:v>
      </x:c>
      <x:c r="I1316" s="26" t="str"/>
      <x:c r="J1316" s="26" t="str"/>
      <x:c r="K1316" s="26" t="str">
        <x:v>资产评估与分析是银行业务中不可或缺的一部分，该职位主要负责评估贷款申请中的资产价值，确保银行在信贷决策过程中的风险控制。作为银行信贷风险管理的关键环节，资产评估分析师通过科学的方法和技术手段，对抵押物或担保物进行准确的价…</x:v>
      </x:c>
      <x:c r="L1316" s="26" t="str">
        <x:v>1. 负责收集并分析与客户资产相关的市场数据，包括但不限于房地产、股票、债券等，以确定其当前市场价值。 2. 运用专业的评估方法和工具，对贷款申请中的各类资产进行综合评价，确保评估结果的准确性和客观性。 3. 为信贷审批…</x:v>
      </x:c>
    </x:row>
    <x:row r="1317" ht="72" customHeight="1">
      <x:c r="A1317" s="25" t="n">
        <x:v>12209</x:v>
      </x:c>
      <x:c r="B1317" s="25" t="str">
        <x:v>IC-L3-1466</x:v>
      </x:c>
      <x:c r="C1317" s="25" t="str">
        <x:v>进出口/信用证结算</x:v>
      </x:c>
      <x:c r="D1317" s="25" t="str">
        <x:v>2-06-11-01</x:v>
      </x:c>
      <x:c r="E1317" s="25" t="str">
        <x:v>证券保荐承销专业人员</x:v>
      </x:c>
      <x:c r="F1317" s="28" t="n">
        <x:f>COUNTIF('岗位-产业节点关系'!$C$4:$C$709,B1317)</x:f>
        <x:v>0</x:v>
      </x:c>
      <x:c r="G1317" s="26" t="str">
        <x:f>IF(F1317=0,"未匹配（现有产业链范围未覆盖或证据不足）",IF(COUNTIFS('岗位-产业节点关系'!$C$4:$C$709,B1317,'岗位-产业节点关系'!$M$4:$M$709,"低")&gt;0,"已匹配，建议复核","已匹配"))</x:f>
        <x:v>未匹配（现有产业链范围未覆盖或证据不足）</x:v>
      </x:c>
      <x:c r="H1317" s="26" t="str">
        <x:v>-</x:v>
      </x:c>
      <x:c r="I1317" s="26" t="str"/>
      <x:c r="J1317" s="26" t="str"/>
      <x:c r="K1317" s="26" t="str">
        <x:v>进出口/信用证结算是银行业务中不可或缺的一环，主要负责处理国际交易中的支付与收款事务，确保跨国交易的安全与高效。此职位不仅是银行国际业务发展的重要支柱，也是客户跨境贸易顺利进行的关键保障，对于提升银行在全球市场的竞争力具…</x:v>
      </x:c>
      <x:c r="L1317" s="26" t="str">
        <x:v>1. 负责信用证相关业务的日常操作，包括但不限于信用证的申请、审查、修改、议付及索赔等，确保所有交易符合国际商会UCP600规则要求。 2. 与国内外银行、客户沟通协调，解决信用证使用过程中出现的问题，维护良好的客户关系…</x:v>
      </x:c>
    </x:row>
    <x:row r="1318" ht="72" customHeight="1">
      <x:c r="A1318" s="25" t="n">
        <x:v>12210</x:v>
      </x:c>
      <x:c r="B1318" s="25" t="str">
        <x:v>IC-L3-1467</x:v>
      </x:c>
      <x:c r="C1318" s="25" t="str">
        <x:v>银行客户总监</x:v>
      </x:c>
      <x:c r="D1318" s="25" t="str">
        <x:v>2-06-11-01</x:v>
      </x:c>
      <x:c r="E1318" s="25" t="str">
        <x:v>证券保荐承销专业人员</x:v>
      </x:c>
      <x:c r="F1318" s="28" t="n">
        <x:f>COUNTIF('岗位-产业节点关系'!$C$4:$C$709,B1318)</x:f>
        <x:v>0</x:v>
      </x:c>
      <x:c r="G1318" s="26" t="str">
        <x:f>IF(F1318=0,"未匹配（现有产业链范围未覆盖或证据不足）",IF(COUNTIFS('岗位-产业节点关系'!$C$4:$C$709,B1318,'岗位-产业节点关系'!$M$4:$M$709,"低")&gt;0,"已匹配，建议复核","已匹配"))</x:f>
        <x:v>未匹配（现有产业链范围未覆盖或证据不足）</x:v>
      </x:c>
      <x:c r="H1318" s="26" t="str">
        <x:v>-</x:v>
      </x:c>
      <x:c r="I1318" s="26" t="str"/>
      <x:c r="J1318" s="26" t="str"/>
      <x:c r="K1318" s="26" t="str">
        <x:v>银行客户总监是银行业务中不可或缺的关键角色，负责确保银行与客户之间建立并维持长期稳定的合作关系。该职位不仅需要具备敏锐的市场洞察力和出色的客户服务技巧，还需具备强大的领导能力和决策能力，以推动业务增长和客户满意度的提升。…</x:v>
      </x:c>
      <x:c r="L1318" s="26" t="str">
        <x:v>1. 负责制定并实施全面的客户管理策略，确保银行与重要客户的沟通渠道畅通无阻，提高客户忠诚度和业务粘性。 2. 管理和指导销售团队，设定明确的业绩指标，定期评估团队表现，激励成员达成或超越既定目标。 3. 通过定期回访和…</x:v>
      </x:c>
    </x:row>
    <x:row r="1319" ht="72" customHeight="1">
      <x:c r="A1319" s="25" t="n">
        <x:v>12211</x:v>
      </x:c>
      <x:c r="B1319" s="25" t="str">
        <x:v>IC-L3-1468</x:v>
      </x:c>
      <x:c r="C1319" s="25" t="str">
        <x:v>银行柜员</x:v>
      </x:c>
      <x:c r="D1319" s="25" t="str">
        <x:v>2-06-11-01</x:v>
      </x:c>
      <x:c r="E1319" s="25" t="str">
        <x:v>证券保荐承销专业人员</x:v>
      </x:c>
      <x:c r="F1319" s="28" t="n">
        <x:f>COUNTIF('岗位-产业节点关系'!$C$4:$C$709,B1319)</x:f>
        <x:v>0</x:v>
      </x:c>
      <x:c r="G1319" s="26" t="str">
        <x:f>IF(F1319=0,"未匹配（现有产业链范围未覆盖或证据不足）",IF(COUNTIFS('岗位-产业节点关系'!$C$4:$C$709,B1319,'岗位-产业节点关系'!$M$4:$M$709,"低")&gt;0,"已匹配，建议复核","已匹配"))</x:f>
        <x:v>未匹配（现有产业链范围未覆盖或证据不足）</x:v>
      </x:c>
      <x:c r="H1319" s="26" t="str">
        <x:v>-</x:v>
      </x:c>
      <x:c r="I1319" s="26" t="str"/>
      <x:c r="J1319" s="26" t="str"/>
      <x:c r="K1319" s="26" t="str">
        <x:v>银行柜员是银行业务运行中不可或缺的一部分，他们作为银行与客户之间的重要桥梁，不仅代表着银行的形象，还直接影响着客户对银行服务的满意度。通过高效准确地处理各类现金及非现金业务，银行柜员能够确保银行日常运营的顺畅进行，同时为…</x:v>
      </x:c>
      <x:c r="L1319" s="26" t="str">
        <x:v>1. 负责接待来访客户，耐心解答客户的咨询问题，提供专业的服务指导，提升客户体验。 2. 准确无误地完成存款、取款、转账等基本交易操作，确保账目清晰，维护资金安全。 3. 协助客户办理开户、销户、挂失等相关手续，确保流程…</x:v>
      </x:c>
    </x:row>
    <x:row r="1320" ht="72" customHeight="1">
      <x:c r="A1320" s="25" t="n">
        <x:v>12212</x:v>
      </x:c>
      <x:c r="B1320" s="25" t="str">
        <x:v>IC-L3-1469</x:v>
      </x:c>
      <x:c r="C1320" s="25" t="str">
        <x:v>风险控制</x:v>
      </x:c>
      <x:c r="D1320" s="25" t="str">
        <x:v>2-06-11-01</x:v>
      </x:c>
      <x:c r="E1320" s="25" t="str">
        <x:v>证券保荐承销专业人员</x:v>
      </x:c>
      <x:c r="F1320" s="28" t="n">
        <x:f>COUNTIF('岗位-产业节点关系'!$C$4:$C$709,B1320)</x:f>
        <x:v>0</x:v>
      </x:c>
      <x:c r="G1320" s="26" t="str">
        <x:f>IF(F1320=0,"未匹配（现有产业链范围未覆盖或证据不足）",IF(COUNTIFS('岗位-产业节点关系'!$C$4:$C$709,B1320,'岗位-产业节点关系'!$M$4:$M$709,"低")&gt;0,"已匹配，建议复核","已匹配"))</x:f>
        <x:v>未匹配（现有产业链范围未覆盖或证据不足）</x:v>
      </x:c>
      <x:c r="H1320" s="26" t="str">
        <x:v>-</x:v>
      </x:c>
      <x:c r="I1320" s="26" t="str"/>
      <x:c r="J1320" s="26" t="str"/>
      <x:c r="K1320" s="26" t="str">
        <x:v>风险控制职位在金融行业中扮演着至关重要的角色，特别是在银行业务中。作为风险控制专员，您将负责识别、评估并管理各种潜在风险，确保公司资产安全与业务稳定运行，同时促进合规经营，为银行创造长期价值。此外，本岗位还需与其他部门紧…</x:v>
      </x:c>
      <x:c r="L1320" s="26" t="str">
        <x:v>1. 定期收集并分析市场数据，监控各类金融产品的风险状况，及时发现异常波动并向管理层报告。 2. 制定和完善风险管理制度和流程，确保所有业务活动符合法律法规要求及内部风控标准。 3. 对新推出的金融产品进行风险评估，提出…</x:v>
      </x:c>
    </x:row>
    <x:row r="1321" ht="72" customHeight="1">
      <x:c r="A1321" s="25" t="n">
        <x:v>12213</x:v>
      </x:c>
      <x:c r="B1321" s="25" t="str">
        <x:v>IC-L3-1470</x:v>
      </x:c>
      <x:c r="C1321" s="25" t="str">
        <x:v>高级客户经理/客户经理</x:v>
      </x:c>
      <x:c r="D1321" s="25" t="str">
        <x:v>2-06-11-01</x:v>
      </x:c>
      <x:c r="E1321" s="25" t="str">
        <x:v>证券保荐承销专业人员</x:v>
      </x:c>
      <x:c r="F1321" s="28" t="n">
        <x:f>COUNTIF('岗位-产业节点关系'!$C$4:$C$709,B1321)</x:f>
        <x:v>0</x:v>
      </x:c>
      <x:c r="G1321" s="26" t="str">
        <x:f>IF(F1321=0,"未匹配（现有产业链范围未覆盖或证据不足）",IF(COUNTIFS('岗位-产业节点关系'!$C$4:$C$709,B1321,'岗位-产业节点关系'!$M$4:$M$709,"低")&gt;0,"已匹配，建议复核","已匹配"))</x:f>
        <x:v>未匹配（现有产业链范围未覆盖或证据不足）</x:v>
      </x:c>
      <x:c r="H1321" s="26" t="str">
        <x:v>-</x:v>
      </x:c>
      <x:c r="I1321" s="26" t="str"/>
      <x:c r="J1321" s="26" t="str"/>
      <x:c r="K1321" s="26" t="str">
        <x:v>高级客户经理/客户经理是银行体系中至关重要的职位之一，他们不仅代表了银行与客户之间的桥梁，还肩负着维护和拓展银行客户关系的重要使命。通过深入了解客户需求，提供个性化的金融服务方案，高级客户经理能够有效提升客户满意度，增强…</x:v>
      </x:c>
      <x:c r="L1321" s="26" t="str">
        <x:v>1. 通过定期拜访及电话沟通等方式，积极建立并维护与现有客户的关系，深入了解客户的需求，为客户提供量身定制的金融产品和服务，以提高客户满意度和忠诚度。 2. 主动寻找潜在客户，运用有效的市场分析工具和方法，识别并把握新的…</x:v>
      </x:c>
    </x:row>
    <x:row r="1322" ht="72" customHeight="1">
      <x:c r="A1322" s="25" t="n">
        <x:v>12214</x:v>
      </x:c>
      <x:c r="B1322" s="25" t="str">
        <x:v>IC-L3-1471</x:v>
      </x:c>
      <x:c r="C1322" s="25" t="str">
        <x:v>ERP实施顾问</x:v>
      </x:c>
      <x:c r="D1322" s="25" t="str">
        <x:v>2-02-30-04</x:v>
      </x:c>
      <x:c r="E1322" s="25" t="str">
        <x:v>项目管理工程技术人员</x:v>
      </x:c>
      <x:c r="F1322" s="28" t="n">
        <x:f>COUNTIF('岗位-产业节点关系'!$C$4:$C$709,B1322)</x:f>
        <x:v>2</x:v>
      </x:c>
      <x:c r="G1322" s="26" t="str">
        <x:f>IF(F1322=0,"未匹配（现有产业链范围未覆盖或证据不足）",IF(COUNTIFS('岗位-产业节点关系'!$C$4:$C$709,B1322,'岗位-产业节点关系'!$M$4:$M$709,"低")&gt;0,"已匹配，建议复核","已匹配"))</x:f>
        <x:v>已匹配</x:v>
      </x:c>
      <x:c r="H1322" s="26" t="str">
        <x:v>中</x:v>
      </x:c>
      <x:c r="I1322" s="26" t="str">
        <x:v>ICN056、ICN057</x:v>
      </x:c>
      <x:c r="J1322" s="26" t="str">
        <x:v>软件与数字安全产业链/中游/应用软件、区块链平台与安全产品；软件与数字安全产业链/下游/政企数字化、可信流通与安全运营</x:v>
      </x:c>
      <x:c r="K1322" s="26" t="str">
        <x:v>ERP实施顾问是企业资源计划（ERP）系统成功部署与优化的关键角色。在现代企业管理中，该职位不仅需要具备深厚的技术背景，还应拥有良好的沟通协调能力，以确保项目能够按时按质完成，同时满足业务需求，促进企业内部流程的标准化和…</x:v>
      </x:c>
      <x:c r="L1322" s="26" t="str">
        <x:v>1. 负责客户需求调研与分析，结合公司产品特点制定详细的ERP实施方案，确保方案符合客户实际业务流程及管理要求。 2. 组织并参与ERP系统的安装调试工作，解决实施过程中出现的各种技术问题，保证系统稳定运行，达到预期效果…</x:v>
      </x:c>
    </x:row>
    <x:row r="1323" ht="72" customHeight="1">
      <x:c r="A1323" s="25" t="n">
        <x:v>12215</x:v>
      </x:c>
      <x:c r="B1323" s="25" t="str">
        <x:v>IC-L3-1472</x:v>
      </x:c>
      <x:c r="C1323" s="25" t="str">
        <x:v>建筑工程管理/项目经理</x:v>
      </x:c>
      <x:c r="D1323" s="25" t="str">
        <x:v>2-02-30-04</x:v>
      </x:c>
      <x:c r="E1323" s="25" t="str">
        <x:v>项目管理工程技术人员</x:v>
      </x:c>
      <x:c r="F1323" s="28" t="n">
        <x:f>COUNTIF('岗位-产业节点关系'!$C$4:$C$709,B1323)</x:f>
        <x:v>1</x:v>
      </x:c>
      <x:c r="G1323" s="26" t="str">
        <x:f>IF(F1323=0,"未匹配（现有产业链范围未覆盖或证据不足）",IF(COUNTIFS('岗位-产业节点关系'!$C$4:$C$709,B1323,'岗位-产业节点关系'!$M$4:$M$709,"低")&gt;0,"已匹配，建议复核","已匹配"))</x:f>
        <x:v>已匹配</x:v>
      </x:c>
      <x:c r="H1323" s="26" t="str">
        <x:v>中</x:v>
      </x:c>
      <x:c r="I1323" s="26" t="str">
        <x:v>ICN008</x:v>
      </x:c>
      <x:c r="J1323" s="26" t="str">
        <x:v>基础设施与城市建设产业链/中游/基础设施建设与房地产开发</x:v>
      </x:c>
      <x:c r="K1323" s="26" t="str">
        <x:v>建筑工程管理/项目经理在建筑行业中扮演着至关重要的角色，他们不仅负责确保项目从设计阶段到竣工验收的顺利进行，还需确保项目的成本效益与时间表符合预期。作为连接业主、设计师、承包商等多方的关键桥梁，项目经理的专业能力直接关系…</x:v>
      </x:c>
      <x:c r="L1323" s="26" t="str">
        <x:v>1. 负责编制并执行详细的项目进度计划，监控项目进展，确保按期交付。 2. 与设计单位沟通协调，确保设计方案满足客户需求的同时兼顾施工可行性。 3. 对施工现场进行全面管理，监督工程质量、安全文明施工情况，预防事故的发生…</x:v>
      </x:c>
    </x:row>
    <x:row r="1324" ht="72" customHeight="1">
      <x:c r="A1324" s="25" t="n">
        <x:v>12216</x:v>
      </x:c>
      <x:c r="B1324" s="25" t="str">
        <x:v>IC-L3-1473</x:v>
      </x:c>
      <x:c r="C1324" s="25" t="str">
        <x:v>机械项目管理</x:v>
      </x:c>
      <x:c r="D1324" s="25" t="str">
        <x:v>2-02-30-04</x:v>
      </x:c>
      <x:c r="E1324" s="25" t="str">
        <x:v>项目管理工程技术人员</x:v>
      </x:c>
      <x:c r="F1324" s="28" t="n">
        <x:f>COUNTIF('岗位-产业节点关系'!$C$4:$C$709,B1324)</x:f>
        <x:v>1</x:v>
      </x:c>
      <x:c r="G1324" s="26" t="str">
        <x:f>IF(F1324=0,"未匹配（现有产业链范围未覆盖或证据不足）",IF(COUNTIFS('岗位-产业节点关系'!$C$4:$C$709,B1324,'岗位-产业节点关系'!$M$4:$M$709,"低")&gt;0,"已匹配，建议复核","已匹配"))</x:f>
        <x:v>已匹配</x:v>
      </x:c>
      <x:c r="H1324" s="26" t="str">
        <x:v>中</x:v>
      </x:c>
      <x:c r="I1324" s="26" t="str">
        <x:v>ICN005</x:v>
      </x:c>
      <x:c r="J1324" s="26" t="str">
        <x:v>高端装备与智能制造产业链/中游/高端装备制造与激光加工</x:v>
      </x:c>
      <x:c r="K1324" s="26" t="str">
        <x:v>机械项目管理是工程项目管理领域中的关键角色，负责确保机械设备的设计、制造、安装和调试等各个环节的顺利进行。该职位不仅需要具备扎实的技术背景，还需要拥有出色的组织协调能力和项目管理知识，以应对复杂多变的工程环境，保障项目的…</x:v>
      </x:c>
      <x:c r="L1324" s="26" t="str">
        <x:v>1. 负责制定详细的机械项目实施计划，包括时间表、预算和资源配置方案，确保项目按预定目标顺利推进。 2. 组织并领导项目团队开展各项任务，监督执行过程中的进度和质量，及时调整策略以应对突发状况。 3. 与供应商、承包商及…</x:v>
      </x:c>
    </x:row>
    <x:row r="1325" ht="72" customHeight="1">
      <x:c r="A1325" s="25" t="n">
        <x:v>12217</x:v>
      </x:c>
      <x:c r="B1325" s="25" t="str">
        <x:v>IC-L3-1474</x:v>
      </x:c>
      <x:c r="C1325" s="25" t="str">
        <x:v>汽车项目管理</x:v>
      </x:c>
      <x:c r="D1325" s="25" t="str">
        <x:v>2-02-07-11</x:v>
      </x:c>
      <x:c r="E1325" s="25" t="str">
        <x:v>汽车工程技术人员</x:v>
      </x:c>
      <x:c r="F1325" s="28" t="n">
        <x:f>COUNTIF('岗位-产业节点关系'!$C$4:$C$709,B1325)</x:f>
        <x:v>1</x:v>
      </x:c>
      <x:c r="G1325" s="26" t="str">
        <x:f>IF(F1325=0,"未匹配（现有产业链范围未覆盖或证据不足）",IF(COUNTIFS('岗位-产业节点关系'!$C$4:$C$709,B1325,'岗位-产业节点关系'!$M$4:$M$709,"低")&gt;0,"已匹配，建议复核","已匹配"))</x:f>
        <x:v>已匹配</x:v>
      </x:c>
      <x:c r="H1325" s="26" t="str">
        <x:v>中</x:v>
      </x:c>
      <x:c r="I1325" s="26" t="str">
        <x:v>ICN023</x:v>
      </x:c>
      <x:c r="J1325" s="26" t="str">
        <x:v>汽车与智能网联汽车产业链/中游/整车制造与智能网联系统集成</x:v>
      </x:c>
      <x:c r="K1325" s="26" t="str">
        <x:v>汽车项目管理是汽车行业中的关键角色，负责确保从概念设计到最终交付的整个过程高效、顺利地进行。项目经理不仅需要具备强大的组织能力和技术背景，还需要有良好的沟通技巧，以协调各个部门之间的合作，确保项目按时按质完成。 该职位的…</x:v>
      </x:c>
      <x:c r="L1325" s="26" t="str">
        <x:v>1. 负责制定详细的项目计划，包括但不限于项目目标、里程碑、预算和资源配置等，并确保所有参与者都清楚了解自己的任务。 2. 监控项目进度，定期评估项目状态，及时发现并解决潜在问题，确保项目按照既定的时间表和质量标准推进。…</x:v>
      </x:c>
    </x:row>
    <x:row r="1326" ht="72" customHeight="1">
      <x:c r="A1326" s="25" t="n">
        <x:v>12218</x:v>
      </x:c>
      <x:c r="B1326" s="25" t="str">
        <x:v>IC-L3-1475</x:v>
      </x:c>
      <x:c r="C1326" s="25" t="str">
        <x:v>通信项目管理</x:v>
      </x:c>
      <x:c r="D1326" s="25" t="str">
        <x:v>2-02-30-04</x:v>
      </x:c>
      <x:c r="E1326" s="25" t="str">
        <x:v>项目管理工程技术人员</x:v>
      </x:c>
      <x:c r="F1326" s="28" t="n">
        <x:f>COUNTIF('岗位-产业节点关系'!$C$4:$C$709,B1326)</x:f>
        <x:v>1</x:v>
      </x:c>
      <x:c r="G1326" s="26" t="str">
        <x:f>IF(F1326=0,"未匹配（现有产业链范围未覆盖或证据不足）",IF(COUNTIFS('岗位-产业节点关系'!$C$4:$C$709,B1326,'岗位-产业节点关系'!$M$4:$M$709,"低")&gt;0,"已匹配，建议复核","已匹配"))</x:f>
        <x:v>已匹配，建议复核</x:v>
      </x:c>
      <x:c r="H1326" s="26" t="str">
        <x:v>低</x:v>
      </x:c>
      <x:c r="I1326" s="26" t="str">
        <x:v>ICN029</x:v>
      </x:c>
      <x:c r="J1326" s="26" t="str">
        <x:v>新一代信息基础设施产业链/中游/5G网络、数据中心与云边平台</x:v>
      </x:c>
      <x:c r="K1326" s="26" t="str">
        <x:v>通信项目管理是通信行业中至关重要的角色之一，负责确保项目的顺利进行，从启动到完成的每个阶段都需精心规划与执行，以实现公司业务目标并满足客户需求。作为项目经理，其核心目标在于通过高效管理和资源优化配置，保证项目按时按质完成…</x:v>
      </x:c>
      <x:c r="L1326" s="26" t="str">
        <x:v>1. 负责通信项目从需求分析、方案设计、实施部署到后期维护的全流程管理，确保项目按计划推进。 2. 制定详细的项目时间表和预算，合理分配人力资源，监控项目进度，及时调整策略应对突发状况。 3. 与客户保持良好沟通，准确理…</x:v>
      </x:c>
    </x:row>
    <x:row r="1327" ht="72" customHeight="1">
      <x:c r="A1327" s="25" t="n">
        <x:v>12219</x:v>
      </x:c>
      <x:c r="B1327" s="25" t="str">
        <x:v>IC-L3-1476</x:v>
      </x:c>
      <x:c r="C1327" s="25" t="str">
        <x:v>项目主管</x:v>
      </x:c>
      <x:c r="D1327" s="25" t="str">
        <x:v>2-02-30-04</x:v>
      </x:c>
      <x:c r="E1327" s="25" t="str">
        <x:v>项目管理工程技术人员</x:v>
      </x:c>
      <x:c r="F1327" s="28" t="n">
        <x:f>COUNTIF('岗位-产业节点关系'!$C$4:$C$709,B1327)</x:f>
        <x:v>0</x:v>
      </x:c>
      <x:c r="G1327" s="26" t="str">
        <x:f>IF(F1327=0,"未匹配（现有产业链范围未覆盖或证据不足）",IF(COUNTIFS('岗位-产业节点关系'!$C$4:$C$709,B1327,'岗位-产业节点关系'!$M$4:$M$709,"低")&gt;0,"已匹配，建议复核","已匹配"))</x:f>
        <x:v>未匹配（现有产业链范围未覆盖或证据不足）</x:v>
      </x:c>
      <x:c r="H1327" s="26" t="str">
        <x:v>-</x:v>
      </x:c>
      <x:c r="I1327" s="26" t="str"/>
      <x:c r="J1327" s="26" t="str"/>
      <x:c r="K1327" s="26" t="str">
        <x:v>项目主管是项目管理领域中不可或缺的角色，其重要性在于确保项目的顺利实施与成功完成。作为连接公司战略与执行层面的关键桥梁，项目主管不仅需要具备扎实的专业技能，还应拥有卓越的领导力和沟通协调能力，以确保团队能够高效运作并达成…</x:v>
      </x:c>
      <x:c r="L1327" s="26" t="str">
        <x:v>1. 负责项目从启动到收尾整个生命周期的全面管理工作，确保项目按计划推进，达到预期目标。 2. 组织召开定期会议，收集各方意见和建议，及时解决项目过程中出现的问题，确保项目顺利进行。 3. 制定并优化项目流程，提高工作效…</x:v>
      </x:c>
    </x:row>
    <x:row r="1328" ht="72" customHeight="1">
      <x:c r="A1328" s="25" t="n">
        <x:v>12220</x:v>
      </x:c>
      <x:c r="B1328" s="25" t="str">
        <x:v>IC-L3-1477</x:v>
      </x:c>
      <x:c r="C1328" s="25" t="str">
        <x:v>项目助理</x:v>
      </x:c>
      <x:c r="D1328" s="25" t="str">
        <x:v>2-02-30-04</x:v>
      </x:c>
      <x:c r="E1328" s="25" t="str">
        <x:v>项目管理工程技术人员</x:v>
      </x:c>
      <x:c r="F1328" s="28" t="n">
        <x:f>COUNTIF('岗位-产业节点关系'!$C$4:$C$709,B1328)</x:f>
        <x:v>0</x:v>
      </x:c>
      <x:c r="G1328" s="26" t="str">
        <x:f>IF(F1328=0,"未匹配（现有产业链范围未覆盖或证据不足）",IF(COUNTIFS('岗位-产业节点关系'!$C$4:$C$709,B1328,'岗位-产业节点关系'!$M$4:$M$709,"低")&gt;0,"已匹配，建议复核","已匹配"))</x:f>
        <x:v>未匹配（现有产业链范围未覆盖或证据不足）</x:v>
      </x:c>
      <x:c r="H1328" s="26" t="str">
        <x:v>-</x:v>
      </x:c>
      <x:c r="I1328" s="26" t="str"/>
      <x:c r="J1328" s="26" t="str"/>
      <x:c r="K1328" s="26" t="str">
        <x:v>项目助理在项目经理/管理行业中扮演着至关重要的角色，是确保项目顺利实施与成功完成的关键人物之一。作为项目经理的得力助手，项目助理不仅负责日常行政事务的支持工作，还承担着协助制定项目计划、监控项目进度等重要任务，对于维护良…</x:v>
      </x:c>
      <x:c r="L1328" s="26" t="str">
        <x:v>1. 协助项目经理编制详细的项目计划书，明确项目目标、时间表及所需资源，确保所有参与者都清楚自己的责任分工。 2. 跟踪并记录项目进展情况，定期向项目经理汇报，及时发现并报告任何可能影响项目按时完成的因素。 3. 组织召…</x:v>
      </x:c>
    </x:row>
    <x:row r="1329" ht="72" customHeight="1">
      <x:c r="A1329" s="25" t="n">
        <x:v>12221</x:v>
      </x:c>
      <x:c r="B1329" s="25" t="str">
        <x:v>IC-L3-1478</x:v>
      </x:c>
      <x:c r="C1329" s="25" t="str">
        <x:v>项目总监</x:v>
      </x:c>
      <x:c r="D1329" s="25" t="str">
        <x:v>2-02-30-04</x:v>
      </x:c>
      <x:c r="E1329" s="25" t="str">
        <x:v>项目管理工程技术人员</x:v>
      </x:c>
      <x:c r="F1329" s="28" t="n">
        <x:f>COUNTIF('岗位-产业节点关系'!$C$4:$C$709,B1329)</x:f>
        <x:v>0</x:v>
      </x:c>
      <x:c r="G1329" s="26" t="str">
        <x:f>IF(F1329=0,"未匹配（现有产业链范围未覆盖或证据不足）",IF(COUNTIFS('岗位-产业节点关系'!$C$4:$C$709,B1329,'岗位-产业节点关系'!$M$4:$M$709,"低")&gt;0,"已匹配，建议复核","已匹配"))</x:f>
        <x:v>未匹配（现有产业链范围未覆盖或证据不足）</x:v>
      </x:c>
      <x:c r="H1329" s="26" t="str">
        <x:v>-</x:v>
      </x:c>
      <x:c r="I1329" s="26" t="str"/>
      <x:c r="J1329" s="26" t="str"/>
      <x:c r="K1329" s="26" t="str">
        <x:v>项目总监是企业中不可或缺的关键角色，负责监督和指导多个大型项目的实施过程。作为连接公司高层与项目执行团队之间的桥梁，项目总监不仅确保项目按时按质完成，同时还要确保项目符合公司的战略目标，为企业创造最大化的商业价值。此外，…</x:v>
      </x:c>
      <x:c r="L1329" s="26" t="str">
        <x:v>1. 制定并实施项目管理策略，确保所有项目从启动到收尾的每个阶段都能高效运作，最终达成既定目标。 2. 对接公司高层及客户，准确理解需求并转化为可执行的项目计划，确保项目目标与公司整体战略相一致。 3. 监控项目进度与成…</x:v>
      </x:c>
    </x:row>
    <x:row r="1330" ht="72" customHeight="1">
      <x:c r="A1330" s="25" t="n">
        <x:v>12222</x:v>
      </x:c>
      <x:c r="B1330" s="25" t="str">
        <x:v>IC-L3-1479</x:v>
      </x:c>
      <x:c r="C1330" s="25" t="str">
        <x:v>项目经理</x:v>
      </x:c>
      <x:c r="D1330" s="25" t="str">
        <x:v>2-02-30-04</x:v>
      </x:c>
      <x:c r="E1330" s="25" t="str">
        <x:v>项目管理工程技术人员</x:v>
      </x:c>
      <x:c r="F1330" s="28" t="n">
        <x:f>COUNTIF('岗位-产业节点关系'!$C$4:$C$709,B1330)</x:f>
        <x:v>0</x:v>
      </x:c>
      <x:c r="G1330" s="26" t="str">
        <x:f>IF(F1330=0,"未匹配（现有产业链范围未覆盖或证据不足）",IF(COUNTIFS('岗位-产业节点关系'!$C$4:$C$709,B1330,'岗位-产业节点关系'!$M$4:$M$709,"低")&gt;0,"已匹配，建议复核","已匹配"))</x:f>
        <x:v>未匹配（现有产业链范围未覆盖或证据不足）</x:v>
      </x:c>
      <x:c r="H1330" s="26" t="str">
        <x:v>-</x:v>
      </x:c>
      <x:c r="I1330" s="26" t="str"/>
      <x:c r="J1330" s="26" t="str"/>
      <x:c r="K1330" s="26" t="str">
        <x:v>项目经理是企业运营中不可或缺的角色，他们负责确保项目从启动到完成的每一个环节都能高效有序地进行。在这个角色中，项目经理不仅需要具备强大的组织协调能力，还要能够有效地沟通各方需求，确保项目的顺利推进。 作为项目经理，其核心…</x:v>
      </x:c>
      <x:c r="L1330" s="26" t="str">
        <x:v>1. 负责制定项目计划，明确项目目标、里程碑及关键路径，确保所有参与者对项目有清晰的认识。 2. 组织并主持定期会议，跟踪项目进度，解决项目执行过程中的问题，确保项目按计划推进。 3. 与客户保持良好沟通，了解客户需求变…</x:v>
      </x:c>
    </x:row>
    <x:row r="1331" ht="72" customHeight="1">
      <x:c r="A1331" s="25" t="n">
        <x:v>12223</x:v>
      </x:c>
      <x:c r="B1331" s="25" t="str">
        <x:v>IC-L3-1480</x:v>
      </x:c>
      <x:c r="C1331" s="25" t="str">
        <x:v>项目工程师</x:v>
      </x:c>
      <x:c r="D1331" s="25" t="str">
        <x:v>2-02-30-04</x:v>
      </x:c>
      <x:c r="E1331" s="25" t="str">
        <x:v>项目管理工程技术人员</x:v>
      </x:c>
      <x:c r="F1331" s="28" t="n">
        <x:f>COUNTIF('岗位-产业节点关系'!$C$4:$C$709,B1331)</x:f>
        <x:v>0</x:v>
      </x:c>
      <x:c r="G1331" s="26" t="str">
        <x:f>IF(F1331=0,"未匹配（现有产业链范围未覆盖或证据不足）",IF(COUNTIFS('岗位-产业节点关系'!$C$4:$C$709,B1331,'岗位-产业节点关系'!$M$4:$M$709,"低")&gt;0,"已匹配，建议复核","已匹配"))</x:f>
        <x:v>未匹配（现有产业链范围未覆盖或证据不足）</x:v>
      </x:c>
      <x:c r="H1331" s="26" t="str">
        <x:v>-</x:v>
      </x:c>
      <x:c r="I1331" s="26" t="str"/>
      <x:c r="J1331" s="26" t="str"/>
      <x:c r="K1331" s="26" t="str">
        <x:v>项目工程师是专门从事工程项目规划与执行的专业人员。该职位的核心目标是通过协调技术资源和团队协作，确保项目按时保质完成。在日常工作中，需要进行项目计划制定、进度管控、质量监督以及跨部门沟通协调等工作。</x:v>
      </x:c>
      <x:c r="L1331" s="26" t="str">
        <x:v>1. 编制项目实施方案 2. 协调项目资源分配 3. 监控项目进度质量 4. 处理项目技术问题 5. 编写项目验收报告 6. 优化项目管理流程</x:v>
      </x:c>
    </x:row>
    <x:row r="1332" ht="72" customHeight="1">
      <x:c r="A1332" s="25" t="n">
        <x:v>12224</x:v>
      </x:c>
      <x:c r="B1332" s="25" t="str">
        <x:v>IC-L3-1481</x:v>
      </x:c>
      <x:c r="C1332" s="25" t="str">
        <x:v>工长</x:v>
      </x:c>
      <x:c r="D1332" s="25" t="str">
        <x:v>2-02-30-04</x:v>
      </x:c>
      <x:c r="E1332" s="25" t="str">
        <x:v>项目管理工程技术人员</x:v>
      </x:c>
      <x:c r="F1332" s="28" t="n">
        <x:f>COUNTIF('岗位-产业节点关系'!$C$4:$C$709,B1332)</x:f>
        <x:v>0</x:v>
      </x:c>
      <x:c r="G1332" s="26" t="str">
        <x:f>IF(F1332=0,"未匹配（现有产业链范围未覆盖或证据不足）",IF(COUNTIFS('岗位-产业节点关系'!$C$4:$C$709,B1332,'岗位-产业节点关系'!$M$4:$M$709,"低")&gt;0,"已匹配，建议复核","已匹配"))</x:f>
        <x:v>未匹配（现有产业链范围未覆盖或证据不足）</x:v>
      </x:c>
      <x:c r="H1332" s="26" t="str">
        <x:v>-</x:v>
      </x:c>
      <x:c r="I1332" s="26" t="str"/>
      <x:c r="J1332" s="26" t="str"/>
      <x:c r="K1332" s="26" t="str">
        <x:v>工长是专门从事施工现场管理的专业人员。该职位的核心目标是通过统筹协调施工资源，确保项目按时保质完成。在日常工作中，需要进行施工进度管控、质量监督、人员调配及安全管理工作。</x:v>
      </x:c>
      <x:c r="L1332" s="26" t="str">
        <x:v>1. 组织施工生产安排 2. 监督工程进度质量 3. 管理现场施工人员 4. 协调各工种配合 5. 落实安全规范要求 6. 处理现场突发问题</x:v>
      </x:c>
    </x:row>
    <x:row r="1333" ht="72" customHeight="1">
      <x:c r="A1333" s="25" t="n">
        <x:v>12225</x:v>
      </x:c>
      <x:c r="B1333" s="25" t="str">
        <x:v>IC-L3-1482</x:v>
      </x:c>
      <x:c r="C1333" s="25" t="str">
        <x:v>传菜主管</x:v>
      </x:c>
      <x:c r="D1333" s="25" t="str">
        <x:v>4-07-02-01</x:v>
      </x:c>
      <x:c r="E1333" s="25" t="str">
        <x:v>风险管理师</x:v>
      </x:c>
      <x:c r="F1333" s="28" t="n">
        <x:f>COUNTIF('岗位-产业节点关系'!$C$4:$C$709,B1333)</x:f>
        <x:v>0</x:v>
      </x:c>
      <x:c r="G1333" s="26" t="str">
        <x:f>IF(F1333=0,"未匹配（现有产业链范围未覆盖或证据不足）",IF(COUNTIFS('岗位-产业节点关系'!$C$4:$C$709,B1333,'岗位-产业节点关系'!$M$4:$M$709,"低")&gt;0,"已匹配，建议复核","已匹配"))</x:f>
        <x:v>未匹配（现有产业链范围未覆盖或证据不足）</x:v>
      </x:c>
      <x:c r="H1333" s="26" t="str">
        <x:v>-</x:v>
      </x:c>
      <x:c r="I1333" s="26" t="str"/>
      <x:c r="J1333" s="26" t="str"/>
      <x:c r="K1333" s="26" t="str">
        <x:v>传菜主管是餐饮业前厅服务中不可或缺的角色，主要负责确保从厨房到餐桌的服务流程顺畅无误。这一职位不仅直接关系到顾客的用餐体验，也是提升餐厅整体服务质量的关键环节之一。 该职位的核心目标在于优化菜品传递流程，减少等待时间，确…</x:v>
      </x:c>
      <x:c r="L1333" s="26" t="str">
        <x:v>1. 负责制定并执行高效的传菜流程，确保所有菜品能够及时准确地送达顾客餐桌。 2. 监督传菜团队的日常运作，包括人员调度、任务分配及绩效评估，确保服务质量符合标准。 3. 定期对传菜员进行业务培训和技术指导，提高其服务水…</x:v>
      </x:c>
    </x:row>
    <x:row r="1334" ht="72" customHeight="1">
      <x:c r="A1334" s="25" t="n">
        <x:v>12226</x:v>
      </x:c>
      <x:c r="B1334" s="25" t="str">
        <x:v>IC-L3-1483</x:v>
      </x:c>
      <x:c r="C1334" s="25" t="str">
        <x:v>咖啡师</x:v>
      </x:c>
      <x:c r="D1334" s="25" t="str">
        <x:v>4-07-02-01</x:v>
      </x:c>
      <x:c r="E1334" s="25" t="str">
        <x:v>风险管理师</x:v>
      </x:c>
      <x:c r="F1334" s="28" t="n">
        <x:f>COUNTIF('岗位-产业节点关系'!$C$4:$C$709,B1334)</x:f>
        <x:v>1</x:v>
      </x:c>
      <x:c r="G1334" s="26" t="str">
        <x:f>IF(F1334=0,"未匹配（现有产业链范围未覆盖或证据不足）",IF(COUNTIFS('岗位-产业节点关系'!$C$4:$C$709,B1334,'岗位-产业节点关系'!$M$4:$M$709,"低")&gt;0,"已匹配，建议复核","已匹配"))</x:f>
        <x:v>已匹配</x:v>
      </x:c>
      <x:c r="H1334" s="26" t="str">
        <x:v>中</x:v>
      </x:c>
      <x:c r="I1334" s="26" t="str">
        <x:v>ICN027</x:v>
      </x:c>
      <x:c r="J1334" s="26" t="str">
        <x:v>食品饮料产业链/下游/品牌渠道、餐饮零售与消费服务</x:v>
      </x:c>
      <x:c r="K1334" s="26" t="str">
        <x:v>咖啡师是餐饮行业中不可或缺的专业人才，尤其在以咖啡文化为核心的品牌中扮演着至关重要的角色。他们不仅是制作咖啡的专家，更是传递品牌文化和顾客体验的重要使者，通过精湛的手艺与热情的服务为顾客带来愉悦的消费体验。 咖啡师的核心…</x:v>
      </x:c>
      <x:c r="L1334" s="26" t="str">
        <x:v>1. 熟练掌握各种咖啡的制作方法，确保出品质量稳定且符合标准。 2. 根据季节变化及市场需求，参与研发新口味的咖啡产品。 3. 为顾客提供专业的点单建议，耐心解答关于咖啡知识的问题。 4. 维护工作区域的清洁卫生，定期检…</x:v>
      </x:c>
    </x:row>
    <x:row r="1335" ht="72" customHeight="1">
      <x:c r="A1335" s="25" t="n">
        <x:v>12227</x:v>
      </x:c>
      <x:c r="B1335" s="25" t="str">
        <x:v>IC-L3-1484</x:v>
      </x:c>
      <x:c r="C1335" s="25" t="str">
        <x:v>礼仪/迎宾</x:v>
      </x:c>
      <x:c r="D1335" s="25" t="str">
        <x:v>4-03-02-05</x:v>
      </x:c>
      <x:c r="E1335" s="25" t="str">
        <x:v>餐厅服务员</x:v>
      </x:c>
      <x:c r="F1335" s="28" t="n">
        <x:f>COUNTIF('岗位-产业节点关系'!$C$4:$C$709,B1335)</x:f>
        <x:v>0</x:v>
      </x:c>
      <x:c r="G1335" s="26" t="str">
        <x:f>IF(F1335=0,"未匹配（现有产业链范围未覆盖或证据不足）",IF(COUNTIFS('岗位-产业节点关系'!$C$4:$C$709,B1335,'岗位-产业节点关系'!$M$4:$M$709,"低")&gt;0,"已匹配，建议复核","已匹配"))</x:f>
        <x:v>未匹配（现有产业链范围未覆盖或证据不足）</x:v>
      </x:c>
      <x:c r="H1335" s="26" t="str">
        <x:v>-</x:v>
      </x:c>
      <x:c r="I1335" s="26" t="str"/>
      <x:c r="J1335" s="26" t="str"/>
      <x:c r="K1335" s="26" t="str">
        <x:v>在餐饮行业中，礼仪/迎宾作为前厅服务的关键角色，是餐厅形象的第一代言人。他们不仅代表着餐厅的专业形象，而且通过高质量的服务体验，直接影响顾客的第一印象和整体就餐感受，对于提升品牌形象至关重要。礼仪/迎宾的核心目标在于确保…</x:v>
      </x:c>
      <x:c r="L1335" s="26" t="str">
        <x:v>1. 负责迎接并引导客人入座，提供专业的咨询服务，解答关于菜单、活动等问题，确保每位顾客都能获得个性化的服务体验。 2. 维护餐厅入口区域的整洁与秩序，及时处理突发状况，如客户投诉或紧急情况，确保营业环境的安全舒适。 3…</x:v>
      </x:c>
    </x:row>
    <x:row r="1336" ht="72" customHeight="1">
      <x:c r="A1336" s="25" t="n">
        <x:v>12228</x:v>
      </x:c>
      <x:c r="B1336" s="25" t="str">
        <x:v>IC-L3-1485</x:v>
      </x:c>
      <x:c r="C1336" s="25" t="str">
        <x:v>茶艺师</x:v>
      </x:c>
      <x:c r="D1336" s="25" t="str">
        <x:v>4-07-02-01</x:v>
      </x:c>
      <x:c r="E1336" s="25" t="str">
        <x:v>风险管理师</x:v>
      </x:c>
      <x:c r="F1336" s="28" t="n">
        <x:f>COUNTIF('岗位-产业节点关系'!$C$4:$C$709,B1336)</x:f>
        <x:v>1</x:v>
      </x:c>
      <x:c r="G1336" s="26" t="str">
        <x:f>IF(F1336=0,"未匹配（现有产业链范围未覆盖或证据不足）",IF(COUNTIFS('岗位-产业节点关系'!$C$4:$C$709,B1336,'岗位-产业节点关系'!$M$4:$M$709,"低")&gt;0,"已匹配，建议复核","已匹配"))</x:f>
        <x:v>已匹配</x:v>
      </x:c>
      <x:c r="H1336" s="26" t="str">
        <x:v>中</x:v>
      </x:c>
      <x:c r="I1336" s="26" t="str">
        <x:v>ICN027</x:v>
      </x:c>
      <x:c r="J1336" s="26" t="str">
        <x:v>食品饮料产业链/下游/品牌渠道、餐饮零售与消费服务</x:v>
      </x:c>
      <x:c r="K1336" s="26" t="str">
        <x:v>茶艺师是餐饮行业中不可或缺的专业人才，在前厅服务中扮演着重要的角色。他们不仅能够提供高质量的服务体验，还能通过精湛的茶艺表演和深厚的文化底蕴，提升顾客对品牌的认知度与忠诚度。作为连接顾客与企业文化的桥梁，茶艺师通过其专业…</x:v>
      </x:c>
      <x:c r="L1336" s="26" t="str">
        <x:v>1. 负责接待顾客，根据顾客需求推荐合适的茶叶种类及搭配，确保每位顾客都能享受到满意的茶饮服务。 2. 精通各种茶叶冲泡技巧，准确把握水温、时间等关键因素，以保证每一杯茶的最佳口感。 3. 定期参加培训学习，不断提升自身…</x:v>
      </x:c>
    </x:row>
    <x:row r="1337" ht="72" customHeight="1">
      <x:c r="A1337" s="25" t="n">
        <x:v>12229</x:v>
      </x:c>
      <x:c r="B1337" s="25" t="str">
        <x:v>IC-L3-1486</x:v>
      </x:c>
      <x:c r="C1337" s="25" t="str">
        <x:v>调酒师/侍酒师/吧台员</x:v>
      </x:c>
      <x:c r="D1337" s="25" t="str">
        <x:v>4-07-02-01</x:v>
      </x:c>
      <x:c r="E1337" s="25" t="str">
        <x:v>风险管理师</x:v>
      </x:c>
      <x:c r="F1337" s="28" t="n">
        <x:f>COUNTIF('岗位-产业节点关系'!$C$4:$C$709,B1337)</x:f>
        <x:v>0</x:v>
      </x:c>
      <x:c r="G1337" s="26" t="str">
        <x:f>IF(F1337=0,"未匹配（现有产业链范围未覆盖或证据不足）",IF(COUNTIFS('岗位-产业节点关系'!$C$4:$C$709,B1337,'岗位-产业节点关系'!$M$4:$M$709,"低")&gt;0,"已匹配，建议复核","已匹配"))</x:f>
        <x:v>未匹配（现有产业链范围未覆盖或证据不足）</x:v>
      </x:c>
      <x:c r="H1337" s="26" t="str">
        <x:v>-</x:v>
      </x:c>
      <x:c r="I1337" s="26" t="str"/>
      <x:c r="J1337" s="26" t="str"/>
      <x:c r="K1337" s="26" t="str">
        <x:v>调酒师/侍酒师/吧台员是餐饮行业中不可或缺的专业角色，尤其在高端餐厅和酒吧中，他们不仅负责创造独特的饮品体验，还承担着提升顾客满意度的重要职责。通过精准的服务与专业的知识，调酒师能够帮助餐厅或酒吧树立良好的品牌形象，吸引…</x:v>
      </x:c>
      <x:c r="L1337" s="26" t="str">
        <x:v>1. 根据顾客需求及场合特点，精心调制各类鸡尾酒及其他饮料，确保饮品质量符合行业标准。 2. 主动与顾客交流沟通，了解其口味偏好，推荐合适的酒水组合，增强顾客用餐体验。 3. 定期检查吧台库存，及时补充所需原料，保证日常…</x:v>
      </x:c>
    </x:row>
    <x:row r="1338" ht="72" customHeight="1">
      <x:c r="A1338" s="25" t="n">
        <x:v>12230</x:v>
      </x:c>
      <x:c r="B1338" s="25" t="str">
        <x:v>IC-L3-1487</x:v>
      </x:c>
      <x:c r="C1338" s="25" t="str">
        <x:v>调饮师</x:v>
      </x:c>
      <x:c r="D1338" s="25" t="str">
        <x:v>4-07-02-01</x:v>
      </x:c>
      <x:c r="E1338" s="25" t="str">
        <x:v>风险管理师</x:v>
      </x:c>
      <x:c r="F1338" s="28" t="n">
        <x:f>COUNTIF('岗位-产业节点关系'!$C$4:$C$709,B1338)</x:f>
        <x:v>1</x:v>
      </x:c>
      <x:c r="G1338" s="26" t="str">
        <x:f>IF(F1338=0,"未匹配（现有产业链范围未覆盖或证据不足）",IF(COUNTIFS('岗位-产业节点关系'!$C$4:$C$709,B1338,'岗位-产业节点关系'!$M$4:$M$709,"低")&gt;0,"已匹配，建议复核","已匹配"))</x:f>
        <x:v>已匹配，建议复核</x:v>
      </x:c>
      <x:c r="H1338" s="26" t="str">
        <x:v>低</x:v>
      </x:c>
      <x:c r="I1338" s="26" t="str">
        <x:v>ICN027</x:v>
      </x:c>
      <x:c r="J1338" s="26" t="str">
        <x:v>食品饮料产业链/下游/品牌渠道、餐饮零售与消费服务</x:v>
      </x:c>
      <x:c r="K1338" s="26" t="str">
        <x:v>调饮师是餐饮行业中不可或缺的专业人才，在前厅服务中扮演着至关重要的角色。他们负责精心调制各种饮品，不仅能够满足顾客对口味的多样化需求，还能通过独特的饮品设计提升品牌形象。作为调饮师，其核心目标在于确保每一杯饮品的质量与口…</x:v>
      </x:c>
      <x:c r="L1338" s="26" t="str">
        <x:v>1. 负责根据菜单要求和顾客点单，准确无误地制作各类茶饮、咖啡及其他特色饮品，确保饮品品质符合标准。 2. 定期研究市场趋势，开发新式饮品并进行试制，以丰富产品线，提高顾客满意度。 3. 维护工作区域的清洁卫生，确保所有…</x:v>
      </x:c>
    </x:row>
    <x:row r="1339" ht="72" customHeight="1">
      <x:c r="A1339" s="25" t="n">
        <x:v>12231</x:v>
      </x:c>
      <x:c r="B1339" s="25" t="str">
        <x:v>IC-L3-1488</x:v>
      </x:c>
      <x:c r="C1339" s="25" t="str">
        <x:v>餐厅领班</x:v>
      </x:c>
      <x:c r="D1339" s="25" t="str">
        <x:v>4-07-02-01</x:v>
      </x:c>
      <x:c r="E1339" s="25" t="str">
        <x:v>风险管理师</x:v>
      </x:c>
      <x:c r="F1339" s="28" t="n">
        <x:f>COUNTIF('岗位-产业节点关系'!$C$4:$C$709,B1339)</x:f>
        <x:v>0</x:v>
      </x:c>
      <x:c r="G1339" s="26" t="str">
        <x:f>IF(F1339=0,"未匹配（现有产业链范围未覆盖或证据不足）",IF(COUNTIFS('岗位-产业节点关系'!$C$4:$C$709,B1339,'岗位-产业节点关系'!$M$4:$M$709,"低")&gt;0,"已匹配，建议复核","已匹配"))</x:f>
        <x:v>未匹配（现有产业链范围未覆盖或证据不足）</x:v>
      </x:c>
      <x:c r="H1339" s="26" t="str">
        <x:v>-</x:v>
      </x:c>
      <x:c r="I1339" s="26" t="str"/>
      <x:c r="J1339" s="26" t="str"/>
      <x:c r="K1339" s="26" t="str">
        <x:v>餐厅领班是餐饮行业中不可或缺的角色，负责确保餐厅前厅的服务质量和顾客满意度。作为连接管理层与服务员之间的桥梁，他们不仅代表着餐厅的形象，还承担着提升客户体验的重要任务。通过高效地协调员工工作、处理顾客投诉及维护现场秩序，…</x:v>
      </x:c>
      <x:c r="L1339" s="26" t="str">
        <x:v>1. 负责监督并指导前厅所有员工的服务质量，确保符合公司规定的服务标准。 2. 及时解决顾客提出的各类问题和投诉，维护良好的顾客关系，提高顾客满意度。 3. 管理餐厅日常运营，包括但不限于人员排班、物资采购、清洁卫生等方…</x:v>
      </x:c>
    </x:row>
    <x:row r="1340" ht="72" customHeight="1">
      <x:c r="A1340" s="25" t="n">
        <x:v>12232</x:v>
      </x:c>
      <x:c r="B1340" s="25" t="str">
        <x:v>IC-L3-1489</x:v>
      </x:c>
      <x:c r="C1340" s="25" t="str">
        <x:v>餐饮大堂经理</x:v>
      </x:c>
      <x:c r="D1340" s="25" t="str">
        <x:v>4-07-02-01</x:v>
      </x:c>
      <x:c r="E1340" s="25" t="str">
        <x:v>风险管理师</x:v>
      </x:c>
      <x:c r="F1340" s="28" t="n">
        <x:f>COUNTIF('岗位-产业节点关系'!$C$4:$C$709,B1340)</x:f>
        <x:v>1</x:v>
      </x:c>
      <x:c r="G1340" s="26" t="str">
        <x:f>IF(F1340=0,"未匹配（现有产业链范围未覆盖或证据不足）",IF(COUNTIFS('岗位-产业节点关系'!$C$4:$C$709,B1340,'岗位-产业节点关系'!$M$4:$M$709,"低")&gt;0,"已匹配，建议复核","已匹配"))</x:f>
        <x:v>已匹配</x:v>
      </x:c>
      <x:c r="H1340" s="26" t="str">
        <x:v>中</x:v>
      </x:c>
      <x:c r="I1340" s="26" t="str">
        <x:v>ICN027</x:v>
      </x:c>
      <x:c r="J1340" s="26" t="str">
        <x:v>食品饮料产业链/下游/品牌渠道、餐饮零售与消费服务</x:v>
      </x:c>
      <x:c r="K1340" s="26" t="str">
        <x:v>餐饮大堂经理是餐饮业中不可或缺的关键角色，负责确保餐厅前厅的高效运作和服务质量，直接影响顾客的就餐体验及品牌形象。作为餐厅与顾客之间的桥梁，餐饮大堂经理通过优化服务流程、提升服务质量，不仅能够增强客户满意度，还能有效促进…</x:v>
      </x:c>
      <x:c r="L1340" s="26" t="str">
        <x:v>1. 负责接待并引导顾客入座，解答顾客咨询，处理顾客投诉，确保顾客获得优质的服务体验。 2. 监督前厅员工的工作表现，包括但不限于服务员、收银员等，确保其遵守服务标准，提高工作效率。 3. 定期检查餐厅环境整洁度，及时发…</x:v>
      </x:c>
    </x:row>
    <x:row r="1341" ht="72" customHeight="1">
      <x:c r="A1341" s="25" t="n">
        <x:v>12233</x:v>
      </x:c>
      <x:c r="B1341" s="25" t="str">
        <x:v>IC-L3-1490</x:v>
      </x:c>
      <x:c r="C1341" s="25" t="str">
        <x:v>中餐厨师</x:v>
      </x:c>
      <x:c r="D1341" s="25" t="str">
        <x:v>4-07-03-01</x:v>
      </x:c>
      <x:c r="E1341" s="25" t="str">
        <x:v>职业指导师</x:v>
      </x:c>
      <x:c r="F1341" s="28" t="n">
        <x:f>COUNTIF('岗位-产业节点关系'!$C$4:$C$709,B1341)</x:f>
        <x:v>1</x:v>
      </x:c>
      <x:c r="G1341" s="26" t="str">
        <x:f>IF(F1341=0,"未匹配（现有产业链范围未覆盖或证据不足）",IF(COUNTIFS('岗位-产业节点关系'!$C$4:$C$709,B1341,'岗位-产业节点关系'!$M$4:$M$709,"低")&gt;0,"已匹配，建议复核","已匹配"))</x:f>
        <x:v>已匹配</x:v>
      </x:c>
      <x:c r="H1341" s="26" t="str">
        <x:v>高</x:v>
      </x:c>
      <x:c r="I1341" s="26" t="str">
        <x:v>ICN027</x:v>
      </x:c>
      <x:c r="J1341" s="26" t="str">
        <x:v>食品饮料产业链/下游/品牌渠道、餐饮零售与消费服务</x:v>
      </x:c>
      <x:c r="K1341" s="26" t="str">
        <x:v>中餐厨师是餐饮行业中不可或缺的关键角色，负责将食材转化为美味佳肴，满足顾客的味觉需求。他们不仅代表着餐厅的形象，更是连接顾客与美食文化的桥梁。中餐厨师在餐饮服务链中占据核心地位，通过精湛的技艺和创新思维推动菜品的不断升级…</x:v>
      </x:c>
      <x:c r="L1341" s="26" t="str">
        <x:v>1. 负责根据菜单要求准备各类中餐菜品，确保出品符合标准且具有特色。 2. 对所使用的食材进行检查，保证其新鲜度和品质，合理控制成本。 3. 定期研究市场趋势，开发新菜品，以适应消费者口味的变化。 4. 维护厨房卫生环境…</x:v>
      </x:c>
    </x:row>
    <x:row r="1342" ht="72" customHeight="1">
      <x:c r="A1342" s="25" t="n">
        <x:v>12234</x:v>
      </x:c>
      <x:c r="B1342" s="25" t="str">
        <x:v>IC-L3-1491</x:v>
      </x:c>
      <x:c r="C1342" s="25" t="str">
        <x:v>厨师助理/学徒</x:v>
      </x:c>
      <x:c r="D1342" s="25" t="str">
        <x:v>4-07-03-01</x:v>
      </x:c>
      <x:c r="E1342" s="25" t="str">
        <x:v>职业指导师</x:v>
      </x:c>
      <x:c r="F1342" s="28" t="n">
        <x:f>COUNTIF('岗位-产业节点关系'!$C$4:$C$709,B1342)</x:f>
        <x:v>1</x:v>
      </x:c>
      <x:c r="G1342" s="26" t="str">
        <x:f>IF(F1342=0,"未匹配（现有产业链范围未覆盖或证据不足）",IF(COUNTIFS('岗位-产业节点关系'!$C$4:$C$709,B1342,'岗位-产业节点关系'!$M$4:$M$709,"低")&gt;0,"已匹配，建议复核","已匹配"))</x:f>
        <x:v>已匹配</x:v>
      </x:c>
      <x:c r="H1342" s="26" t="str">
        <x:v>中</x:v>
      </x:c>
      <x:c r="I1342" s="26" t="str">
        <x:v>ICN027</x:v>
      </x:c>
      <x:c r="J1342" s="26" t="str">
        <x:v>食品饮料产业链/下游/品牌渠道、餐饮零售与消费服务</x:v>
      </x:c>
      <x:c r="K1342" s="26" t="str">
        <x:v>厨师助理/学徒是餐饮行业中不可或缺的一部分，他们不仅支持主厨完成日常烹饪任务，还通过不断学习提升自身技能，逐步成长为合格的厨师。此职位不仅是厨房运作的基础力量，更是企业文化和价值观的传播者之一，能够促进团队内部良好的工作…</x:v>
      </x:c>
      <x:c r="L1342" s="26" t="str">
        <x:v>1. 协助主厨准备食材，确保所有原材料符合卫生标准并达到最佳使用状态。 2. 在指导下参与菜品的初步加工，如切配、腌制等，保证出餐速度与质量。 3. 学习并掌握基本的烹饪技术和调味方法，努力提升个人专业水平。 4. 维护…</x:v>
      </x:c>
    </x:row>
    <x:row r="1343" ht="72" customHeight="1">
      <x:c r="A1343" s="25" t="n">
        <x:v>12235</x:v>
      </x:c>
      <x:c r="B1343" s="25" t="str">
        <x:v>IC-L3-1492</x:v>
      </x:c>
      <x:c r="C1343" s="25" t="str">
        <x:v>日式厨师</x:v>
      </x:c>
      <x:c r="D1343" s="25" t="str">
        <x:v>4-07-03-01</x:v>
      </x:c>
      <x:c r="E1343" s="25" t="str">
        <x:v>职业指导师</x:v>
      </x:c>
      <x:c r="F1343" s="28" t="n">
        <x:f>COUNTIF('岗位-产业节点关系'!$C$4:$C$709,B1343)</x:f>
        <x:v>1</x:v>
      </x:c>
      <x:c r="G1343" s="26" t="str">
        <x:f>IF(F1343=0,"未匹配（现有产业链范围未覆盖或证据不足）",IF(COUNTIFS('岗位-产业节点关系'!$C$4:$C$709,B1343,'岗位-产业节点关系'!$M$4:$M$709,"低")&gt;0,"已匹配，建议复核","已匹配"))</x:f>
        <x:v>已匹配</x:v>
      </x:c>
      <x:c r="H1343" s="26" t="str">
        <x:v>高</x:v>
      </x:c>
      <x:c r="I1343" s="26" t="str">
        <x:v>ICN027</x:v>
      </x:c>
      <x:c r="J1343" s="26" t="str">
        <x:v>食品饮料产业链/下游/品牌渠道、餐饮零售与消费服务</x:v>
      </x:c>
      <x:c r="K1343" s="26" t="str">
        <x:v>日式厨师是餐饮行业中不可或缺的专业人才，尤其在以日本料理为主的餐厅中扮演着核心角色。他们不仅负责菜品的制作，还承担着传承与创新日本料理文化的重要使命，确保每一位顾客都能享受到地道而精致的美食体验。 作为后厨团队中的关键成…</x:v>
      </x:c>
      <x:c r="L1343" s="26" t="str">
        <x:v>1. 根据菜单要求，精心准备并烹调各种传统及创新的日式菜肴，确保每道菜色香味俱全，满足顾客需求。 2. 严格控制食材质量，合理安排库存，减少浪费，保证成本效益最大化。 3. 协助制定季节性菜单，结合时令特点推出特色菜品，…</x:v>
      </x:c>
    </x:row>
    <x:row r="1344" ht="72" customHeight="1">
      <x:c r="A1344" s="25" t="n">
        <x:v>12236</x:v>
      </x:c>
      <x:c r="B1344" s="25" t="str">
        <x:v>IC-L3-1493</x:v>
      </x:c>
      <x:c r="C1344" s="25" t="str">
        <x:v>行政主厨/厨师长</x:v>
      </x:c>
      <x:c r="D1344" s="25" t="str">
        <x:v>4-07-03-01</x:v>
      </x:c>
      <x:c r="E1344" s="25" t="str">
        <x:v>职业指导师</x:v>
      </x:c>
      <x:c r="F1344" s="28" t="n">
        <x:f>COUNTIF('岗位-产业节点关系'!$C$4:$C$709,B1344)</x:f>
        <x:v>1</x:v>
      </x:c>
      <x:c r="G1344" s="26" t="str">
        <x:f>IF(F1344=0,"未匹配（现有产业链范围未覆盖或证据不足）",IF(COUNTIFS('岗位-产业节点关系'!$C$4:$C$709,B1344,'岗位-产业节点关系'!$M$4:$M$709,"低")&gt;0,"已匹配，建议复核","已匹配"))</x:f>
        <x:v>已匹配</x:v>
      </x:c>
      <x:c r="H1344" s="26" t="str">
        <x:v>高</x:v>
      </x:c>
      <x:c r="I1344" s="26" t="str">
        <x:v>ICN027</x:v>
      </x:c>
      <x:c r="J1344" s="26" t="str">
        <x:v>食品饮料产业链/下游/品牌渠道、餐饮零售与消费服务</x:v>
      </x:c>
      <x:c r="K1344" s="26" t="str">
        <x:v>行政主厨/厨师长是餐饮行业中不可或缺的关键人物，他们不仅负责厨房的日常运作，还承担着菜品创新与质量控制的重要任务。作为后厨团队的灵魂人物，行政主厨/厨师长通过其精湛的专业技能和卓越的领导力，确保餐厅能够持续提供高质量的服…</x:v>
      </x:c>
      <x:c r="L1344" s="26" t="str">
        <x:v>1. 负责制定并实施厨房运营计划，包括但不限于菜单设计、成本核算、人员调度等，确保高效有序地完成各项任务。 2. 监督食材验收过程，确保原材料新鲜安全；指导厨师团队进行食品加工与烹饪，保证每一道菜品的色香味形俱佳。 3.…</x:v>
      </x:c>
    </x:row>
    <x:row r="1345" ht="72" customHeight="1">
      <x:c r="A1345" s="25" t="n">
        <x:v>12237</x:v>
      </x:c>
      <x:c r="B1345" s="25" t="str">
        <x:v>IC-L3-1494</x:v>
      </x:c>
      <x:c r="C1345" s="25" t="str">
        <x:v>西点师</x:v>
      </x:c>
      <x:c r="D1345" s="25" t="str">
        <x:v>4-03-02-05</x:v>
      </x:c>
      <x:c r="E1345" s="25" t="str">
        <x:v>餐厅服务员</x:v>
      </x:c>
      <x:c r="F1345" s="28" t="n">
        <x:f>COUNTIF('岗位-产业节点关系'!$C$4:$C$709,B1345)</x:f>
        <x:v>1</x:v>
      </x:c>
      <x:c r="G1345" s="26" t="str">
        <x:f>IF(F1345=0,"未匹配（现有产业链范围未覆盖或证据不足）",IF(COUNTIFS('岗位-产业节点关系'!$C$4:$C$709,B1345,'岗位-产业节点关系'!$M$4:$M$709,"低")&gt;0,"已匹配，建议复核","已匹配"))</x:f>
        <x:v>已匹配，建议复核</x:v>
      </x:c>
      <x:c r="H1345" s="26" t="str">
        <x:v>低</x:v>
      </x:c>
      <x:c r="I1345" s="26" t="str">
        <x:v>ICN027</x:v>
      </x:c>
      <x:c r="J1345" s="26" t="str">
        <x:v>食品饮料产业链/下游/品牌渠道、餐饮零售与消费服务</x:v>
      </x:c>
      <x:c r="K1345" s="26" t="str">
        <x:v>西点师是餐饮行业中不可或缺的专业人才，主要负责制作各种西式甜点和糕点。在餐厅或酒店的后厨中，西点师不仅承担着满足顾客味蕾需求的重要任务，还扮演着提升品牌形象与竞争力的关键角色。他们通过精湛的技艺和创新思维，确保每一款产品…</x:v>
      </x:c>
      <x:c r="L1345" s="26" t="str">
        <x:v>1. 精准掌握并执行各类西点配方，保证出品质量稳定且符合食品安全标准。 2. 根据市场需求变化定期研发新品，丰富菜单选择，提高顾客回头率。 3. 负责原材料采购计划的制定与实施，合理控制成本，避免浪费。 4. 与前厅服务…</x:v>
      </x:c>
    </x:row>
    <x:row r="1346" ht="72" customHeight="1">
      <x:c r="A1346" s="25" t="n">
        <x:v>12238</x:v>
      </x:c>
      <x:c r="B1346" s="25" t="str">
        <x:v>IC-L3-1495</x:v>
      </x:c>
      <x:c r="C1346" s="25" t="str">
        <x:v>西餐厨师</x:v>
      </x:c>
      <x:c r="D1346" s="25" t="str">
        <x:v>4-07-03-01</x:v>
      </x:c>
      <x:c r="E1346" s="25" t="str">
        <x:v>职业指导师</x:v>
      </x:c>
      <x:c r="F1346" s="28" t="n">
        <x:f>COUNTIF('岗位-产业节点关系'!$C$4:$C$709,B1346)</x:f>
        <x:v>1</x:v>
      </x:c>
      <x:c r="G1346" s="26" t="str">
        <x:f>IF(F1346=0,"未匹配（现有产业链范围未覆盖或证据不足）",IF(COUNTIFS('岗位-产业节点关系'!$C$4:$C$709,B1346,'岗位-产业节点关系'!$M$4:$M$709,"低")&gt;0,"已匹配，建议复核","已匹配"))</x:f>
        <x:v>已匹配</x:v>
      </x:c>
      <x:c r="H1346" s="26" t="str">
        <x:v>高</x:v>
      </x:c>
      <x:c r="I1346" s="26" t="str">
        <x:v>ICN027</x:v>
      </x:c>
      <x:c r="J1346" s="26" t="str">
        <x:v>食品饮料产业链/下游/品牌渠道、餐饮零售与消费服务</x:v>
      </x:c>
      <x:c r="K1346" s="26" t="str">
        <x:v>西餐厨师是餐饮行业中不可或缺的专业人才，他们不仅负责创造美味佳肴，更是在餐厅运营中扮演着关键角色。通过精湛的烹饪技艺和创新的菜品设计，西餐厨师能够吸引并留住顾客，提升餐厅的品牌形象和市场竞争力。 作为厨房的核心成员之一，…</x:v>
      </x:c>
      <x:c r="L1346" s="26" t="str">
        <x:v>1. 负责制定并执行每日菜单计划，确保所有菜品符合既定的质量标准。 2. 与采购部门协作，选择优质的原材料供应商，保证食材的新鲜度和品质。 3. 对新员工进行培训，传授烹饪技巧及食品安全知识，提高整个团队的专业水平。 4…</x:v>
      </x:c>
    </x:row>
    <x:row r="1347" ht="72" customHeight="1">
      <x:c r="A1347" s="25" t="n">
        <x:v>12239</x:v>
      </x:c>
      <x:c r="B1347" s="25" t="str">
        <x:v>IC-L3-1496</x:v>
      </x:c>
      <x:c r="C1347" s="25" t="str">
        <x:v>面点师</x:v>
      </x:c>
      <x:c r="D1347" s="25" t="str">
        <x:v>4-07-03-01</x:v>
      </x:c>
      <x:c r="E1347" s="25" t="str">
        <x:v>职业指导师</x:v>
      </x:c>
      <x:c r="F1347" s="28" t="n">
        <x:f>COUNTIF('岗位-产业节点关系'!$C$4:$C$709,B1347)</x:f>
        <x:v>1</x:v>
      </x:c>
      <x:c r="G1347" s="26" t="str">
        <x:f>IF(F1347=0,"未匹配（现有产业链范围未覆盖或证据不足）",IF(COUNTIFS('岗位-产业节点关系'!$C$4:$C$709,B1347,'岗位-产业节点关系'!$M$4:$M$709,"低")&gt;0,"已匹配，建议复核","已匹配"))</x:f>
        <x:v>已匹配，建议复核</x:v>
      </x:c>
      <x:c r="H1347" s="26" t="str">
        <x:v>低</x:v>
      </x:c>
      <x:c r="I1347" s="26" t="str">
        <x:v>ICN027</x:v>
      </x:c>
      <x:c r="J1347" s="26" t="str">
        <x:v>食品饮料产业链/下游/品牌渠道、餐饮零售与消费服务</x:v>
      </x:c>
      <x:c r="K1347" s="26" t="str">
        <x:v>面点师是餐饮行业中不可或缺的专业人才，他们负责制作各种美味可口的面食和点心，为顾客提供多样化的饮食选择。在餐饮服务中占据着举足轻重的地位。他们不仅能够提升餐厅的整体菜品质量，还能通过创新的面点设计吸引更多的顾客，增加餐厅…</x:v>
      </x:c>
      <x:c r="L1347" s="26" t="str">
        <x:v>1. 负责制作各式各样的面食及点心，确保每一道出品都符合食品安全标准和公司制定的质量要求。 2. 根据季节变化及时调整菜单，定期推出特色新品以满足市场和消费者的需求。 3. 与前厅工作人员保持良好沟通，了解顾客反馈并据此…</x:v>
      </x:c>
    </x:row>
    <x:row r="1348" ht="72" customHeight="1">
      <x:c r="A1348" s="25" t="n">
        <x:v>12240</x:v>
      </x:c>
      <x:c r="B1348" s="25" t="str">
        <x:v>IC-L3-1497</x:v>
      </x:c>
      <x:c r="C1348" s="25" t="str">
        <x:v>食品安全管理师</x:v>
      </x:c>
      <x:c r="D1348" s="25" t="str">
        <x:v>4-07-03-01</x:v>
      </x:c>
      <x:c r="E1348" s="25" t="str">
        <x:v>职业指导师</x:v>
      </x:c>
      <x:c r="F1348" s="28" t="n">
        <x:f>COUNTIF('岗位-产业节点关系'!$C$4:$C$709,B1348)</x:f>
        <x:v>1</x:v>
      </x:c>
      <x:c r="G1348" s="26" t="str">
        <x:f>IF(F1348=0,"未匹配（现有产业链范围未覆盖或证据不足）",IF(COUNTIFS('岗位-产业节点关系'!$C$4:$C$709,B1348,'岗位-产业节点关系'!$M$4:$M$709,"低")&gt;0,"已匹配，建议复核","已匹配"))</x:f>
        <x:v>已匹配</x:v>
      </x:c>
      <x:c r="H1348" s="26" t="str">
        <x:v>高</x:v>
      </x:c>
      <x:c r="I1348" s="26" t="str">
        <x:v>ICN027</x:v>
      </x:c>
      <x:c r="J1348" s="26" t="str">
        <x:v>食品饮料产业链/下游/品牌渠道、餐饮零售与消费服务</x:v>
      </x:c>
      <x:c r="K1348" s="26" t="str">
        <x:v>食品安全管理师是餐饮行业中不可或缺的关键角色，他们负责确保食品从采购到消费者餐桌的每一个环节都符合安全标准，从而保障顾客健康并维护企业声誉。该职位的核心目标在于通过制定和实施严格的食品安全政策与程序，预防食品安全事故的发…</x:v>
      </x:c>
      <x:c r="L1348" s="26" t="str">
        <x:v>1. 制定并执行食品安全管理制度，确保所有操作流程均达到国家法律法规及公司内部规定的要求。 2. 定期组织员工进行食品安全知识培训，提高全员食品安全意识，减少潜在风险。 3. 监督日常食品储存、加工过程中的卫生状况，及时…</x:v>
      </x:c>
    </x:row>
    <x:row r="1349" ht="72" customHeight="1">
      <x:c r="A1349" s="25" t="n">
        <x:v>12241</x:v>
      </x:c>
      <x:c r="B1349" s="25" t="str">
        <x:v>IC-L3-1498</x:v>
      </x:c>
      <x:c r="C1349" s="25" t="str">
        <x:v>餐饮店长/经理</x:v>
      </x:c>
      <x:c r="D1349" s="25" t="str">
        <x:v>4-01-02-03</x:v>
      </x:c>
      <x:c r="E1349" s="25" t="str">
        <x:v>商品营业员</x:v>
      </x:c>
      <x:c r="F1349" s="28" t="n">
        <x:f>COUNTIF('岗位-产业节点关系'!$C$4:$C$709,B1349)</x:f>
        <x:v>1</x:v>
      </x:c>
      <x:c r="G1349" s="26" t="str">
        <x:f>IF(F1349=0,"未匹配（现有产业链范围未覆盖或证据不足）",IF(COUNTIFS('岗位-产业节点关系'!$C$4:$C$709,B1349,'岗位-产业节点关系'!$M$4:$M$709,"低")&gt;0,"已匹配，建议复核","已匹配"))</x:f>
        <x:v>已匹配</x:v>
      </x:c>
      <x:c r="H1349" s="26" t="str">
        <x:v>高</x:v>
      </x:c>
      <x:c r="I1349" s="26" t="str">
        <x:v>ICN027</x:v>
      </x:c>
      <x:c r="J1349" s="26" t="str">
        <x:v>食品饮料产业链/下游/品牌渠道、餐饮零售与消费服务</x:v>
      </x:c>
      <x:c r="K1349" s="26" t="str">
        <x:v>餐饮店长/经理是餐饮行业中极为重要的角色，负责整个餐厅的日常运营和管理，确保餐厅高效运作并为顾客提供卓越的服务体验。作为餐厅的核心管理者，其主要目标是通过优化服务流程、提升菜品质量及加强成本控制等措施，提高顾客满意度和餐…</x:v>
      </x:c>
      <x:c r="L1349" s="26" t="str">
        <x:v>1. 制定并执行餐厅的经营策略，包括但不限于营销活动策划、客户关系维护以及品牌形象塑造，以扩大市场份额和增强品牌影响力。 2. 监督餐厅日常运营情况，如人员排班、库存管理和卫生检查等，确保所有操作符合公司标准和法律法规要…</x:v>
      </x:c>
    </x:row>
    <x:row r="1350" ht="72" customHeight="1">
      <x:c r="A1350" s="25" t="n">
        <x:v>12242</x:v>
      </x:c>
      <x:c r="B1350" s="25" t="str">
        <x:v>IC-L3-1499</x:v>
      </x:c>
      <x:c r="C1350" s="25" t="str">
        <x:v>副总经理/副总裁</x:v>
      </x:c>
      <x:c r="D1350" s="25" t="str">
        <x:v>1-06-01-01</x:v>
      </x:c>
      <x:c r="E1350" s="25" t="str">
        <x:v>企业董事</x:v>
      </x:c>
      <x:c r="F1350" s="28" t="n">
        <x:f>COUNTIF('岗位-产业节点关系'!$C$4:$C$709,B1350)</x:f>
        <x:v>0</x:v>
      </x:c>
      <x:c r="G1350" s="26" t="str">
        <x:f>IF(F1350=0,"未匹配（现有产业链范围未覆盖或证据不足）",IF(COUNTIFS('岗位-产业节点关系'!$C$4:$C$709,B1350,'岗位-产业节点关系'!$M$4:$M$709,"低")&gt;0,"已匹配，建议复核","已匹配"))</x:f>
        <x:v>未匹配（现有产业链范围未覆盖或证据不足）</x:v>
      </x:c>
      <x:c r="H1350" s="26" t="str">
        <x:v>-</x:v>
      </x:c>
      <x:c r="I1350" s="26" t="str"/>
      <x:c r="J1350" s="26" t="str"/>
      <x:c r="K1350" s="26" t="str">
        <x:v>副总经理/副总裁是企业高级管理层的关键成员之一，负责领导和指导公司战略决策与日常运营，确保公司目标的实现及长期发展。此职位在行业中扮演着至关重要的角色，不仅影响着公司的内部运作效率，也关系到市场竞争力和品牌形象的塑造。 …</x:v>
      </x:c>
      <x:c r="L1350" s="26" t="str">
        <x:v>1. 负责参与制定公司总体战略规划，明确发展方向，指导各业务单元制定具体实施计划。 2. 组织开展市场调研分析，了解行业趋势，识别潜在风险与机会，为公司决策提供依据。 3. 监督财务预算编制与执行情况，控制成本开支，提升…</x:v>
      </x:c>
    </x:row>
    <x:row r="1351" ht="72" customHeight="1">
      <x:c r="A1351" s="25" t="n">
        <x:v>12243</x:v>
      </x:c>
      <x:c r="B1351" s="25" t="str">
        <x:v>IC-L3-1500</x:v>
      </x:c>
      <x:c r="C1351" s="25" t="str">
        <x:v>办事处/分公司/分支机构经理</x:v>
      </x:c>
      <x:c r="D1351" s="25" t="str">
        <x:v>1-06-01-01</x:v>
      </x:c>
      <x:c r="E1351" s="25" t="str">
        <x:v>企业董事</x:v>
      </x:c>
      <x:c r="F1351" s="28" t="n">
        <x:f>COUNTIF('岗位-产业节点关系'!$C$4:$C$709,B1351)</x:f>
        <x:v>0</x:v>
      </x:c>
      <x:c r="G1351" s="26" t="str">
        <x:f>IF(F1351=0,"未匹配（现有产业链范围未覆盖或证据不足）",IF(COUNTIFS('岗位-产业节点关系'!$C$4:$C$709,B1351,'岗位-产业节点关系'!$M$4:$M$709,"低")&gt;0,"已匹配，建议复核","已匹配"))</x:f>
        <x:v>未匹配（现有产业链范围未覆盖或证据不足）</x:v>
      </x:c>
      <x:c r="H1351" s="26" t="str">
        <x:v>-</x:v>
      </x:c>
      <x:c r="I1351" s="26" t="str"/>
      <x:c r="J1351" s="26" t="str"/>
      <x:c r="K1351" s="26" t="str">
        <x:v>办事处/分公司/分支机构经理是高级管理层中不可或缺的角色，在公司业务扩展和市场渗透方面发挥着关键作用。他们负责领导并管理特定区域或部门的日常运营，确保公司战略目标的实现。作为连接总部与地方市场的桥梁，办事处/分公司/分支…</x:v>
      </x:c>
      <x:c r="L1351" s="26" t="str">
        <x:v>1. 负责制定并执行所辖区域的年度销售计划，确保完成公司下达的各项经济指标。 2. 组织开展市场调研活动，收集分析竞争对手信息，为产品开发和营销策略调整提供建议。 3. 监督并指导下属员工的工作，建立和完善绩效考核体系，…</x:v>
      </x:c>
    </x:row>
    <x:row r="1352" ht="72" customHeight="1">
      <x:c r="A1352" s="25" t="n">
        <x:v>12244</x:v>
      </x:c>
      <x:c r="B1352" s="25" t="str">
        <x:v>IC-L3-1501</x:v>
      </x:c>
      <x:c r="C1352" s="25" t="str">
        <x:v>总监/部门经理</x:v>
      </x:c>
      <x:c r="D1352" s="25" t="str">
        <x:v>1-06-01-01</x:v>
      </x:c>
      <x:c r="E1352" s="25" t="str">
        <x:v>企业董事</x:v>
      </x:c>
      <x:c r="F1352" s="28" t="n">
        <x:f>COUNTIF('岗位-产业节点关系'!$C$4:$C$709,B1352)</x:f>
        <x:v>0</x:v>
      </x:c>
      <x:c r="G1352" s="26" t="str">
        <x:f>IF(F1352=0,"未匹配（现有产业链范围未覆盖或证据不足）",IF(COUNTIFS('岗位-产业节点关系'!$C$4:$C$709,B1352,'岗位-产业节点关系'!$M$4:$M$709,"低")&gt;0,"已匹配，建议复核","已匹配"))</x:f>
        <x:v>未匹配（现有产业链范围未覆盖或证据不足）</x:v>
      </x:c>
      <x:c r="H1352" s="26" t="str">
        <x:v>-</x:v>
      </x:c>
      <x:c r="I1352" s="26" t="str"/>
      <x:c r="J1352" s="26" t="str"/>
      <x:c r="K1352" s="26" t="str">
        <x:v>总监或部门经理作为高级管理层的关键成员，在企业战略决策与执行中扮演着至关重要的角色。他们不仅负责制定并实施部门业务计划，确保组织目标得以实现，还承担着优化资源配置、提升运营效率的任务，是连接高层领导与基层员工之间的桥梁。…</x:v>
      </x:c>
      <x:c r="L1352" s="26" t="str">
        <x:v>1. 制定并执行部门年度工作计划，确保完成公司下达的各项经营指标。 2. 监控市场动态，分析竞争对手状况，及时调整策略以应对市场变化。 3. 组织并主持定期会议，沟通协调各部门资源，解决跨部门合作中的问题。 4. 建立健…</x:v>
      </x:c>
    </x:row>
    <x:row r="1353" ht="72" customHeight="1">
      <x:c r="A1353" s="25" t="n">
        <x:v>12245</x:v>
      </x:c>
      <x:c r="B1353" s="25" t="str">
        <x:v>IC-L3-1502</x:v>
      </x:c>
      <x:c r="C1353" s="25" t="str">
        <x:v>总裁助理/总经理助理</x:v>
      </x:c>
      <x:c r="D1353" s="25" t="str">
        <x:v>1-06-01-01</x:v>
      </x:c>
      <x:c r="E1353" s="25" t="str">
        <x:v>企业董事</x:v>
      </x:c>
      <x:c r="F1353" s="28" t="n">
        <x:f>COUNTIF('岗位-产业节点关系'!$C$4:$C$709,B1353)</x:f>
        <x:v>0</x:v>
      </x:c>
      <x:c r="G1353" s="26" t="str">
        <x:f>IF(F1353=0,"未匹配（现有产业链范围未覆盖或证据不足）",IF(COUNTIFS('岗位-产业节点关系'!$C$4:$C$709,B1353,'岗位-产业节点关系'!$M$4:$M$709,"低")&gt;0,"已匹配，建议复核","已匹配"))</x:f>
        <x:v>未匹配（现有产业链范围未覆盖或证据不足）</x:v>
      </x:c>
      <x:c r="H1353" s="26" t="str">
        <x:v>-</x:v>
      </x:c>
      <x:c r="I1353" s="26" t="str"/>
      <x:c r="J1353" s="26" t="str"/>
      <x:c r="K1353" s="26" t="str">
        <x:v>总裁助理/总经理助理是企业中不可或缺的关键角色，主要负责支持高层管理人员处理日常事务和战略决策，确保公司运营的高效与顺畅。此职位不仅是企业决策层与各部门之间的桥梁，更是推动企业持续发展的核心力量。 作为总裁或总经理的得力…</x:v>
      </x:c>
      <x:c r="L1353" s="26" t="str">
        <x:v>1. 协助总裁/总经理制定公司发展战略规划，定期收集整理相关数据资料，为决策提供依据。 2. 负责组织安排各类会议，记录会议纪要，跟踪落实会议决议事项，确保各项工作按计划推进。 3. 管理总裁/总经理的日程安排，包括预约…</x:v>
      </x:c>
    </x:row>
    <x:row r="1354" ht="72" customHeight="1">
      <x:c r="A1354" s="25" t="n">
        <x:v>12246</x:v>
      </x:c>
      <x:c r="B1354" s="25" t="str">
        <x:v>IC-L3-1503</x:v>
      </x:c>
      <x:c r="C1354" s="25" t="str">
        <x:v>首席产品官CPO</x:v>
      </x:c>
      <x:c r="D1354" s="25" t="str">
        <x:v>1-06-01-01</x:v>
      </x:c>
      <x:c r="E1354" s="25" t="str">
        <x:v>企业董事</x:v>
      </x:c>
      <x:c r="F1354" s="28" t="n">
        <x:f>COUNTIF('岗位-产业节点关系'!$C$4:$C$709,B1354)</x:f>
        <x:v>0</x:v>
      </x:c>
      <x:c r="G1354" s="26" t="str">
        <x:f>IF(F1354=0,"未匹配（现有产业链范围未覆盖或证据不足）",IF(COUNTIFS('岗位-产业节点关系'!$C$4:$C$709,B1354,'岗位-产业节点关系'!$M$4:$M$709,"低")&gt;0,"已匹配，建议复核","已匹配"))</x:f>
        <x:v>未匹配（现有产业链范围未覆盖或证据不足）</x:v>
      </x:c>
      <x:c r="H1354" s="26" t="str">
        <x:v>-</x:v>
      </x:c>
      <x:c r="I1354" s="26" t="str"/>
      <x:c r="J1354" s="26" t="str"/>
      <x:c r="K1354" s="26" t="str">
        <x:v>首席产品官（Chief Product Officer, CPO）是企业中至关重要的高级管理职位，主要负责指导公司产品的整体战略和执行。作为连接市场、技术和用户需求的关键桥梁，CPO确保公司的产品不仅满足当前市场需求，还…</x:v>
      </x:c>
      <x:c r="L1354" s="26" t="str">
        <x:v>1. 负责制定公司产品发展战略，包括但不限于新产品规划、现有产品改进及生命周期管理，以确保产品组合符合市场需求和公司长远目标。 2. 领导产品团队进行市场调研与分析，识别潜在的机会点和风险因素，为决策提供数据支持，确保产…</x:v>
      </x:c>
    </x:row>
    <x:row r="1355" ht="72" customHeight="1">
      <x:c r="A1355" s="25" t="n">
        <x:v>12247</x:v>
      </x:c>
      <x:c r="B1355" s="25" t="str">
        <x:v>IC-L3-1504</x:v>
      </x:c>
      <x:c r="C1355" s="25" t="str">
        <x:v>首席信息官CIO</x:v>
      </x:c>
      <x:c r="D1355" s="25" t="str">
        <x:v>1-06-01-01</x:v>
      </x:c>
      <x:c r="E1355" s="25" t="str">
        <x:v>企业董事</x:v>
      </x:c>
      <x:c r="F1355" s="28" t="n">
        <x:f>COUNTIF('岗位-产业节点关系'!$C$4:$C$709,B1355)</x:f>
        <x:v>0</x:v>
      </x:c>
      <x:c r="G1355" s="26" t="str">
        <x:f>IF(F1355=0,"未匹配（现有产业链范围未覆盖或证据不足）",IF(COUNTIFS('岗位-产业节点关系'!$C$4:$C$709,B1355,'岗位-产业节点关系'!$M$4:$M$709,"低")&gt;0,"已匹配，建议复核","已匹配"))</x:f>
        <x:v>未匹配（现有产业链范围未覆盖或证据不足）</x:v>
      </x:c>
      <x:c r="H1355" s="26" t="str">
        <x:v>-</x:v>
      </x:c>
      <x:c r="I1355" s="26" t="str"/>
      <x:c r="J1355" s="26" t="str"/>
      <x:c r="K1355" s="26" t="str">
        <x:v>首席信息官（CIO）是企业中信息技术领域的最高领导者，在高级管理层中扮演着至关重要的角色。他们不仅负责确保公司技术基础设施的安全与高效运作，还致力于推动技术创新，以支持业务战略目标的实现。作为决策层的一员，CIO需要具备…</x:v>
      </x:c>
      <x:c r="L1355" s="26" t="str">
        <x:v>1. 制定并执行公司的信息技术战略，确保其与整体业务目标相一致，旨在提高运营效率和服务质量。 2. 管理并指导IT团队，监督所有技术系统的开发、维护和升级工作，确保系统稳定可靠运行。 3. 评估新技术趋势，探索并引入适合…</x:v>
      </x:c>
    </x:row>
    <x:row r="1356" ht="72" customHeight="1">
      <x:c r="A1356" s="25" t="n">
        <x:v>12248</x:v>
      </x:c>
      <x:c r="B1356" s="25" t="str">
        <x:v>IC-L3-1505</x:v>
      </x:c>
      <x:c r="C1356" s="25" t="str">
        <x:v>首席技术执行官CTO</x:v>
      </x:c>
      <x:c r="D1356" s="25" t="str">
        <x:v>1-06-01-01</x:v>
      </x:c>
      <x:c r="E1356" s="25" t="str">
        <x:v>企业董事</x:v>
      </x:c>
      <x:c r="F1356" s="28" t="n">
        <x:f>COUNTIF('岗位-产业节点关系'!$C$4:$C$709,B1356)</x:f>
        <x:v>0</x:v>
      </x:c>
      <x:c r="G1356" s="26" t="str">
        <x:f>IF(F1356=0,"未匹配（现有产业链范围未覆盖或证据不足）",IF(COUNTIFS('岗位-产业节点关系'!$C$4:$C$709,B1356,'岗位-产业节点关系'!$M$4:$M$709,"低")&gt;0,"已匹配，建议复核","已匹配"))</x:f>
        <x:v>未匹配（现有产业链范围未覆盖或证据不足）</x:v>
      </x:c>
      <x:c r="H1356" s="26" t="str">
        <x:v>-</x:v>
      </x:c>
      <x:c r="I1356" s="26" t="str"/>
      <x:c r="J1356" s="26" t="str"/>
      <x:c r="K1356" s="26" t="str">
        <x:v>首席技术执行官（CTO）是企业中负责技术创新与信息技术战略的关键角色，对于推动公司业务发展和技术领先至关重要。作为技术领域的领导者，CTO不仅需要具备深厚的技术背景，更需拥有卓越的商业洞察力和领导能力，以确保技术方案能够…</x:v>
      </x:c>
      <x:c r="L1356" s="26" t="str">
        <x:v>1. 领导技术研发团队，确立技术发展方向，指导新产品的设计与开发，确保技术方案符合市场趋势及客户需求。 2. 制定并执行公司的IT战略规划，评估现有系统性能，提出改进建议，推动信息化建设，提升企业的数字化水平。 3. 监…</x:v>
      </x:c>
    </x:row>
    <x:row r="1357" ht="72" customHeight="1">
      <x:c r="A1357" s="25" t="n">
        <x:v>12249</x:v>
      </x:c>
      <x:c r="B1357" s="25" t="str">
        <x:v>IC-L3-1506</x:v>
      </x:c>
      <x:c r="C1357" s="25" t="str">
        <x:v>首席营销官CMO</x:v>
      </x:c>
      <x:c r="D1357" s="25" t="str">
        <x:v>4-01-02-01</x:v>
      </x:c>
      <x:c r="E1357" s="25" t="str">
        <x:v>营销员</x:v>
      </x:c>
      <x:c r="F1357" s="28" t="n">
        <x:f>COUNTIF('岗位-产业节点关系'!$C$4:$C$709,B1357)</x:f>
        <x:v>0</x:v>
      </x:c>
      <x:c r="G1357" s="26" t="str">
        <x:f>IF(F1357=0,"未匹配（现有产业链范围未覆盖或证据不足）",IF(COUNTIFS('岗位-产业节点关系'!$C$4:$C$709,B1357,'岗位-产业节点关系'!$M$4:$M$709,"低")&gt;0,"已匹配，建议复核","已匹配"))</x:f>
        <x:v>未匹配（现有产业链范围未覆盖或证据不足）</x:v>
      </x:c>
      <x:c r="H1357" s="26" t="str">
        <x:v>-</x:v>
      </x:c>
      <x:c r="I1357" s="26" t="str"/>
      <x:c r="J1357" s="26" t="str"/>
      <x:c r="K1357" s="26" t="str">
        <x:v>首席营销官（CMO）是企业中至关重要的高级管理层职位，负责制定并执行整体营销策略，以支持企业的长期增长目标。作为公司领导团队的关键成员，CMO不仅需要具备卓越的市场洞察力，还需拥有强大的战略思维能力，确保品牌在市场上保持…</x:v>
      </x:c>
      <x:c r="L1357" s="26" t="str">
        <x:v>1. 制定全面的营销计划，涵盖品牌建设、市场推广、广告宣传等多方面，旨在提高品牌影响力和市场占有率。 2. 分析市场动态，识别潜在机会与风险，指导团队进行精准定位，确保营销活动的有效性和针对性。 3. 与销售团队紧密配合…</x:v>
      </x:c>
    </x:row>
    <x:row r="1358" ht="72" customHeight="1">
      <x:c r="A1358" s="25" t="n">
        <x:v>12250</x:v>
      </x:c>
      <x:c r="B1358" s="25" t="str">
        <x:v>IC-L3-1507</x:v>
      </x:c>
      <x:c r="C1358" s="25" t="str">
        <x:v>首席财务官CFO</x:v>
      </x:c>
      <x:c r="D1358" s="25" t="str">
        <x:v>1-06-01-01</x:v>
      </x:c>
      <x:c r="E1358" s="25" t="str">
        <x:v>企业董事</x:v>
      </x:c>
      <x:c r="F1358" s="28" t="n">
        <x:f>COUNTIF('岗位-产业节点关系'!$C$4:$C$709,B1358)</x:f>
        <x:v>0</x:v>
      </x:c>
      <x:c r="G1358" s="26" t="str">
        <x:f>IF(F1358=0,"未匹配（现有产业链范围未覆盖或证据不足）",IF(COUNTIFS('岗位-产业节点关系'!$C$4:$C$709,B1358,'岗位-产业节点关系'!$M$4:$M$709,"低")&gt;0,"已匹配，建议复核","已匹配"))</x:f>
        <x:v>未匹配（现有产业链范围未覆盖或证据不足）</x:v>
      </x:c>
      <x:c r="H1358" s="26" t="str">
        <x:v>-</x:v>
      </x:c>
      <x:c r="I1358" s="26" t="str"/>
      <x:c r="J1358" s="26" t="str"/>
      <x:c r="K1358" s="26" t="str">
        <x:v>首席财务官（CFO）是公司内部不可或缺的高级管理人员之一，在企业中扮演着至关重要的角色。作为企业的核心领导层成员，CFO不仅负责监督公司的财务活动，确保其符合法规要求，还参与制定公司战略方向，支持决策过程，以实现长期可持…</x:v>
      </x:c>
      <x:c r="L1358" s="26" t="str">
        <x:v>1. 负责制定并执行公司的财务政策和流程，确保所有财务操作符合国家法律法规及内部规章制度。 2. 定期审查公司的财务报表，分析财务数据，为管理层提供准确的财务信息，支持决策制定。 3. 与外部审计机构合作，确保年度财务审…</x:v>
      </x:c>
    </x:row>
    <x:row r="1359" ht="72" customHeight="1">
      <x:c r="A1359" s="25" t="n">
        <x:v>12251</x:v>
      </x:c>
      <x:c r="B1359" s="25" t="str">
        <x:v>IC-L3-1508</x:v>
      </x:c>
      <x:c r="C1359" s="25" t="str">
        <x:v>首席运营官COO</x:v>
      </x:c>
      <x:c r="D1359" s="25" t="str">
        <x:v>1-06-01-01</x:v>
      </x:c>
      <x:c r="E1359" s="25" t="str">
        <x:v>企业董事</x:v>
      </x:c>
      <x:c r="F1359" s="28" t="n">
        <x:f>COUNTIF('岗位-产业节点关系'!$C$4:$C$709,B1359)</x:f>
        <x:v>0</x:v>
      </x:c>
      <x:c r="G1359" s="26" t="str">
        <x:f>IF(F1359=0,"未匹配（现有产业链范围未覆盖或证据不足）",IF(COUNTIFS('岗位-产业节点关系'!$C$4:$C$709,B1359,'岗位-产业节点关系'!$M$4:$M$709,"低")&gt;0,"已匹配，建议复核","已匹配"))</x:f>
        <x:v>未匹配（现有产业链范围未覆盖或证据不足）</x:v>
      </x:c>
      <x:c r="H1359" s="26" t="str">
        <x:v>-</x:v>
      </x:c>
      <x:c r="I1359" s="26" t="str"/>
      <x:c r="J1359" s="26" t="str"/>
      <x:c r="K1359" s="26" t="str">
        <x:v>首席运营官（COO）是企业高级管理层中极为重要的角色之一，主要负责监督公司的日常运营活动，确保业务流程的高效运行。作为企业决策层的核心成员，COO不仅需要具备卓越的领导力和战略眼光，还需拥有强大的执行力与创新思维，以适应…</x:v>
      </x:c>
      <x:c r="L1359" s="26" t="str">
        <x:v>1. 制定并实施全面的运营战略计划，指导各业务单元达成年度经营目标，确保公司整体运营效率持续提升。 2. 负责建立和完善公司内部管理制度与流程体系，提高工作效率，降低运营成本，确保各项业务活动顺利进行。 3. 监控关键业…</x:v>
      </x:c>
    </x:row>
  </x:sheetData>
  <x:mergeCells>
    <x:mergeCell ref="A1:L1"/>
    <x:mergeCell ref="A2:L2"/>
  </x:mergeCells>
  <x:conditionalFormatting sqref="G4:G1359">
    <x:cfRule type="containsText" dxfId="3" priority="1" operator="containsText" text="未匹配"/>
    <x:cfRule type="containsText" dxfId="4" priority="2" operator="containsText" text="建议复核"/>
  </x:conditionalFormatting>
  <x:pageMargins left="0.7" right="0.7" top="0.75" bottom="0.75" header="0.3" footer="0.3"/>
  <x:tableParts count="1">
    <x:tablePart xmlns:r="http://schemas.openxmlformats.org/officeDocument/2006/relationships" r:id="R39f54bcbf8784be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21.110000610351562" hidden="0" customWidth="1"/>
    <x:col min="3" max="3" width="6.440000057220459" hidden="0" customWidth="1"/>
    <x:col min="4" max="4" width="9.109999656677246" hidden="0" customWidth="1"/>
    <x:col min="5" max="5" width="23.329999923706055" hidden="0" customWidth="1"/>
    <x:col min="6" max="6" width="26.670000076293945" hidden="0" customWidth="1"/>
    <x:col min="7" max="7" width="10.220000267028809" hidden="0" customWidth="1"/>
    <x:col min="8" max="8" width="18.329999923706055" hidden="0" customWidth="1"/>
    <x:col min="9" max="9" width="40" hidden="0" customWidth="1"/>
  </x:cols>
  <x:sheetData>
    <x:row r="1" ht="32" customHeight="1">
      <x:c r="A1" s="4" t="str">
        <x:v>产业节点字典（19 条产业链 / 57 个节点）</x:v>
      </x:c>
      <x:c r="B1" s="4" t="str">
        <x:v>产业节点字典（19 条产业链 / 57 个节点）</x:v>
      </x:c>
      <x:c r="C1" s="4" t="str">
        <x:v>产业节点字典（19 条产业链 / 57 个节点）</x:v>
      </x:c>
      <x:c r="D1" s="4" t="str">
        <x:v>产业节点字典（19 条产业链 / 57 个节点）</x:v>
      </x:c>
      <x:c r="E1" s="4" t="str">
        <x:v>产业节点字典（19 条产业链 / 57 个节点）</x:v>
      </x:c>
      <x:c r="F1" s="4" t="str">
        <x:v>产业节点字典（19 条产业链 / 57 个节点）</x:v>
      </x:c>
      <x:c r="G1" s="4" t="str">
        <x:v>产业节点字典（19 条产业链 / 57 个节点）</x:v>
      </x:c>
      <x:c r="H1" s="4" t="str">
        <x:v>产业节点字典（19 条产业链 / 57 个节点）</x:v>
      </x:c>
      <x:c r="I1" s="4" t="str">
        <x:v>产业节点字典（19 条产业链 / 57 个节点）</x:v>
      </x:c>
    </x:row>
    <x:row r="2" ht="36" customHeight="1">
      <x:c r="A2" s="9" t="str">
        <x:v>节点顺序和口径来自 industry_chain_stage_node_report.md；产业链ID、产业节点ID为本工作簿生成的稳定导入标识。</x:v>
      </x:c>
      <x:c r="B2" s="9" t="str">
        <x:v>节点顺序和口径来自 industry_chain_stage_node_report.md；产业链ID、产业节点ID为本工作簿生成的稳定导入标识。</x:v>
      </x:c>
      <x:c r="C2" s="9" t="str">
        <x:v>节点顺序和口径来自 industry_chain_stage_node_report.md；产业链ID、产业节点ID为本工作簿生成的稳定导入标识。</x:v>
      </x:c>
      <x:c r="D2" s="9" t="str">
        <x:v>节点顺序和口径来自 industry_chain_stage_node_report.md；产业链ID、产业节点ID为本工作簿生成的稳定导入标识。</x:v>
      </x:c>
      <x:c r="E2" s="9" t="str">
        <x:v>节点顺序和口径来自 industry_chain_stage_node_report.md；产业链ID、产业节点ID为本工作簿生成的稳定导入标识。</x:v>
      </x:c>
      <x:c r="F2" s="9" t="str">
        <x:v>节点顺序和口径来自 industry_chain_stage_node_report.md；产业链ID、产业节点ID为本工作簿生成的稳定导入标识。</x:v>
      </x:c>
      <x:c r="G2" s="9" t="str">
        <x:v>节点顺序和口径来自 industry_chain_stage_node_report.md；产业链ID、产业节点ID为本工作簿生成的稳定导入标识。</x:v>
      </x:c>
      <x:c r="H2" s="9" t="str">
        <x:v>节点顺序和口径来自 industry_chain_stage_node_report.md；产业链ID、产业节点ID为本工作簿生成的稳定导入标识。</x:v>
      </x:c>
      <x:c r="I2" s="9" t="str">
        <x:v>节点顺序和口径来自 industry_chain_stage_node_report.md；产业链ID、产业节点ID为本工作簿生成的稳定导入标识。</x:v>
      </x:c>
    </x:row>
    <x:row r="3" ht="32" customHeight="1">
      <x:c r="A3" s="21" t="str">
        <x:v>产业链ID</x:v>
      </x:c>
      <x:c r="B3" s="22" t="str">
        <x:v>标准产业链</x:v>
      </x:c>
      <x:c r="C3" s="22" t="str">
        <x:v>阶段</x:v>
      </x:c>
      <x:c r="D3" s="22" t="str">
        <x:v>产业节点ID</x:v>
      </x:c>
      <x:c r="E3" s="22" t="str">
        <x:v>产业节点</x:v>
      </x:c>
      <x:c r="F3" s="22" t="str">
        <x:v>映射原始方向</x:v>
      </x:c>
      <x:c r="G3" s="22" t="str">
        <x:v>企业数求和</x:v>
      </x:c>
      <x:c r="H3" s="22" t="str">
        <x:v>映射类型</x:v>
      </x:c>
      <x:c r="I3" s="23" t="str">
        <x:v>节点全路径</x:v>
      </x:c>
    </x:row>
    <x:row r="4" ht="34" customHeight="1">
      <x:c r="A4" s="26" t="str">
        <x:v>IC01</x:v>
      </x:c>
      <x:c r="B4" s="26" t="str">
        <x:v>数据要素与数字经济产业链</x:v>
      </x:c>
      <x:c r="C4" s="26" t="str">
        <x:v>上游</x:v>
      </x:c>
      <x:c r="D4" s="26" t="str">
        <x:v>ICN001</x:v>
      </x:c>
      <x:c r="E4" s="26" t="str">
        <x:v>数据资源采集与基础设施</x:v>
      </x:c>
      <x:c r="F4" s="26" t="str">
        <x:v>大数据、数据要素</x:v>
      </x:c>
      <x:c r="G4" s="30" t="n">
        <x:v>423975</x:v>
      </x:c>
      <x:c r="H4" s="26" t="str">
        <x:v>原始方向+标准链推导</x:v>
      </x:c>
      <x:c r="I4" s="26" t="str">
        <x:v>数据要素与数字经济产业链/上游/数据资源采集与基础设施</x:v>
      </x:c>
    </x:row>
    <x:row r="5" ht="34" customHeight="1">
      <x:c r="A5" s="26" t="str">
        <x:v>IC01</x:v>
      </x:c>
      <x:c r="B5" s="26" t="str">
        <x:v>数据要素与数字经济产业链</x:v>
      </x:c>
      <x:c r="C5" s="26" t="str">
        <x:v>中游</x:v>
      </x:c>
      <x:c r="D5" s="26" t="str">
        <x:v>ICN002</x:v>
      </x:c>
      <x:c r="E5" s="26" t="str">
        <x:v>数据治理、流通与服务</x:v>
      </x:c>
      <x:c r="F5" s="26" t="str">
        <x:v>大数据、数据要素、数据服务</x:v>
      </x:c>
      <x:c r="G5" s="30" t="n">
        <x:v>453926</x:v>
      </x:c>
      <x:c r="H5" s="26" t="str">
        <x:v>原始方向+标准链推导</x:v>
      </x:c>
      <x:c r="I5" s="26" t="str">
        <x:v>数据要素与数字经济产业链/中游/数据治理、流通与服务</x:v>
      </x:c>
    </x:row>
    <x:row r="6" ht="34" customHeight="1">
      <x:c r="A6" s="26" t="str">
        <x:v>IC01</x:v>
      </x:c>
      <x:c r="B6" s="26" t="str">
        <x:v>数据要素与数字经济产业链</x:v>
      </x:c>
      <x:c r="C6" s="26" t="str">
        <x:v>下游</x:v>
      </x:c>
      <x:c r="D6" s="26" t="str">
        <x:v>ICN003</x:v>
      </x:c>
      <x:c r="E6" s="26" t="str">
        <x:v>数字经济场景应用与内容创意</x:v>
      </x:c>
      <x:c r="F6" s="26" t="str">
        <x:v>数字经济、数据创意</x:v>
      </x:c>
      <x:c r="G6" s="30" t="n">
        <x:v>118401</x:v>
      </x:c>
      <x:c r="H6" s="26" t="str">
        <x:v>原始方向+标准链推导</x:v>
      </x:c>
      <x:c r="I6" s="26" t="str">
        <x:v>数据要素与数字经济产业链/下游/数字经济场景应用与内容创意</x:v>
      </x:c>
    </x:row>
    <x:row r="7" ht="34" customHeight="1">
      <x:c r="A7" s="26" t="str">
        <x:v>IC02</x:v>
      </x:c>
      <x:c r="B7" s="26" t="str">
        <x:v>高端装备与智能制造产业链</x:v>
      </x:c>
      <x:c r="C7" s="26" t="str">
        <x:v>上游</x:v>
      </x:c>
      <x:c r="D7" s="26" t="str">
        <x:v>ICN004</x:v>
      </x:c>
      <x:c r="E7" s="26" t="str">
        <x:v>关键基础件与工业母机</x:v>
      </x:c>
      <x:c r="F7" s="26" t="str">
        <x:v>数控机床、机械设备</x:v>
      </x:c>
      <x:c r="G7" s="30" t="n">
        <x:v>73179</x:v>
      </x:c>
      <x:c r="H7" s="26" t="str">
        <x:v>原始方向+标准链推导</x:v>
      </x:c>
      <x:c r="I7" s="26" t="str">
        <x:v>高端装备与智能制造产业链/上游/关键基础件与工业母机</x:v>
      </x:c>
    </x:row>
    <x:row r="8" ht="34" customHeight="1">
      <x:c r="A8" s="26" t="str">
        <x:v>IC02</x:v>
      </x:c>
      <x:c r="B8" s="26" t="str">
        <x:v>高端装备与智能制造产业链</x:v>
      </x:c>
      <x:c r="C8" s="26" t="str">
        <x:v>中游</x:v>
      </x:c>
      <x:c r="D8" s="26" t="str">
        <x:v>ICN005</x:v>
      </x:c>
      <x:c r="E8" s="26" t="str">
        <x:v>高端装备制造与激光加工</x:v>
      </x:c>
      <x:c r="F8" s="26" t="str">
        <x:v>高端装备制造、激光、机械设备</x:v>
      </x:c>
      <x:c r="G8" s="30" t="n">
        <x:v>284837</x:v>
      </x:c>
      <x:c r="H8" s="26" t="str">
        <x:v>原始方向+标准链推导</x:v>
      </x:c>
      <x:c r="I8" s="26" t="str">
        <x:v>高端装备与智能制造产业链/中游/高端装备制造与激光加工</x:v>
      </x:c>
    </x:row>
    <x:row r="9" ht="34" customHeight="1">
      <x:c r="A9" s="26" t="str">
        <x:v>IC02</x:v>
      </x:c>
      <x:c r="B9" s="26" t="str">
        <x:v>高端装备与智能制造产业链</x:v>
      </x:c>
      <x:c r="C9" s="26" t="str">
        <x:v>下游</x:v>
      </x:c>
      <x:c r="D9" s="26" t="str">
        <x:v>ICN006</x:v>
      </x:c>
      <x:c r="E9" s="26" t="str">
        <x:v>行业智能制造应用与运维</x:v>
      </x:c>
      <x:c r="F9" s="26" t="str">
        <x:v>高端装备制造、机械设备</x:v>
      </x:c>
      <x:c r="G9" s="30" t="n">
        <x:v>279499</x:v>
      </x:c>
      <x:c r="H9" s="26" t="str">
        <x:v>标准链推导</x:v>
      </x:c>
      <x:c r="I9" s="26" t="str">
        <x:v>高端装备与智能制造产业链/下游/行业智能制造应用与运维</x:v>
      </x:c>
    </x:row>
    <x:row r="10" ht="34" customHeight="1">
      <x:c r="A10" s="26" t="str">
        <x:v>IC03</x:v>
      </x:c>
      <x:c r="B10" s="26" t="str">
        <x:v>基础设施与城市建设产业链</x:v>
      </x:c>
      <x:c r="C10" s="26" t="str">
        <x:v>上游</x:v>
      </x:c>
      <x:c r="D10" s="26" t="str">
        <x:v>ICN007</x:v>
      </x:c>
      <x:c r="E10" s="26" t="str">
        <x:v>规划设计、建材与工程准备</x:v>
      </x:c>
      <x:c r="F10" s="26" t="str">
        <x:v>基础设施建设</x:v>
      </x:c>
      <x:c r="G10" s="30" t="n">
        <x:v>160221</x:v>
      </x:c>
      <x:c r="H10" s="26" t="str">
        <x:v>标准链推导</x:v>
      </x:c>
      <x:c r="I10" s="26" t="str">
        <x:v>基础设施与城市建设产业链/上游/规划设计、建材与工程准备</x:v>
      </x:c>
    </x:row>
    <x:row r="11" ht="34" customHeight="1">
      <x:c r="A11" s="26" t="str">
        <x:v>IC03</x:v>
      </x:c>
      <x:c r="B11" s="26" t="str">
        <x:v>基础设施与城市建设产业链</x:v>
      </x:c>
      <x:c r="C11" s="26" t="str">
        <x:v>中游</x:v>
      </x:c>
      <x:c r="D11" s="26" t="str">
        <x:v>ICN008</x:v>
      </x:c>
      <x:c r="E11" s="26" t="str">
        <x:v>基础设施建设与房地产开发</x:v>
      </x:c>
      <x:c r="F11" s="26" t="str">
        <x:v>基础设施建设、房地产</x:v>
      </x:c>
      <x:c r="G11" s="30" t="n">
        <x:v>290363</x:v>
      </x:c>
      <x:c r="H11" s="26" t="str">
        <x:v>原始方向+标准链推导</x:v>
      </x:c>
      <x:c r="I11" s="26" t="str">
        <x:v>基础设施与城市建设产业链/中游/基础设施建设与房地产开发</x:v>
      </x:c>
    </x:row>
    <x:row r="12" ht="34" customHeight="1">
      <x:c r="A12" s="26" t="str">
        <x:v>IC03</x:v>
      </x:c>
      <x:c r="B12" s="26" t="str">
        <x:v>基础设施与城市建设产业链</x:v>
      </x:c>
      <x:c r="C12" s="26" t="str">
        <x:v>下游</x:v>
      </x:c>
      <x:c r="D12" s="26" t="str">
        <x:v>ICN009</x:v>
      </x:c>
      <x:c r="E12" s="26" t="str">
        <x:v>城市运营、公用事业与物业服务</x:v>
      </x:c>
      <x:c r="F12" s="26" t="str">
        <x:v>公用事业、房地产</x:v>
      </x:c>
      <x:c r="G12" s="30" t="n">
        <x:v>179150</x:v>
      </x:c>
      <x:c r="H12" s="26" t="str">
        <x:v>原始方向+标准链推导</x:v>
      </x:c>
      <x:c r="I12" s="26" t="str">
        <x:v>基础设施与城市建设产业链/下游/城市运营、公用事业与物业服务</x:v>
      </x:c>
    </x:row>
    <x:row r="13" ht="34" customHeight="1">
      <x:c r="A13" s="26" t="str">
        <x:v>IC04</x:v>
      </x:c>
      <x:c r="B13" s="26" t="str">
        <x:v>医药生物与医疗健康产业链</x:v>
      </x:c>
      <x:c r="C13" s="26" t="str">
        <x:v>上游</x:v>
      </x:c>
      <x:c r="D13" s="26" t="str">
        <x:v>ICN010</x:v>
      </x:c>
      <x:c r="E13" s="26" t="str">
        <x:v>药物研发、诊断试剂与核心材料</x:v>
      </x:c>
      <x:c r="F13" s="26" t="str">
        <x:v>医药生物、生物药品、化学药品、体外诊断</x:v>
      </x:c>
      <x:c r="G13" s="30" t="n">
        <x:v>48878</x:v>
      </x:c>
      <x:c r="H13" s="26" t="str">
        <x:v>原始方向+标准链推导</x:v>
      </x:c>
      <x:c r="I13" s="26" t="str">
        <x:v>医药生物与医疗健康产业链/上游/药物研发、诊断试剂与核心材料</x:v>
      </x:c>
    </x:row>
    <x:row r="14" ht="34" customHeight="1">
      <x:c r="A14" s="26" t="str">
        <x:v>IC04</x:v>
      </x:c>
      <x:c r="B14" s="26" t="str">
        <x:v>医药生物与医疗健康产业链</x:v>
      </x:c>
      <x:c r="C14" s="26" t="str">
        <x:v>中游</x:v>
      </x:c>
      <x:c r="D14" s="26" t="str">
        <x:v>ICN011</x:v>
      </x:c>
      <x:c r="E14" s="26" t="str">
        <x:v>药械生产、医疗装备与数字平台</x:v>
      </x:c>
      <x:c r="F14" s="26" t="str">
        <x:v>医药生物、生物药品、化学药品、医疗器械、医疗机器人、医疗数字化</x:v>
      </x:c>
      <x:c r="G14" s="30" t="n">
        <x:v>231395</x:v>
      </x:c>
      <x:c r="H14" s="26" t="str">
        <x:v>原始方向+标准链推导</x:v>
      </x:c>
      <x:c r="I14" s="26" t="str">
        <x:v>医药生物与医疗健康产业链/中游/药械生产、医疗装备与数字平台</x:v>
      </x:c>
    </x:row>
    <x:row r="15" ht="34" customHeight="1">
      <x:c r="A15" s="26" t="str">
        <x:v>IC04</x:v>
      </x:c>
      <x:c r="B15" s="26" t="str">
        <x:v>医药生物与医疗健康产业链</x:v>
      </x:c>
      <x:c r="C15" s="26" t="str">
        <x:v>下游</x:v>
      </x:c>
      <x:c r="D15" s="26" t="str">
        <x:v>ICN012</x:v>
      </x:c>
      <x:c r="E15" s="26" t="str">
        <x:v>医疗服务、临床应用与健康管理</x:v>
      </x:c>
      <x:c r="F15" s="26" t="str">
        <x:v>医疗器械、体外诊断、医疗数字化、医疗机器人</x:v>
      </x:c>
      <x:c r="G15" s="30" t="n">
        <x:v>184681</x:v>
      </x:c>
      <x:c r="H15" s="26" t="str">
        <x:v>标准链推导</x:v>
      </x:c>
      <x:c r="I15" s="26" t="str">
        <x:v>医药生物与医疗健康产业链/下游/医疗服务、临床应用与健康管理</x:v>
      </x:c>
    </x:row>
    <x:row r="16" ht="34" customHeight="1">
      <x:c r="A16" s="26" t="str">
        <x:v>IC05</x:v>
      </x:c>
      <x:c r="B16" s="26" t="str">
        <x:v>新能源与电力装备产业链</x:v>
      </x:c>
      <x:c r="C16" s="26" t="str">
        <x:v>上游</x:v>
      </x:c>
      <x:c r="D16" s="26" t="str">
        <x:v>ICN013</x:v>
      </x:c>
      <x:c r="E16" s="26" t="str">
        <x:v>新能源材料、电芯与发电设备</x:v>
      </x:c>
      <x:c r="F16" s="26" t="str">
        <x:v>锂离子电池、光伏生产设备、光伏、风电</x:v>
      </x:c>
      <x:c r="G16" s="30" t="n">
        <x:v>12322</x:v>
      </x:c>
      <x:c r="H16" s="26" t="str">
        <x:v>原始方向+标准链推导</x:v>
      </x:c>
      <x:c r="I16" s="26" t="str">
        <x:v>新能源与电力装备产业链/上游/新能源材料、电芯与发电设备</x:v>
      </x:c>
    </x:row>
    <x:row r="17" ht="34" customHeight="1">
      <x:c r="A17" s="26" t="str">
        <x:v>IC05</x:v>
      </x:c>
      <x:c r="B17" s="26" t="str">
        <x:v>新能源与电力装备产业链</x:v>
      </x:c>
      <x:c r="C17" s="26" t="str">
        <x:v>中游</x:v>
      </x:c>
      <x:c r="D17" s="26" t="str">
        <x:v>ICN014</x:v>
      </x:c>
      <x:c r="E17" s="26" t="str">
        <x:v>发电、储能与输配电装备</x:v>
      </x:c>
      <x:c r="F17" s="26" t="str">
        <x:v>光伏、风电、储能、特高压</x:v>
      </x:c>
      <x:c r="G17" s="30" t="n">
        <x:v>181966</x:v>
      </x:c>
      <x:c r="H17" s="26" t="str">
        <x:v>原始方向+标准链推导</x:v>
      </x:c>
      <x:c r="I17" s="26" t="str">
        <x:v>新能源与电力装备产业链/中游/发电、储能与输配电装备</x:v>
      </x:c>
    </x:row>
    <x:row r="18" ht="34" customHeight="1">
      <x:c r="A18" s="26" t="str">
        <x:v>IC05</x:v>
      </x:c>
      <x:c r="B18" s="26" t="str">
        <x:v>新能源与电力装备产业链</x:v>
      </x:c>
      <x:c r="C18" s="26" t="str">
        <x:v>下游</x:v>
      </x:c>
      <x:c r="D18" s="26" t="str">
        <x:v>ICN015</x:v>
      </x:c>
      <x:c r="E18" s="26" t="str">
        <x:v>电力消纳、能源服务与场景应用</x:v>
      </x:c>
      <x:c r="F18" s="26" t="str">
        <x:v>储能、特高压、光伏、风电</x:v>
      </x:c>
      <x:c r="G18" s="30" t="n">
        <x:v>181966</x:v>
      </x:c>
      <x:c r="H18" s="26" t="str">
        <x:v>标准链推导</x:v>
      </x:c>
      <x:c r="I18" s="26" t="str">
        <x:v>新能源与电力装备产业链/下游/电力消纳、能源服务与场景应用</x:v>
      </x:c>
    </x:row>
    <x:row r="19" ht="34" customHeight="1">
      <x:c r="A19" s="26" t="str">
        <x:v>IC06</x:v>
      </x:c>
      <x:c r="B19" s="26" t="str">
        <x:v>智能物联与消费电子产业链</x:v>
      </x:c>
      <x:c r="C19" s="26" t="str">
        <x:v>上游</x:v>
      </x:c>
      <x:c r="D19" s="26" t="str">
        <x:v>ICN016</x:v>
      </x:c>
      <x:c r="E19" s="26" t="str">
        <x:v>传感器、芯片模组与基础器件</x:v>
      </x:c>
      <x:c r="F19" s="26" t="str">
        <x:v>物联网、智能物联、消费电子</x:v>
      </x:c>
      <x:c r="G19" s="30" t="n">
        <x:v>153738</x:v>
      </x:c>
      <x:c r="H19" s="26" t="str">
        <x:v>标准链推导</x:v>
      </x:c>
      <x:c r="I19" s="26" t="str">
        <x:v>智能物联与消费电子产业链/上游/传感器、芯片模组与基础器件</x:v>
      </x:c>
    </x:row>
    <x:row r="20" ht="34" customHeight="1">
      <x:c r="A20" s="26" t="str">
        <x:v>IC06</x:v>
      </x:c>
      <x:c r="B20" s="26" t="str">
        <x:v>智能物联与消费电子产业链</x:v>
      </x:c>
      <x:c r="C20" s="26" t="str">
        <x:v>中游</x:v>
      </x:c>
      <x:c r="D20" s="26" t="str">
        <x:v>ICN017</x:v>
      </x:c>
      <x:c r="E20" s="26" t="str">
        <x:v>智能终端、家电与物联平台</x:v>
      </x:c>
      <x:c r="F20" s="26" t="str">
        <x:v>智能手机、家用电器、消费电子、智能物联、物联网</x:v>
      </x:c>
      <x:c r="G20" s="30" t="n">
        <x:v>174017</x:v>
      </x:c>
      <x:c r="H20" s="26" t="str">
        <x:v>原始方向+标准链推导</x:v>
      </x:c>
      <x:c r="I20" s="26" t="str">
        <x:v>智能物联与消费电子产业链/中游/智能终端、家电与物联平台</x:v>
      </x:c>
    </x:row>
    <x:row r="21" ht="34" customHeight="1">
      <x:c r="A21" s="26" t="str">
        <x:v>IC06</x:v>
      </x:c>
      <x:c r="B21" s="26" t="str">
        <x:v>智能物联与消费电子产业链</x:v>
      </x:c>
      <x:c r="C21" s="26" t="str">
        <x:v>下游</x:v>
      </x:c>
      <x:c r="D21" s="26" t="str">
        <x:v>ICN018</x:v>
      </x:c>
      <x:c r="E21" s="26" t="str">
        <x:v>智慧家庭、行业物联与消费场景</x:v>
      </x:c>
      <x:c r="F21" s="26" t="str">
        <x:v>家用电器、消费电子、智能物联、物联网</x:v>
      </x:c>
      <x:c r="G21" s="30" t="n">
        <x:v>168170</x:v>
      </x:c>
      <x:c r="H21" s="26" t="str">
        <x:v>标准链推导</x:v>
      </x:c>
      <x:c r="I21" s="26" t="str">
        <x:v>智能物联与消费电子产业链/下游/智慧家庭、行业物联与消费场景</x:v>
      </x:c>
    </x:row>
    <x:row r="22" ht="34" customHeight="1">
      <x:c r="A22" s="26" t="str">
        <x:v>IC07</x:v>
      </x:c>
      <x:c r="B22" s="26" t="str">
        <x:v>石油化工产业链</x:v>
      </x:c>
      <x:c r="C22" s="26" t="str">
        <x:v>上游</x:v>
      </x:c>
      <x:c r="D22" s="26" t="str">
        <x:v>ICN019</x:v>
      </x:c>
      <x:c r="E22" s="26" t="str">
        <x:v>油气资源与基础化工原料</x:v>
      </x:c>
      <x:c r="F22" s="26" t="str">
        <x:v>石油化工</x:v>
      </x:c>
      <x:c r="G22" s="30" t="n">
        <x:v>113876</x:v>
      </x:c>
      <x:c r="H22" s="26" t="str">
        <x:v>宽口径原始方向拆分</x:v>
      </x:c>
      <x:c r="I22" s="26" t="str">
        <x:v>石油化工产业链/上游/油气资源与基础化工原料</x:v>
      </x:c>
    </x:row>
    <x:row r="23" ht="34" customHeight="1">
      <x:c r="A23" s="26" t="str">
        <x:v>IC07</x:v>
      </x:c>
      <x:c r="B23" s="26" t="str">
        <x:v>石油化工产业链</x:v>
      </x:c>
      <x:c r="C23" s="26" t="str">
        <x:v>中游</x:v>
      </x:c>
      <x:c r="D23" s="26" t="str">
        <x:v>ICN020</x:v>
      </x:c>
      <x:c r="E23" s="26" t="str">
        <x:v>炼化加工与化工材料制造</x:v>
      </x:c>
      <x:c r="F23" s="26" t="str">
        <x:v>石油化工</x:v>
      </x:c>
      <x:c r="G23" s="30" t="n">
        <x:v>113876</x:v>
      </x:c>
      <x:c r="H23" s="26" t="str">
        <x:v>宽口径原始方向拆分</x:v>
      </x:c>
      <x:c r="I23" s="26" t="str">
        <x:v>石油化工产业链/中游/炼化加工与化工材料制造</x:v>
      </x:c>
    </x:row>
    <x:row r="24" ht="34" customHeight="1">
      <x:c r="A24" s="26" t="str">
        <x:v>IC07</x:v>
      </x:c>
      <x:c r="B24" s="26" t="str">
        <x:v>石油化工产业链</x:v>
      </x:c>
      <x:c r="C24" s="26" t="str">
        <x:v>下游</x:v>
      </x:c>
      <x:c r="D24" s="26" t="str">
        <x:v>ICN021</x:v>
      </x:c>
      <x:c r="E24" s="26" t="str">
        <x:v>化工制品与终端应用</x:v>
      </x:c>
      <x:c r="F24" s="26" t="str">
        <x:v>石油化工</x:v>
      </x:c>
      <x:c r="G24" s="30" t="n">
        <x:v>113876</x:v>
      </x:c>
      <x:c r="H24" s="26" t="str">
        <x:v>宽口径原始方向拆分</x:v>
      </x:c>
      <x:c r="I24" s="26" t="str">
        <x:v>石油化工产业链/下游/化工制品与终端应用</x:v>
      </x:c>
    </x:row>
    <x:row r="25" ht="34" customHeight="1">
      <x:c r="A25" s="26" t="str">
        <x:v>IC08</x:v>
      </x:c>
      <x:c r="B25" s="26" t="str">
        <x:v>汽车与智能网联汽车产业链</x:v>
      </x:c>
      <x:c r="C25" s="26" t="str">
        <x:v>上游</x:v>
      </x:c>
      <x:c r="D25" s="26" t="str">
        <x:v>ICN022</x:v>
      </x:c>
      <x:c r="E25" s="26" t="str">
        <x:v>汽车材料、零部件与电子电气</x:v>
      </x:c>
      <x:c r="F25" s="26" t="str">
        <x:v>汽车零部件、汽车电子、汽车轻量化</x:v>
      </x:c>
      <x:c r="G25" s="30" t="n">
        <x:v>84754</x:v>
      </x:c>
      <x:c r="H25" s="26" t="str">
        <x:v>原始方向+标准链推导</x:v>
      </x:c>
      <x:c r="I25" s="26" t="str">
        <x:v>汽车与智能网联汽车产业链/上游/汽车材料、零部件与电子电气</x:v>
      </x:c>
    </x:row>
    <x:row r="26" ht="34" customHeight="1">
      <x:c r="A26" s="26" t="str">
        <x:v>IC08</x:v>
      </x:c>
      <x:c r="B26" s="26" t="str">
        <x:v>汽车与智能网联汽车产业链</x:v>
      </x:c>
      <x:c r="C26" s="26" t="str">
        <x:v>中游</x:v>
      </x:c>
      <x:c r="D26" s="26" t="str">
        <x:v>ICN023</x:v>
      </x:c>
      <x:c r="E26" s="26" t="str">
        <x:v>整车制造与智能网联系统集成</x:v>
      </x:c>
      <x:c r="F26" s="26" t="str">
        <x:v>汽车、汽车电子、自动驾驶</x:v>
      </x:c>
      <x:c r="G26" s="30" t="n">
        <x:v>105363</x:v>
      </x:c>
      <x:c r="H26" s="26" t="str">
        <x:v>原始方向+标准链推导</x:v>
      </x:c>
      <x:c r="I26" s="26" t="str">
        <x:v>汽车与智能网联汽车产业链/中游/整车制造与智能网联系统集成</x:v>
      </x:c>
    </x:row>
    <x:row r="27" ht="34" customHeight="1">
      <x:c r="A27" s="26" t="str">
        <x:v>IC08</x:v>
      </x:c>
      <x:c r="B27" s="26" t="str">
        <x:v>汽车与智能网联汽车产业链</x:v>
      </x:c>
      <x:c r="C27" s="26" t="str">
        <x:v>下游</x:v>
      </x:c>
      <x:c r="D27" s="26" t="str">
        <x:v>ICN024</x:v>
      </x:c>
      <x:c r="E27" s="26" t="str">
        <x:v>出行服务、后市场与自动驾驶应用</x:v>
      </x:c>
      <x:c r="F27" s="26" t="str">
        <x:v>汽车、自动驾驶</x:v>
      </x:c>
      <x:c r="G27" s="30" t="n">
        <x:v>85773</x:v>
      </x:c>
      <x:c r="H27" s="26" t="str">
        <x:v>标准链推导</x:v>
      </x:c>
      <x:c r="I27" s="26" t="str">
        <x:v>汽车与智能网联汽车产业链/下游/出行服务、后市场与自动驾驶应用</x:v>
      </x:c>
    </x:row>
    <x:row r="28" ht="34" customHeight="1">
      <x:c r="A28" s="26" t="str">
        <x:v>IC09</x:v>
      </x:c>
      <x:c r="B28" s="26" t="str">
        <x:v>食品饮料产业链</x:v>
      </x:c>
      <x:c r="C28" s="26" t="str">
        <x:v>上游</x:v>
      </x:c>
      <x:c r="D28" s="26" t="str">
        <x:v>ICN025</x:v>
      </x:c>
      <x:c r="E28" s="26" t="str">
        <x:v>农产品原料与食品配料</x:v>
      </x:c>
      <x:c r="F28" s="26" t="str">
        <x:v>食品饮料</x:v>
      </x:c>
      <x:c r="G28" s="30" t="n">
        <x:v>91223</x:v>
      </x:c>
      <x:c r="H28" s="26" t="str">
        <x:v>宽口径原始方向拆分</x:v>
      </x:c>
      <x:c r="I28" s="26" t="str">
        <x:v>食品饮料产业链/上游/农产品原料与食品配料</x:v>
      </x:c>
    </x:row>
    <x:row r="29" ht="34" customHeight="1">
      <x:c r="A29" s="26" t="str">
        <x:v>IC09</x:v>
      </x:c>
      <x:c r="B29" s="26" t="str">
        <x:v>食品饮料产业链</x:v>
      </x:c>
      <x:c r="C29" s="26" t="str">
        <x:v>中游</x:v>
      </x:c>
      <x:c r="D29" s="26" t="str">
        <x:v>ICN026</x:v>
      </x:c>
      <x:c r="E29" s="26" t="str">
        <x:v>食品饮料加工制造</x:v>
      </x:c>
      <x:c r="F29" s="26" t="str">
        <x:v>食品饮料</x:v>
      </x:c>
      <x:c r="G29" s="30" t="n">
        <x:v>91223</x:v>
      </x:c>
      <x:c r="H29" s="26" t="str">
        <x:v>宽口径原始方向拆分</x:v>
      </x:c>
      <x:c r="I29" s="26" t="str">
        <x:v>食品饮料产业链/中游/食品饮料加工制造</x:v>
      </x:c>
    </x:row>
    <x:row r="30" ht="34" customHeight="1">
      <x:c r="A30" s="26" t="str">
        <x:v>IC09</x:v>
      </x:c>
      <x:c r="B30" s="26" t="str">
        <x:v>食品饮料产业链</x:v>
      </x:c>
      <x:c r="C30" s="26" t="str">
        <x:v>下游</x:v>
      </x:c>
      <x:c r="D30" s="26" t="str">
        <x:v>ICN027</x:v>
      </x:c>
      <x:c r="E30" s="26" t="str">
        <x:v>品牌渠道、餐饮零售与消费服务</x:v>
      </x:c>
      <x:c r="F30" s="26" t="str">
        <x:v>食品饮料</x:v>
      </x:c>
      <x:c r="G30" s="30" t="n">
        <x:v>91223</x:v>
      </x:c>
      <x:c r="H30" s="26" t="str">
        <x:v>宽口径原始方向拆分</x:v>
      </x:c>
      <x:c r="I30" s="26" t="str">
        <x:v>食品饮料产业链/下游/品牌渠道、餐饮零售与消费服务</x:v>
      </x:c>
    </x:row>
    <x:row r="31" ht="34" customHeight="1">
      <x:c r="A31" s="26" t="str">
        <x:v>IC10</x:v>
      </x:c>
      <x:c r="B31" s="26" t="str">
        <x:v>新一代信息基础设施产业链</x:v>
      </x:c>
      <x:c r="C31" s="26" t="str">
        <x:v>上游</x:v>
      </x:c>
      <x:c r="D31" s="26" t="str">
        <x:v>ICN028</x:v>
      </x:c>
      <x:c r="E31" s="26" t="str">
        <x:v>通信与算力硬件设备</x:v>
      </x:c>
      <x:c r="F31" s="26" t="str">
        <x:v>服务器、光通信、网络通信</x:v>
      </x:c>
      <x:c r="G31" s="30" t="n">
        <x:v>38554</x:v>
      </x:c>
      <x:c r="H31" s="26" t="str">
        <x:v>原始方向+标准链推导</x:v>
      </x:c>
      <x:c r="I31" s="26" t="str">
        <x:v>新一代信息基础设施产业链/上游/通信与算力硬件设备</x:v>
      </x:c>
    </x:row>
    <x:row r="32" ht="34" customHeight="1">
      <x:c r="A32" s="26" t="str">
        <x:v>IC10</x:v>
      </x:c>
      <x:c r="B32" s="26" t="str">
        <x:v>新一代信息基础设施产业链</x:v>
      </x:c>
      <x:c r="C32" s="26" t="str">
        <x:v>中游</x:v>
      </x:c>
      <x:c r="D32" s="26" t="str">
        <x:v>ICN029</x:v>
      </x:c>
      <x:c r="E32" s="26" t="str">
        <x:v>5G网络、数据中心与云边平台</x:v>
      </x:c>
      <x:c r="F32" s="26" t="str">
        <x:v>5G通信、IDC数据中心、云计算、边缘计算、网络通信</x:v>
      </x:c>
      <x:c r="G32" s="30" t="n">
        <x:v>94516</x:v>
      </x:c>
      <x:c r="H32" s="26" t="str">
        <x:v>原始方向+标准链推导</x:v>
      </x:c>
      <x:c r="I32" s="26" t="str">
        <x:v>新一代信息基础设施产业链/中游/5G网络、数据中心与云边平台</x:v>
      </x:c>
    </x:row>
    <x:row r="33" ht="34" customHeight="1">
      <x:c r="A33" s="26" t="str">
        <x:v>IC10</x:v>
      </x:c>
      <x:c r="B33" s="26" t="str">
        <x:v>新一代信息基础设施产业链</x:v>
      </x:c>
      <x:c r="C33" s="26" t="str">
        <x:v>下游</x:v>
      </x:c>
      <x:c r="D33" s="26" t="str">
        <x:v>ICN030</x:v>
      </x:c>
      <x:c r="E33" s="26" t="str">
        <x:v>云网算服务与行业数字化支撑</x:v>
      </x:c>
      <x:c r="F33" s="26" t="str">
        <x:v>云计算、IDC数据中心、边缘计算、5G通信</x:v>
      </x:c>
      <x:c r="G33" s="30" t="n">
        <x:v>74405</x:v>
      </x:c>
      <x:c r="H33" s="26" t="str">
        <x:v>标准链推导</x:v>
      </x:c>
      <x:c r="I33" s="26" t="str">
        <x:v>新一代信息基础设施产业链/下游/云网算服务与行业数字化支撑</x:v>
      </x:c>
    </x:row>
    <x:row r="34" ht="34" customHeight="1">
      <x:c r="A34" s="26" t="str">
        <x:v>IC11</x:v>
      </x:c>
      <x:c r="B34" s="26" t="str">
        <x:v>绿色环保与资源循环产业链</x:v>
      </x:c>
      <x:c r="C34" s="26" t="str">
        <x:v>上游</x:v>
      </x:c>
      <x:c r="D34" s="26" t="str">
        <x:v>ICN031</x:v>
      </x:c>
      <x:c r="E34" s="26" t="str">
        <x:v>环保装备、监测与资源回收基础</x:v>
      </x:c>
      <x:c r="F34" s="26" t="str">
        <x:v>环保、资源循环利用、碳中和</x:v>
      </x:c>
      <x:c r="G34" s="30" t="n">
        <x:v>71328</x:v>
      </x:c>
      <x:c r="H34" s="26" t="str">
        <x:v>标准链推导</x:v>
      </x:c>
      <x:c r="I34" s="26" t="str">
        <x:v>绿色环保与资源循环产业链/上游/环保装备、监测与资源回收基础</x:v>
      </x:c>
    </x:row>
    <x:row r="35" ht="34" customHeight="1">
      <x:c r="A35" s="26" t="str">
        <x:v>IC11</x:v>
      </x:c>
      <x:c r="B35" s="26" t="str">
        <x:v>绿色环保与资源循环产业链</x:v>
      </x:c>
      <x:c r="C35" s="26" t="str">
        <x:v>中游</x:v>
      </x:c>
      <x:c r="D35" s="26" t="str">
        <x:v>ICN032</x:v>
      </x:c>
      <x:c r="E35" s="26" t="str">
        <x:v>污染治理与节能降碳服务</x:v>
      </x:c>
      <x:c r="F35" s="26" t="str">
        <x:v>大气治理、污水处理、环保、碳中和、资源循环利用</x:v>
      </x:c>
      <x:c r="G35" s="30" t="n">
        <x:v>85711</x:v>
      </x:c>
      <x:c r="H35" s="26" t="str">
        <x:v>原始方向+标准链推导</x:v>
      </x:c>
      <x:c r="I35" s="26" t="str">
        <x:v>绿色环保与资源循环产业链/中游/污染治理与节能降碳服务</x:v>
      </x:c>
    </x:row>
    <x:row r="36" ht="34" customHeight="1">
      <x:c r="A36" s="26" t="str">
        <x:v>IC11</x:v>
      </x:c>
      <x:c r="B36" s="26" t="str">
        <x:v>绿色环保与资源循环产业链</x:v>
      </x:c>
      <x:c r="C36" s="26" t="str">
        <x:v>下游</x:v>
      </x:c>
      <x:c r="D36" s="26" t="str">
        <x:v>ICN033</x:v>
      </x:c>
      <x:c r="E36" s="26" t="str">
        <x:v>园区、市政与企业绿色运营</x:v>
      </x:c>
      <x:c r="F36" s="26" t="str">
        <x:v>环保、资源循环利用、碳中和</x:v>
      </x:c>
      <x:c r="G36" s="30" t="n">
        <x:v>71328</x:v>
      </x:c>
      <x:c r="H36" s="26" t="str">
        <x:v>标准链推导</x:v>
      </x:c>
      <x:c r="I36" s="26" t="str">
        <x:v>绿色环保与资源循环产业链/下游/园区、市政与企业绿色运营</x:v>
      </x:c>
    </x:row>
    <x:row r="37" ht="34" customHeight="1">
      <x:c r="A37" s="26" t="str">
        <x:v>IC12</x:v>
      </x:c>
      <x:c r="B37" s="26" t="str">
        <x:v>新材料产业链</x:v>
      </x:c>
      <x:c r="C37" s="26" t="str">
        <x:v>上游</x:v>
      </x:c>
      <x:c r="D37" s="26" t="str">
        <x:v>ICN034</x:v>
      </x:c>
      <x:c r="E37" s="26" t="str">
        <x:v>矿物、化工与基础材料原料</x:v>
      </x:c>
      <x:c r="F37" s="26" t="str">
        <x:v>新材料</x:v>
      </x:c>
      <x:c r="G37" s="30" t="n">
        <x:v>41848</x:v>
      </x:c>
      <x:c r="H37" s="26" t="str">
        <x:v>宽口径原始方向拆分</x:v>
      </x:c>
      <x:c r="I37" s="26" t="str">
        <x:v>新材料产业链/上游/矿物、化工与基础材料原料</x:v>
      </x:c>
    </x:row>
    <x:row r="38" ht="34" customHeight="1">
      <x:c r="A38" s="26" t="str">
        <x:v>IC12</x:v>
      </x:c>
      <x:c r="B38" s="26" t="str">
        <x:v>新材料产业链</x:v>
      </x:c>
      <x:c r="C38" s="26" t="str">
        <x:v>中游</x:v>
      </x:c>
      <x:c r="D38" s="26" t="str">
        <x:v>ICN035</x:v>
      </x:c>
      <x:c r="E38" s="26" t="str">
        <x:v>先进材料制备与加工</x:v>
      </x:c>
      <x:c r="F38" s="26" t="str">
        <x:v>新材料</x:v>
      </x:c>
      <x:c r="G38" s="30" t="n">
        <x:v>41848</x:v>
      </x:c>
      <x:c r="H38" s="26" t="str">
        <x:v>宽口径原始方向拆分</x:v>
      </x:c>
      <x:c r="I38" s="26" t="str">
        <x:v>新材料产业链/中游/先进材料制备与加工</x:v>
      </x:c>
    </x:row>
    <x:row r="39" ht="34" customHeight="1">
      <x:c r="A39" s="26" t="str">
        <x:v>IC12</x:v>
      </x:c>
      <x:c r="B39" s="26" t="str">
        <x:v>新材料产业链</x:v>
      </x:c>
      <x:c r="C39" s="26" t="str">
        <x:v>下游</x:v>
      </x:c>
      <x:c r="D39" s="26" t="str">
        <x:v>ICN036</x:v>
      </x:c>
      <x:c r="E39" s="26" t="str">
        <x:v>材料应用与高端制造配套</x:v>
      </x:c>
      <x:c r="F39" s="26" t="str">
        <x:v>新材料</x:v>
      </x:c>
      <x:c r="G39" s="30" t="n">
        <x:v>41848</x:v>
      </x:c>
      <x:c r="H39" s="26" t="str">
        <x:v>宽口径原始方向拆分</x:v>
      </x:c>
      <x:c r="I39" s="26" t="str">
        <x:v>新材料产业链/下游/材料应用与高端制造配套</x:v>
      </x:c>
    </x:row>
    <x:row r="40" ht="34" customHeight="1">
      <x:c r="A40" s="26" t="str">
        <x:v>IC13</x:v>
      </x:c>
      <x:c r="B40" s="26" t="str">
        <x:v>空天装备与低空经济产业链</x:v>
      </x:c>
      <x:c r="C40" s="26" t="str">
        <x:v>上游</x:v>
      </x:c>
      <x:c r="D40" s="26" t="str">
        <x:v>ICN037</x:v>
      </x:c>
      <x:c r="E40" s="26" t="str">
        <x:v>航空航天材料、零部件与核心系统</x:v>
      </x:c>
      <x:c r="F40" s="26" t="str">
        <x:v>空天装备、航空航天装备</x:v>
      </x:c>
      <x:c r="G40" s="30" t="n">
        <x:v>40738</x:v>
      </x:c>
      <x:c r="H40" s="26" t="str">
        <x:v>原始方向+标准链推导</x:v>
      </x:c>
      <x:c r="I40" s="26" t="str">
        <x:v>空天装备与低空经济产业链/上游/航空航天材料、零部件与核心系统</x:v>
      </x:c>
    </x:row>
    <x:row r="41" ht="34" customHeight="1">
      <x:c r="A41" s="26" t="str">
        <x:v>IC13</x:v>
      </x:c>
      <x:c r="B41" s="26" t="str">
        <x:v>空天装备与低空经济产业链</x:v>
      </x:c>
      <x:c r="C41" s="26" t="str">
        <x:v>中游</x:v>
      </x:c>
      <x:c r="D41" s="26" t="str">
        <x:v>ICN038</x:v>
      </x:c>
      <x:c r="E41" s="26" t="str">
        <x:v>空天装备制造与低空飞行器</x:v>
      </x:c>
      <x:c r="F41" s="26" t="str">
        <x:v>空天装备、航空航天装备、低空经济</x:v>
      </x:c>
      <x:c r="G41" s="30" t="n">
        <x:v>42312</x:v>
      </x:c>
      <x:c r="H41" s="26" t="str">
        <x:v>原始方向+标准链推导</x:v>
      </x:c>
      <x:c r="I41" s="26" t="str">
        <x:v>空天装备与低空经济产业链/中游/空天装备制造与低空飞行器</x:v>
      </x:c>
    </x:row>
    <x:row r="42" ht="34" customHeight="1">
      <x:c r="A42" s="26" t="str">
        <x:v>IC13</x:v>
      </x:c>
      <x:c r="B42" s="26" t="str">
        <x:v>空天装备与低空经济产业链</x:v>
      </x:c>
      <x:c r="C42" s="26" t="str">
        <x:v>下游</x:v>
      </x:c>
      <x:c r="D42" s="26" t="str">
        <x:v>ICN039</x:v>
      </x:c>
      <x:c r="E42" s="26" t="str">
        <x:v>低空运营、空域服务与场景应用</x:v>
      </x:c>
      <x:c r="F42" s="26" t="str">
        <x:v>低空经济</x:v>
      </x:c>
      <x:c r="G42" s="30" t="n">
        <x:v>1574</x:v>
      </x:c>
      <x:c r="H42" s="26" t="str">
        <x:v>原始方向+标准链推导</x:v>
      </x:c>
      <x:c r="I42" s="26" t="str">
        <x:v>空天装备与低空经济产业链/下游/低空运营、空域服务与场景应用</x:v>
      </x:c>
    </x:row>
    <x:row r="43" ht="34" customHeight="1">
      <x:c r="A43" s="26" t="str">
        <x:v>IC14</x:v>
      </x:c>
      <x:c r="B43" s="26" t="str">
        <x:v>机器人产业链</x:v>
      </x:c>
      <x:c r="C43" s="26" t="str">
        <x:v>上游</x:v>
      </x:c>
      <x:c r="D43" s="26" t="str">
        <x:v>ICN040</x:v>
      </x:c>
      <x:c r="E43" s="26" t="str">
        <x:v>核心零部件、控制器与传感系统</x:v>
      </x:c>
      <x:c r="F43" s="26" t="str">
        <x:v>机器人综合、机器人补充清单、工业机器人、人形机器人</x:v>
      </x:c>
      <x:c r="G43" s="30" t="n">
        <x:v>39862</x:v>
      </x:c>
      <x:c r="H43" s="26" t="str">
        <x:v>标准链推导</x:v>
      </x:c>
      <x:c r="I43" s="26" t="str">
        <x:v>机器人产业链/上游/核心零部件、控制器与传感系统</x:v>
      </x:c>
    </x:row>
    <x:row r="44" ht="34" customHeight="1">
      <x:c r="A44" s="26" t="str">
        <x:v>IC14</x:v>
      </x:c>
      <x:c r="B44" s="26" t="str">
        <x:v>机器人产业链</x:v>
      </x:c>
      <x:c r="C44" s="26" t="str">
        <x:v>中游</x:v>
      </x:c>
      <x:c r="D44" s="26" t="str">
        <x:v>ICN041</x:v>
      </x:c>
      <x:c r="E44" s="26" t="str">
        <x:v>机器人本体制造与系统集成</x:v>
      </x:c>
      <x:c r="F44" s="26" t="str">
        <x:v>机器人综合、机器人补充清单、工业机器人、人形机器人</x:v>
      </x:c>
      <x:c r="G44" s="30" t="n">
        <x:v>39862</x:v>
      </x:c>
      <x:c r="H44" s="26" t="str">
        <x:v>原始方向+标准链推导</x:v>
      </x:c>
      <x:c r="I44" s="26" t="str">
        <x:v>机器人产业链/中游/机器人本体制造与系统集成</x:v>
      </x:c>
    </x:row>
    <x:row r="45" ht="34" customHeight="1">
      <x:c r="A45" s="26" t="str">
        <x:v>IC14</x:v>
      </x:c>
      <x:c r="B45" s="26" t="str">
        <x:v>机器人产业链</x:v>
      </x:c>
      <x:c r="C45" s="26" t="str">
        <x:v>下游</x:v>
      </x:c>
      <x:c r="D45" s="26" t="str">
        <x:v>ICN042</x:v>
      </x:c>
      <x:c r="E45" s="26" t="str">
        <x:v>工业、服务与特种场景应用</x:v>
      </x:c>
      <x:c r="F45" s="26" t="str">
        <x:v>机器人综合、机器人补充清单、工业机器人、人形机器人</x:v>
      </x:c>
      <x:c r="G45" s="30" t="n">
        <x:v>39862</x:v>
      </x:c>
      <x:c r="H45" s="26" t="str">
        <x:v>标准链推导</x:v>
      </x:c>
      <x:c r="I45" s="26" t="str">
        <x:v>机器人产业链/下游/工业、服务与特种场景应用</x:v>
      </x:c>
    </x:row>
    <x:row r="46" ht="34" customHeight="1">
      <x:c r="A46" s="26" t="str">
        <x:v>IC15</x:v>
      </x:c>
      <x:c r="B46" s="26" t="str">
        <x:v>人工智能产业链</x:v>
      </x:c>
      <x:c r="C46" s="26" t="str">
        <x:v>上游</x:v>
      </x:c>
      <x:c r="D46" s="26" t="str">
        <x:v>ICN043</x:v>
      </x:c>
      <x:c r="E46" s="26" t="str">
        <x:v>数据、算力与模型基础</x:v>
      </x:c>
      <x:c r="F46" s="26" t="str">
        <x:v>人工智能</x:v>
      </x:c>
      <x:c r="G46" s="30" t="n">
        <x:v>22251</x:v>
      </x:c>
      <x:c r="H46" s="26" t="str">
        <x:v>标准链推导</x:v>
      </x:c>
      <x:c r="I46" s="26" t="str">
        <x:v>人工智能产业链/上游/数据、算力与模型基础</x:v>
      </x:c>
    </x:row>
    <x:row r="47" ht="34" customHeight="1">
      <x:c r="A47" s="26" t="str">
        <x:v>IC15</x:v>
      </x:c>
      <x:c r="B47" s="26" t="str">
        <x:v>人工智能产业链</x:v>
      </x:c>
      <x:c r="C47" s="26" t="str">
        <x:v>中游</x:v>
      </x:c>
      <x:c r="D47" s="26" t="str">
        <x:v>ICN044</x:v>
      </x:c>
      <x:c r="E47" s="26" t="str">
        <x:v>智能感知、语音视觉与平台工具</x:v>
      </x:c>
      <x:c r="F47" s="26" t="str">
        <x:v>人工智能、智能视觉、智能语音识别</x:v>
      </x:c>
      <x:c r="G47" s="30" t="n">
        <x:v>33975</x:v>
      </x:c>
      <x:c r="H47" s="26" t="str">
        <x:v>原始方向+标准链推导</x:v>
      </x:c>
      <x:c r="I47" s="26" t="str">
        <x:v>人工智能产业链/中游/智能感知、语音视觉与平台工具</x:v>
      </x:c>
    </x:row>
    <x:row r="48" ht="34" customHeight="1">
      <x:c r="A48" s="26" t="str">
        <x:v>IC15</x:v>
      </x:c>
      <x:c r="B48" s="26" t="str">
        <x:v>人工智能产业链</x:v>
      </x:c>
      <x:c r="C48" s="26" t="str">
        <x:v>下游</x:v>
      </x:c>
      <x:c r="D48" s="26" t="str">
        <x:v>ICN045</x:v>
      </x:c>
      <x:c r="E48" s="26" t="str">
        <x:v>行业智能化应用与AI服务</x:v>
      </x:c>
      <x:c r="F48" s="26" t="str">
        <x:v>人工智能、智能视觉、智能语音识别</x:v>
      </x:c>
      <x:c r="G48" s="30" t="n">
        <x:v>33975</x:v>
      </x:c>
      <x:c r="H48" s="26" t="str">
        <x:v>标准链推导</x:v>
      </x:c>
      <x:c r="I48" s="26" t="str">
        <x:v>人工智能产业链/下游/行业智能化应用与AI服务</x:v>
      </x:c>
    </x:row>
    <x:row r="49" ht="34" customHeight="1">
      <x:c r="A49" s="26" t="str">
        <x:v>IC16</x:v>
      </x:c>
      <x:c r="B49" s="26" t="str">
        <x:v>半导体与集成电路产业链</x:v>
      </x:c>
      <x:c r="C49" s="26" t="str">
        <x:v>上游</x:v>
      </x:c>
      <x:c r="D49" s="26" t="str">
        <x:v>ICN046</x:v>
      </x:c>
      <x:c r="E49" s="26" t="str">
        <x:v>半导体材料与制造设备</x:v>
      </x:c>
      <x:c r="F49" s="26" t="str">
        <x:v>半导体材料、半导体设备</x:v>
      </x:c>
      <x:c r="G49" s="30" t="n">
        <x:v>2338</x:v>
      </x:c>
      <x:c r="H49" s="26" t="str">
        <x:v>原始方向+标准链推导</x:v>
      </x:c>
      <x:c r="I49" s="26" t="str">
        <x:v>半导体与集成电路产业链/上游/半导体材料与制造设备</x:v>
      </x:c>
    </x:row>
    <x:row r="50" ht="34" customHeight="1">
      <x:c r="A50" s="26" t="str">
        <x:v>IC16</x:v>
      </x:c>
      <x:c r="B50" s="26" t="str">
        <x:v>半导体与集成电路产业链</x:v>
      </x:c>
      <x:c r="C50" s="26" t="str">
        <x:v>中游</x:v>
      </x:c>
      <x:c r="D50" s="26" t="str">
        <x:v>ICN047</x:v>
      </x:c>
      <x:c r="E50" s="26" t="str">
        <x:v>芯片设计、制造、封测与集成电路</x:v>
      </x:c>
      <x:c r="F50" s="26" t="str">
        <x:v>半导体、集成电路</x:v>
      </x:c>
      <x:c r="G50" s="30" t="n">
        <x:v>32009</x:v>
      </x:c>
      <x:c r="H50" s="26" t="str">
        <x:v>原始方向+标准链推导</x:v>
      </x:c>
      <x:c r="I50" s="26" t="str">
        <x:v>半导体与集成电路产业链/中游/芯片设计、制造、封测与集成电路</x:v>
      </x:c>
    </x:row>
    <x:row r="51" ht="34" customHeight="1">
      <x:c r="A51" s="26" t="str">
        <x:v>IC16</x:v>
      </x:c>
      <x:c r="B51" s="26" t="str">
        <x:v>半导体与集成电路产业链</x:v>
      </x:c>
      <x:c r="C51" s="26" t="str">
        <x:v>下游</x:v>
      </x:c>
      <x:c r="D51" s="26" t="str">
        <x:v>ICN048</x:v>
      </x:c>
      <x:c r="E51" s="26" t="str">
        <x:v>电子终端、汽车与工业芯片应用</x:v>
      </x:c>
      <x:c r="F51" s="26" t="str">
        <x:v>半导体、集成电路</x:v>
      </x:c>
      <x:c r="G51" s="30" t="n">
        <x:v>32009</x:v>
      </x:c>
      <x:c r="H51" s="26" t="str">
        <x:v>标准链推导</x:v>
      </x:c>
      <x:c r="I51" s="26" t="str">
        <x:v>半导体与集成电路产业链/下游/电子终端、汽车与工业芯片应用</x:v>
      </x:c>
    </x:row>
    <x:row r="52" ht="34" customHeight="1">
      <x:c r="A52" s="26" t="str">
        <x:v>IC17</x:v>
      </x:c>
      <x:c r="B52" s="26" t="str">
        <x:v>纺织产业链</x:v>
      </x:c>
      <x:c r="C52" s="26" t="str">
        <x:v>上游</x:v>
      </x:c>
      <x:c r="D52" s="26" t="str">
        <x:v>ICN049</x:v>
      </x:c>
      <x:c r="E52" s="26" t="str">
        <x:v>纤维原料与纺织材料</x:v>
      </x:c>
      <x:c r="F52" s="26" t="str">
        <x:v>纺织</x:v>
      </x:c>
      <x:c r="G52" s="30" t="n">
        <x:v>24699</x:v>
      </x:c>
      <x:c r="H52" s="26" t="str">
        <x:v>宽口径原始方向拆分</x:v>
      </x:c>
      <x:c r="I52" s="26" t="str">
        <x:v>纺织产业链/上游/纤维原料与纺织材料</x:v>
      </x:c>
    </x:row>
    <x:row r="53" ht="34" customHeight="1">
      <x:c r="A53" s="26" t="str">
        <x:v>IC17</x:v>
      </x:c>
      <x:c r="B53" s="26" t="str">
        <x:v>纺织产业链</x:v>
      </x:c>
      <x:c r="C53" s="26" t="str">
        <x:v>中游</x:v>
      </x:c>
      <x:c r="D53" s="26" t="str">
        <x:v>ICN050</x:v>
      </x:c>
      <x:c r="E53" s="26" t="str">
        <x:v>纺纱织造、印染与面料制造</x:v>
      </x:c>
      <x:c r="F53" s="26" t="str">
        <x:v>纺织</x:v>
      </x:c>
      <x:c r="G53" s="30" t="n">
        <x:v>24699</x:v>
      </x:c>
      <x:c r="H53" s="26" t="str">
        <x:v>宽口径原始方向拆分</x:v>
      </x:c>
      <x:c r="I53" s="26" t="str">
        <x:v>纺织产业链/中游/纺纱织造、印染与面料制造</x:v>
      </x:c>
    </x:row>
    <x:row r="54" ht="34" customHeight="1">
      <x:c r="A54" s="26" t="str">
        <x:v>IC17</x:v>
      </x:c>
      <x:c r="B54" s="26" t="str">
        <x:v>纺织产业链</x:v>
      </x:c>
      <x:c r="C54" s="26" t="str">
        <x:v>下游</x:v>
      </x:c>
      <x:c r="D54" s="26" t="str">
        <x:v>ICN051</x:v>
      </x:c>
      <x:c r="E54" s="26" t="str">
        <x:v>服装家纺、品牌渠道与终端消费</x:v>
      </x:c>
      <x:c r="F54" s="26" t="str">
        <x:v>纺织</x:v>
      </x:c>
      <x:c r="G54" s="30" t="n">
        <x:v>24699</x:v>
      </x:c>
      <x:c r="H54" s="26" t="str">
        <x:v>宽口径原始方向拆分</x:v>
      </x:c>
      <x:c r="I54" s="26" t="str">
        <x:v>纺织产业链/下游/服装家纺、品牌渠道与终端消费</x:v>
      </x:c>
    </x:row>
    <x:row r="55" ht="34" customHeight="1">
      <x:c r="A55" s="26" t="str">
        <x:v>IC18</x:v>
      </x:c>
      <x:c r="B55" s="26" t="str">
        <x:v>新型显示与虚拟现实产业链</x:v>
      </x:c>
      <x:c r="C55" s="26" t="str">
        <x:v>上游</x:v>
      </x:c>
      <x:c r="D55" s="26" t="str">
        <x:v>ICN052</x:v>
      </x:c>
      <x:c r="E55" s="26" t="str">
        <x:v>显示材料、光学器件与核心部件</x:v>
      </x:c>
      <x:c r="F55" s="26" t="str">
        <x:v>新型显示、显示屏、虚拟现实VR</x:v>
      </x:c>
      <x:c r="G55" s="30" t="n">
        <x:v>23556</x:v>
      </x:c>
      <x:c r="H55" s="26" t="str">
        <x:v>标准链推导</x:v>
      </x:c>
      <x:c r="I55" s="26" t="str">
        <x:v>新型显示与虚拟现实产业链/上游/显示材料、光学器件与核心部件</x:v>
      </x:c>
    </x:row>
    <x:row r="56" ht="34" customHeight="1">
      <x:c r="A56" s="26" t="str">
        <x:v>IC18</x:v>
      </x:c>
      <x:c r="B56" s="26" t="str">
        <x:v>新型显示与虚拟现实产业链</x:v>
      </x:c>
      <x:c r="C56" s="26" t="str">
        <x:v>中游</x:v>
      </x:c>
      <x:c r="D56" s="26" t="str">
        <x:v>ICN053</x:v>
      </x:c>
      <x:c r="E56" s="26" t="str">
        <x:v>显示面板、终端与VR设备制造</x:v>
      </x:c>
      <x:c r="F56" s="26" t="str">
        <x:v>新型显示、显示屏、虚拟现实VR</x:v>
      </x:c>
      <x:c r="G56" s="30" t="n">
        <x:v>23556</x:v>
      </x:c>
      <x:c r="H56" s="26" t="str">
        <x:v>原始方向+标准链推导</x:v>
      </x:c>
      <x:c r="I56" s="26" t="str">
        <x:v>新型显示与虚拟现实产业链/中游/显示面板、终端与VR设备制造</x:v>
      </x:c>
    </x:row>
    <x:row r="57" ht="34" customHeight="1">
      <x:c r="A57" s="26" t="str">
        <x:v>IC18</x:v>
      </x:c>
      <x:c r="B57" s="26" t="str">
        <x:v>新型显示与虚拟现实产业链</x:v>
      </x:c>
      <x:c r="C57" s="26" t="str">
        <x:v>下游</x:v>
      </x:c>
      <x:c r="D57" s="26" t="str">
        <x:v>ICN054</x:v>
      </x:c>
      <x:c r="E57" s="26" t="str">
        <x:v>沉浸式内容、行业应用与消费场景</x:v>
      </x:c>
      <x:c r="F57" s="26" t="str">
        <x:v>虚拟现实VR、显示屏</x:v>
      </x:c>
      <x:c r="G57" s="30" t="n">
        <x:v>22382</x:v>
      </x:c>
      <x:c r="H57" s="26" t="str">
        <x:v>标准链推导</x:v>
      </x:c>
      <x:c r="I57" s="26" t="str">
        <x:v>新型显示与虚拟现实产业链/下游/沉浸式内容、行业应用与消费场景</x:v>
      </x:c>
    </x:row>
    <x:row r="58" ht="34" customHeight="1">
      <x:c r="A58" s="26" t="str">
        <x:v>IC19</x:v>
      </x:c>
      <x:c r="B58" s="26" t="str">
        <x:v>软件与数字安全产业链</x:v>
      </x:c>
      <x:c r="C58" s="26" t="str">
        <x:v>上游</x:v>
      </x:c>
      <x:c r="D58" s="26" t="str">
        <x:v>ICN055</x:v>
      </x:c>
      <x:c r="E58" s="26" t="str">
        <x:v>基础软件、密码与可信技术</x:v>
      </x:c>
      <x:c r="F58" s="26" t="str">
        <x:v>国产软件、区块链、网络安全</x:v>
      </x:c>
      <x:c r="G58" s="30" t="n">
        <x:v>14606</x:v>
      </x:c>
      <x:c r="H58" s="26" t="str">
        <x:v>标准链推导</x:v>
      </x:c>
      <x:c r="I58" s="26" t="str">
        <x:v>软件与数字安全产业链/上游/基础软件、密码与可信技术</x:v>
      </x:c>
    </x:row>
    <x:row r="59" ht="34" customHeight="1">
      <x:c r="A59" s="26" t="str">
        <x:v>IC19</x:v>
      </x:c>
      <x:c r="B59" s="26" t="str">
        <x:v>软件与数字安全产业链</x:v>
      </x:c>
      <x:c r="C59" s="26" t="str">
        <x:v>中游</x:v>
      </x:c>
      <x:c r="D59" s="26" t="str">
        <x:v>ICN056</x:v>
      </x:c>
      <x:c r="E59" s="26" t="str">
        <x:v>应用软件、区块链平台与安全产品</x:v>
      </x:c>
      <x:c r="F59" s="26" t="str">
        <x:v>国产软件、区块链、网络安全</x:v>
      </x:c>
      <x:c r="G59" s="30" t="n">
        <x:v>14606</x:v>
      </x:c>
      <x:c r="H59" s="26" t="str">
        <x:v>原始方向+标准链推导</x:v>
      </x:c>
      <x:c r="I59" s="26" t="str">
        <x:v>软件与数字安全产业链/中游/应用软件、区块链平台与安全产品</x:v>
      </x:c>
    </x:row>
    <x:row r="60" ht="34" customHeight="1">
      <x:c r="A60" s="26" t="str">
        <x:v>IC19</x:v>
      </x:c>
      <x:c r="B60" s="26" t="str">
        <x:v>软件与数字安全产业链</x:v>
      </x:c>
      <x:c r="C60" s="26" t="str">
        <x:v>下游</x:v>
      </x:c>
      <x:c r="D60" s="26" t="str">
        <x:v>ICN057</x:v>
      </x:c>
      <x:c r="E60" s="26" t="str">
        <x:v>政企数字化、可信流通与安全运营</x:v>
      </x:c>
      <x:c r="F60" s="26" t="str">
        <x:v>国产软件、区块链、网络安全</x:v>
      </x:c>
      <x:c r="G60" s="30" t="n">
        <x:v>14606</x:v>
      </x:c>
      <x:c r="H60" s="26" t="str">
        <x:v>标准链推导</x:v>
      </x:c>
      <x:c r="I60" s="26" t="str">
        <x:v>软件与数字安全产业链/下游/政企数字化、可信流通与安全运营</x:v>
      </x:c>
    </x:row>
  </x:sheetData>
  <x:mergeCells>
    <x:mergeCell ref="A1:I1"/>
    <x:mergeCell ref="A2:I2"/>
  </x:mergeCells>
  <x:pageMargins left="0.7" right="0.7" top="0.75" bottom="0.75" header="0.3" footer="0.3"/>
  <x:tableParts count="1">
    <x:tablePart xmlns:r="http://schemas.openxmlformats.org/officeDocument/2006/relationships" r:id="R6f49036274054805"/>
  </x:tableParts>
</x:worksheet>
</file>