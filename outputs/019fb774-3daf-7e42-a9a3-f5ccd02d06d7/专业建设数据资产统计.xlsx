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1400806af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统计" sheetId="1" r:id="R8e0d2f0037134bef"/>
    <x:sheet xmlns:r="http://schemas.openxmlformats.org/officeDocument/2006/relationships" name="来源与口径" sheetId="2" r:id="R8478cf468fe4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9">
    <x:font>
      <x:sz val="11"/>
      <x:name val="Carlito"/>
    </x:font>
    <x:font>
      <x:b/>
      <x:sz val="18"/>
      <x:color rgb="FFFFFFFF"/>
      <x:name val="Microsoft YaHei"/>
    </x:font>
    <x:font>
      <x:sz val="10"/>
      <x:color rgb="FF5B6472"/>
      <x:name val="Microsoft YaHei"/>
    </x:font>
    <x:font>
      <x:b/>
      <x:sz val="10"/>
      <x:color rgb="FFFFFFFF"/>
      <x:name val="Microsoft YaHei"/>
    </x:font>
    <x:font>
      <x:b/>
      <x:sz val="14"/>
      <x:color rgb="FF123B5D"/>
      <x:name val="Microsoft YaHei"/>
    </x:font>
    <x:font>
      <x:b/>
      <x:sz val="11"/>
      <x:color rgb="FF1F2937"/>
      <x:name val="Microsoft YaHei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23B5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8F1F8"/>
      </x:patternFill>
    </x:fill>
    <x:fill>
      <x:patternFill patternType="solid">
        <x:fgColor rgb="FF0F766E"/>
      </x:patternFill>
    </x:fill>
    <x:fill>
      <x:patternFill patternType="solid">
        <x:fgColor rgb="FFDDF4F0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left style="thin">
        <x:color rgb="FFD7DEE7"/>
      </x:left>
      <x:bottom style="thin">
        <x:color rgb="FFD7DEE7"/>
      </x:bottom>
    </x:border>
    <x:border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3" xfId="0" applyNumberFormat="1" applyFont="1" applyFill="1" applyBorder="1"/>
    <x:xf numFmtId="0" fontId="2" fillId="6" borderId="4" xfId="0" applyNumberFormat="1" applyFont="1" applyFill="1" applyBorder="1"/>
    <x:xf numFmtId="0" fontId="2" fillId="6" borderId="5" xfId="0" applyNumberFormat="1" applyFont="1" applyFill="1" applyBorder="1"/>
    <x:xf numFmtId="0" fontId="2" fillId="6" borderId="6" xfId="0" applyNumberFormat="1" applyFont="1" applyFill="1" applyBorder="1"/>
    <x:xf numFmtId="0" fontId="2" fillId="6" borderId="7" xfId="0" applyNumberFormat="1" applyFont="1" applyFill="1" applyBorder="1"/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2" fillId="6" borderId="3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7" xfId="0" applyNumberFormat="1" applyFont="1" applyFill="1" applyBorder="1" applyAlignment="1">
      <x:alignment wrapText="1"/>
    </x:xf>
    <x:xf numFmtId="0" fontId="2" fillId="6" borderId="8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7" xfId="0" applyNumberFormat="1" applyFont="1" applyFill="1" applyBorder="1" applyAlignment="1">
      <x:alignment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0" fontId="2" fillId="6" borderId="1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53df672e341e8" /><Relationship Type="http://schemas.openxmlformats.org/officeDocument/2006/relationships/theme" Target="/xl/theme/theme1.xml" Id="R3e08682ed2ce4c5a" /><Relationship Type="http://schemas.openxmlformats.org/officeDocument/2006/relationships/sharedStrings" Target="/xl/sharedStrings.xml" Id="Rbdac23ea7b7642a4" /><Relationship Type="http://schemas.openxmlformats.org/officeDocument/2006/relationships/worksheet" Target="/xl/worksheets/sheet1.xml" Id="R8e0d2f0037134bef" /><Relationship Type="http://schemas.openxmlformats.org/officeDocument/2006/relationships/worksheet" Target="/xl/worksheets/sheet2.xml" Id="R8478cf468fe44077" /></Relationships>
</file>

<file path=xl/tables/table1.xml><?xml version="1.0" encoding="utf-8"?>
<x:table xmlns:x="http://schemas.openxmlformats.org/spreadsheetml/2006/main" id="1" name="DataAssetSummary" displayName="DataAssetSummary" ref="A7:H15" headerRowCount="1" totalsRowCount="0" totalsRowShown="0">
  <x:autoFilter ref="A7:H15"/>
  <x:tableColumns count="8">
    <x:tableColumn id="1" name="序号"/>
    <x:tableColumn id="2" name="数据维度"/>
    <x:tableColumn id="3" name="数量"/>
    <x:tableColumn id="4" name="单位"/>
    <x:tableColumn id="5" name="具体来源"/>
    <x:tableColumn id="6" name="统计口径"/>
    <x:tableColumn id="7" name="补充说明"/>
    <x:tableColumn id="8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Parameters" displayName="KeyParameters" ref="A3:C11" headerRowCount="1" totalsRowCount="0" totalsRowShown="0">
  <x:tableColumns count="3">
    <x:tableColumn id="1" name="关键参数"/>
    <x:tableColumn id="2" name="数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004cfc84494a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a794253e6d40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3" hidden="0" customWidth="1"/>
    <x:col min="4" max="4" width="8" hidden="0" customWidth="1"/>
    <x:col min="5" max="5" width="36" hidden="0" customWidth="1"/>
    <x:col min="6" max="6" width="29" hidden="0" customWidth="1"/>
    <x:col min="7" max="7" width="44" hidden="0" customWidth="1"/>
    <x:col min="8" max="8" width="12" hidden="0" customWidth="1"/>
  </x:cols>
  <x:sheetData>
    <x:row r="1" ht="34" customHeight="1">
      <x:c r="A1" s="4" t="str">
        <x:v>专业建设数据资产统计</x:v>
      </x:c>
      <x:c r="B1" s="4"/>
      <x:c r="C1" s="4"/>
      <x:c r="D1" s="4"/>
      <x:c r="E1" s="4"/>
      <x:c r="F1" s="4"/>
      <x:c r="G1" s="4"/>
      <x:c r="H1" s="4"/>
    </x:row>
    <x:row r="2" ht="24" customHeight="1">
      <x:c r="A2" s="8" t="str">
        <x:v>按主键去重或有效唯一记录口径统计｜统计日期：2026-07-31</x:v>
      </x:c>
      <x:c r="B2" s="8"/>
      <x:c r="C2" s="8"/>
      <x:c r="D2" s="8"/>
      <x:c r="E2" s="8"/>
      <x:c r="F2" s="8"/>
      <x:c r="G2" s="8"/>
      <x:c r="H2" s="8"/>
    </x:row>
    <x:row r="4" ht="32" customHeight="1">
      <x:c r="A4" s="13" t="str">
        <x:v>数据维度数</x:v>
      </x:c>
      <x:c r="B4" s="21" t="n">
        <x:f>COUNTA(B8:B15)</x:f>
        <x:v>8</x:v>
      </x:c>
      <x:c r="C4" s="13" t="str">
        <x:v>招聘有效率</x:v>
      </x:c>
      <x:c r="D4" s="19" t="n">
        <x:f>'来源与口径'!B5/'来源与口径'!B4</x:f>
        <x:v>0.9963130223218377</x:v>
      </x:c>
      <x:c r="E4" s="20" t="str">
        <x:v>岗位关联率</x:v>
      </x:c>
      <x:c r="F4" s="19" t="n">
        <x:f>'来源与口径'!B9/'来源与口径'!B8</x:f>
        <x:v>0.4756637168141593</x:v>
      </x:c>
      <x:c r="G4" s="20" t="str">
        <x:v>专业关联率</x:v>
      </x:c>
      <x:c r="H4" s="19" t="n">
        <x:f>'来源与口径'!B11/'来源与口径'!B10</x:f>
        <x:v>0.3183940242763772</x:v>
      </x:c>
    </x:row>
    <x:row r="7">
      <x:c r="A7" s="25" t="str">
        <x:v>序号</x:v>
      </x:c>
      <x:c r="B7" s="25" t="str">
        <x:v>数据维度</x:v>
      </x:c>
      <x:c r="C7" s="25" t="str">
        <x:v>数量</x:v>
      </x:c>
      <x:c r="D7" s="25" t="str">
        <x:v>单位</x:v>
      </x:c>
      <x:c r="E7" s="25" t="str">
        <x:v>具体来源</x:v>
      </x:c>
      <x:c r="F7" s="25" t="str">
        <x:v>统计口径</x:v>
      </x:c>
      <x:c r="G7" s="25" t="str">
        <x:v>补充说明</x:v>
      </x:c>
      <x:c r="H7" s="25" t="str">
        <x:v>状态</x:v>
      </x:c>
    </x:row>
    <x:row r="8" ht="42" customHeight="1">
      <x:c r="A8" s="26" t="n">
        <x:v>1</x:v>
      </x:c>
      <x:c r="B8" s="27" t="str">
        <x:v>产业链</x:v>
      </x:c>
      <x:c r="C8" s="29" t="n">
        <x:v>19</x:v>
      </x:c>
      <x:c r="D8" s="26" t="str">
        <x:v>条</x:v>
      </x:c>
      <x:c r="E8" s="32" t="str">
        <x:v>企查查产业链企业数据＋本项目公开资料标准化</x:v>
      </x:c>
      <x:c r="F8" s="32" t="str">
        <x:v>按标准产业链名称去重</x:v>
      </x:c>
      <x:c r="G8" s="32" t="str">
        <x:v>源产业链129条归并为19条</x:v>
      </x:c>
      <x:c r="H8" s="26" t="str">
        <x:v>已核验</x:v>
      </x:c>
    </x:row>
    <x:row r="9" ht="42" customHeight="1">
      <x:c r="A9" s="26" t="n">
        <x:v>2</x:v>
      </x:c>
      <x:c r="B9" s="27" t="str">
        <x:v>产业环节</x:v>
      </x:c>
      <x:c r="C9" s="29" t="n">
        <x:v>57</x:v>
      </x:c>
      <x:c r="D9" s="26" t="str">
        <x:v>个</x:v>
      </x:c>
      <x:c r="E9" s="32" t="str">
        <x:v>企查查产业链节点数据＋中商产业研究院图谱</x:v>
      </x:c>
      <x:c r="F9" s="32" t="str">
        <x:v>按标准阶段环节ID去重</x:v>
      </x:c>
      <x:c r="G9" s="32" t="str">
        <x:v>另有10链精细节点1,133条</x:v>
      </x:c>
      <x:c r="H9" s="26" t="str">
        <x:v>已核验</x:v>
      </x:c>
    </x:row>
    <x:row r="10" ht="42" customHeight="1">
      <x:c r="A10" s="26" t="n">
        <x:v>3</x:v>
      </x:c>
      <x:c r="B10" s="27" t="str">
        <x:v>岗位</x:v>
      </x:c>
      <x:c r="C10" s="29" t="n">
        <x:v>1356</x:v>
      </x:c>
      <x:c r="D10" s="26" t="str">
        <x:v>条</x:v>
      </x:c>
      <x:c r="E10" s="32" t="str">
        <x:v>内部岗位库job_position＋人社部职业分类体系</x:v>
      </x:c>
      <x:c r="F10" s="32" t="str">
        <x:v>按岗位编码去重</x:v>
      </x:c>
      <x:c r="G10" s="32" t="str">
        <x:v>唯一岗位名称992个；已关联产业节点645条</x:v>
      </x:c>
      <x:c r="H10" s="26" t="str">
        <x:v>已核验</x:v>
      </x:c>
    </x:row>
    <x:row r="11" ht="42" customHeight="1">
      <x:c r="A11" s="26" t="n">
        <x:v>4</x:v>
      </x:c>
      <x:c r="B11" s="27" t="str">
        <x:v>招聘信息</x:v>
      </x:c>
      <x:c r="C11" s="29" t="n">
        <x:v>239149</x:v>
      </x:c>
      <x:c r="D11" s="26" t="str">
        <x:v>条</x:v>
      </x:c>
      <x:c r="E11" s="32" t="str">
        <x:v>智联招聘、前程无忧；全量库另含BOSS直聘等</x:v>
      </x:c>
      <x:c r="F11" s="32" t="str">
        <x:v>有效且唯一的招聘记录</x:v>
      </x:c>
      <x:c r="G11" s="32" t="str">
        <x:v>当前2014—2016批次；其余来源多为匿名编号或推测映射</x:v>
      </x:c>
      <x:c r="H11" s="26" t="str">
        <x:v>进行中</x:v>
      </x:c>
    </x:row>
    <x:row r="12" ht="42" customHeight="1">
      <x:c r="A12" s="26" t="n">
        <x:v>5</x:v>
      </x:c>
      <x:c r="B12" s="27" t="str">
        <x:v>专业</x:v>
      </x:c>
      <x:c r="C12" s="29" t="n">
        <x:v>2142</x:v>
      </x:c>
      <x:c r="D12" s="26" t="str">
        <x:v>个</x:v>
      </x:c>
      <x:c r="E12" s="32" t="str">
        <x:v>教育部本科专业目录（2025）＋职业教育专业目录（2021）</x:v>
      </x:c>
      <x:c r="F12" s="32" t="str">
        <x:v>按专业编码去重</x:v>
      </x:c>
      <x:c r="G12" s="32" t="str">
        <x:v>本科840个、职教1,302个；已关联产业链682个</x:v>
      </x:c>
      <x:c r="H12" s="26" t="str">
        <x:v>已核验</x:v>
      </x:c>
    </x:row>
    <x:row r="13" ht="42" customHeight="1">
      <x:c r="A13" s="26" t="n">
        <x:v>6</x:v>
      </x:c>
      <x:c r="B13" s="27" t="str">
        <x:v>行业</x:v>
      </x:c>
      <x:c r="C13" s="29" t="n">
        <x:v>1955</x:v>
      </x:c>
      <x:c r="D13" s="26" t="str">
        <x:v>个</x:v>
      </x:c>
      <x:c r="E13" s="32" t="str">
        <x:v>国家统计局／GB/T 4754—2017《国民经济行业分类》</x:v>
      </x:c>
      <x:c r="F13" s="32" t="str">
        <x:v>按国民经济行业代码去重</x:v>
      </x:c>
      <x:c r="G13" s="32" t="str">
        <x:v>源表1,956行，含1条重复代码</x:v>
      </x:c>
      <x:c r="H13" s="26" t="str">
        <x:v>已核验</x:v>
      </x:c>
    </x:row>
    <x:row r="14" ht="42" customHeight="1">
      <x:c r="A14" s="26" t="n">
        <x:v>7</x:v>
      </x:c>
      <x:c r="B14" s="27" t="str">
        <x:v>企业</x:v>
      </x:c>
      <x:c r="C14" s="29" t="n">
        <x:v>120029</x:v>
      </x:c>
      <x:c r="D14" s="26" t="str">
        <x:v>家</x:v>
      </x:c>
      <x:c r="E14" s="32" t="str">
        <x:v>招聘平台企业名称样本＋A股清单＋东方财富公司资料接口</x:v>
      </x:c>
      <x:c r="F14" s="32" t="str">
        <x:v>有效招聘记录中的企业名称字符串去重</x:v>
      </x:c>
      <x:c r="G14" s="32" t="str">
        <x:v>尚未全部完成统一社会信用代码级实体归一；另有A股主数据5,190家</x:v>
      </x:c>
      <x:c r="H14" s="26" t="str">
        <x:v>待归一</x:v>
      </x:c>
    </x:row>
    <x:row r="15" ht="42" customHeight="1">
      <x:c r="A15" s="26" t="n">
        <x:v>8</x:v>
      </x:c>
      <x:c r="B15" s="27" t="str">
        <x:v>职业</x:v>
      </x:c>
      <x:c r="C15" s="29" t="n">
        <x:v>92</x:v>
      </x:c>
      <x:c r="D15" s="26" t="str">
        <x:v>个</x:v>
      </x:c>
      <x:c r="E15" s="32" t="str">
        <x:v>人社部《职业分类大典》＋技能人才评价工作网</x:v>
      </x:c>
      <x:c r="F15" s="32" t="str">
        <x:v>按岗位主职业编码去重</x:v>
      </x:c>
      <x:c r="G15" s="32" t="str">
        <x:v>为当前1,356条岗位覆盖范围，不代表国家职业目录全量</x:v>
      </x:c>
      <x:c r="H15" s="26" t="str">
        <x:v>已核验</x:v>
      </x:c>
    </x:row>
    <x:row r="17">
      <x:c r="A17" s="34" t="str">
        <x:v>重要说明</x:v>
      </x:c>
      <x:c r="B17" s="34"/>
      <x:c r="C17" s="34"/>
      <x:c r="D17" s="34"/>
      <x:c r="E17" s="34"/>
      <x:c r="F17" s="34"/>
      <x:c r="G17" s="34"/>
      <x:c r="H17" s="34"/>
    </x:row>
    <x:row r="18" ht="28" customHeight="1">
      <x:c r="A18" s="54" t="str">
        <x:v>1. 招聘信息当前只统计已完成清洗的2014—2016年批次，2017—2025年尚未计入当前成果。</x:v>
      </x:c>
      <x:c r="B18" s="55"/>
      <x:c r="C18" s="55"/>
      <x:c r="D18" s="55"/>
      <x:c r="E18" s="55"/>
      <x:c r="F18" s="55"/>
      <x:c r="G18" s="55"/>
      <x:c r="H18" s="56"/>
    </x:row>
    <x:row r="19" ht="40" customHeight="1">
      <x:c r="A19" s="57" t="str">
        <x:v>2. 企业120,029家为企业名称字符串去重结果，适合作为“招聘企业样本”口径；对外表述为企业主数据时，建议使用已整理的5,190家A股上市公司清单，或完成统一社会信用代码级实体归一后再更新。</x:v>
      </x:c>
      <x:c r="B19" s="58"/>
      <x:c r="C19" s="58"/>
      <x:c r="D19" s="58"/>
      <x:c r="E19" s="58"/>
      <x:c r="F19" s="58"/>
      <x:c r="G19" s="58"/>
      <x:c r="H19" s="59"/>
    </x:row>
    <x:row r="20" ht="40" customHeight="1">
      <x:c r="A20" s="57"/>
      <x:c r="B20" s="58"/>
      <x:c r="C20" s="58"/>
      <x:c r="D20" s="58"/>
      <x:c r="E20" s="58"/>
      <x:c r="F20" s="58"/>
      <x:c r="G20" s="58"/>
      <x:c r="H20" s="59"/>
    </x:row>
    <x:row r="21" ht="44" customHeight="1">
      <x:c r="A21" s="57" t="str">
        <x:v>3. 招聘来源映射中，平台4=智联招聘、平台2=前程无忧、平台75=BOSS直聘为直接确认。当前239,149条仅覆盖2014—2016年，含智联招聘和前程无忧；BOSS直聘记录从2018年开始，未计入当前数量。58同城、智通直聘、赶集网、大街网等只能标注为推测来源。</x:v>
      </x:c>
      <x:c r="B21" s="58"/>
      <x:c r="C21" s="58"/>
      <x:c r="D21" s="58"/>
      <x:c r="E21" s="58"/>
      <x:c r="F21" s="58"/>
      <x:c r="G21" s="58"/>
      <x:c r="H21" s="59"/>
    </x:row>
    <x:row r="22" ht="44" customHeight="1">
      <x:c r="A22" s="60"/>
      <x:c r="B22" s="61"/>
      <x:c r="C22" s="61"/>
      <x:c r="D22" s="61"/>
      <x:c r="E22" s="61"/>
      <x:c r="F22" s="61"/>
      <x:c r="G22" s="61"/>
      <x:c r="H22" s="62"/>
    </x:row>
  </x:sheetData>
  <x:mergeCells>
    <x:mergeCell ref="A1:H1"/>
    <x:mergeCell ref="A2:H2"/>
    <x:mergeCell ref="A17:H17"/>
    <x:mergeCell ref="A18:H18"/>
    <x:mergeCell ref="A19:H20"/>
    <x:mergeCell ref="A21:H22"/>
  </x:mergeCells>
  <x:conditionalFormatting sqref="H8:H15">
    <x:cfRule type="containsText" dxfId="0" priority="1" operator="containsText" text="已核验"/>
    <x:cfRule type="containsText" dxfId="1" priority="2" operator="containsText" text="进行中"/>
    <x:cfRule type="containsText" dxfId="2" priority="3" operator="containsText" text="待归一"/>
  </x:conditionalFormatting>
  <x:pageMargins left="0.7" right="0.7" top="0.75" bottom="0.75" header="0.3" footer="0.3"/>
  <x:tableParts count="1">
    <x:tablePart xmlns:r="http://schemas.openxmlformats.org/officeDocument/2006/relationships" r:id="Ree004cfc84494a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28" hidden="0" customWidth="1"/>
    <x:col min="4" max="4" width="52" hidden="0" customWidth="1"/>
    <x:col min="5" max="5" width="62" hidden="0" customWidth="1"/>
    <x:col min="6" max="6" width="48" hidden="0" customWidth="1"/>
  </x:cols>
  <x:sheetData>
    <x:row r="1" ht="34" customHeight="1">
      <x:c r="A1" s="4" t="str">
        <x:v>来源与统计口径</x:v>
      </x:c>
      <x:c r="B1" s="4"/>
      <x:c r="C1" s="4"/>
      <x:c r="D1" s="4"/>
      <x:c r="E1" s="4"/>
      <x:c r="F1" s="4"/>
    </x:row>
    <x:row r="2" ht="24" customHeight="1">
      <x:c r="A2" s="8" t="str">
        <x:v>关键参数、源文件位置及统计边界，可用于后续复核和更新</x:v>
      </x:c>
      <x:c r="B2" s="8"/>
      <x:c r="C2" s="8"/>
      <x:c r="D2" s="8"/>
      <x:c r="E2" s="8"/>
      <x:c r="F2" s="8"/>
    </x:row>
    <x:row r="3">
      <x:c r="A3" s="63" t="str">
        <x:v>关键参数</x:v>
      </x:c>
      <x:c r="B3" s="63" t="str">
        <x:v>数值</x:v>
      </x:c>
      <x:c r="C3" s="63" t="str">
        <x:v>说明</x:v>
      </x:c>
    </x:row>
    <x:row r="4" ht="26" customHeight="1">
      <x:c r="A4" t="str">
        <x:v>招聘输入记录</x:v>
      </x:c>
      <x:c r="B4" s="28" t="n">
        <x:v>240034</x:v>
      </x:c>
      <x:c r="C4" t="str">
        <x:v>当前已处理批次输入总量</x:v>
      </x:c>
    </x:row>
    <x:row r="5" ht="26" customHeight="1">
      <x:c r="A5" t="str">
        <x:v>招聘有效唯一记录</x:v>
      </x:c>
      <x:c r="B5" s="28" t="n">
        <x:v>239149</x:v>
      </x:c>
      <x:c r="C5" t="str">
        <x:v>排除重复及无效记录后的数量</x:v>
      </x:c>
    </x:row>
    <x:row r="6" ht="26" customHeight="1">
      <x:c r="A6" t="str">
        <x:v>招聘重复记录</x:v>
      </x:c>
      <x:c r="B6" s="28" t="n">
        <x:v>53</x:v>
      </x:c>
      <x:c r="C6" t="str">
        <x:v>重复记录数量</x:v>
      </x:c>
    </x:row>
    <x:row r="7" ht="26" customHeight="1">
      <x:c r="A7" t="str">
        <x:v>招聘无效记录</x:v>
      </x:c>
      <x:c r="B7" s="28" t="n">
        <x:v>832</x:v>
      </x:c>
      <x:c r="C7" t="str">
        <x:v>字段缺失或不满足有效性规则的记录</x:v>
      </x:c>
    </x:row>
    <x:row r="8" ht="26" customHeight="1">
      <x:c r="A8" t="str">
        <x:v>岗位总数</x:v>
      </x:c>
      <x:c r="B8" s="28" t="n">
        <x:v>1356</x:v>
      </x:c>
      <x:c r="C8" t="str">
        <x:v>按position_id统计</x:v>
      </x:c>
    </x:row>
    <x:row r="9" ht="26" customHeight="1">
      <x:c r="A9" t="str">
        <x:v>岗位已关联产业节点</x:v>
      </x:c>
      <x:c r="B9" s="28" t="n">
        <x:v>645</x:v>
      </x:c>
      <x:c r="C9" t="str">
        <x:v>存在确定产业节点关联的岗位</x:v>
      </x:c>
    </x:row>
    <x:row r="10" ht="26" customHeight="1">
      <x:c r="A10" t="str">
        <x:v>专业总数</x:v>
      </x:c>
      <x:c r="B10" s="28" t="n">
        <x:v>2142</x:v>
      </x:c>
      <x:c r="C10" t="str">
        <x:v>本科840个＋职业教育1,302个</x:v>
      </x:c>
    </x:row>
    <x:row r="11" ht="26" customHeight="1">
      <x:c r="A11" t="str">
        <x:v>专业已关联产业链</x:v>
      </x:c>
      <x:c r="B11" s="28" t="n">
        <x:v>682</x:v>
      </x:c>
      <x:c r="C11" t="str">
        <x:v>本科190个＋职业教育492个</x:v>
      </x:c>
    </x:row>
    <x:row r="13">
      <x:c r="A13" s="64" t="str">
        <x:v>数据维度</x:v>
      </x:c>
      <x:c r="B13" s="64" t="str">
        <x:v>具体来源（机构／平台）</x:v>
      </x:c>
      <x:c r="C13" s="64" t="str">
        <x:v>来源级别</x:v>
      </x:c>
      <x:c r="D13" s="64" t="str">
        <x:v>来源链接／证据</x:v>
      </x:c>
      <x:c r="E13" s="64" t="str">
        <x:v>内部整理文件</x:v>
      </x:c>
      <x:c r="F13" s="64" t="str">
        <x:v>备注</x:v>
      </x:c>
    </x:row>
    <x:row r="14" ht="54" customHeight="1">
      <x:c r="A14" s="73" t="str">
        <x:v>产业链</x:v>
      </x:c>
      <x:c r="B14" s="68" t="str">
        <x:v>企查查产业链企业数据</x:v>
      </x:c>
      <x:c r="C14" s="68" t="str">
        <x:v>第三方企业信息平台／原始文件名可识别</x:v>
      </x:c>
      <x:c r="D14" s="68" t="str">
        <x:v>https://www.qcc.com/</x:v>
      </x:c>
      <x:c r="E14" s="68" t="str">
        <x:v>output/industry-chain-standardization/industry_chain_standardization_summary.csv</x:v>
      </x:c>
      <x:c r="F14" s="68" t="str">
        <x:v>原始文件夹大量保留“产业链企查查”标识；19条为本项目二次标准化结果</x:v>
      </x:c>
    </x:row>
    <x:row r="15" ht="54" customHeight="1">
      <x:c r="A15" s="71" t="str">
        <x:v>产业环节</x:v>
      </x:c>
      <x:c r="B15" s="69" t="str">
        <x:v>企查查产业链节点数据</x:v>
      </x:c>
      <x:c r="C15" s="69" t="str">
        <x:v>第三方企业信息平台／原始文件名可识别</x:v>
      </x:c>
      <x:c r="D15" s="69" t="str">
        <x:v>https://www.qcc.com/</x:v>
      </x:c>
      <x:c r="E15" s="69" t="str">
        <x:v>output/industry-chain-stage-nodes/industry_chain_stage_nodes.csv</x:v>
      </x:c>
      <x:c r="F15" s="69" t="str">
        <x:v>提供节点和企业样本基础</x:v>
      </x:c>
    </x:row>
    <x:row r="16" ht="54" customHeight="1">
      <x:c r="A16" s="71"/>
      <x:c r="B16" s="69" t="str">
        <x:v>中商产业研究院产业链图谱</x:v>
      </x:c>
      <x:c r="C16" s="69" t="str">
        <x:v>第三方行业研究参考</x:v>
      </x:c>
      <x:c r="D16" s="69" t="str">
        <x:v>https://www.askci.com/</x:v>
      </x:c>
      <x:c r="E16" s="69" t="str">
        <x:v>V1.0需求（2026.6.11）/官方数据/10个产业链节点汇总.xlsx</x:v>
      </x:c>
      <x:c r="F16" s="69" t="str">
        <x:v>用于新能源汽车、低空经济、人工智能等链条的上中下游结构校准</x:v>
      </x:c>
    </x:row>
    <x:row r="17" ht="54" customHeight="1">
      <x:c r="A17" s="73" t="str">
        <x:v>岗位</x:v>
      </x:c>
      <x:c r="B17" s="68" t="str">
        <x:v>内部岗位库job_position（source_module=industry_catalog）</x:v>
      </x:c>
      <x:c r="C17" s="68" t="str">
        <x:v>内部主数据</x:v>
      </x:c>
      <x:c r="D17" s="68" t="str">
        <x:v>无公开URL</x:v>
      </x:c>
      <x:c r="E17" s="68" t="str">
        <x:v>outputs/019f7e5b-0d35-7c91-a1ff-e290f4069b8a/source_rows.json</x:v>
      </x:c>
      <x:c r="F17" s="68" t="str">
        <x:v>1,356条岗位主数据；招聘记录再归一到该岗位库</x:v>
      </x:c>
    </x:row>
    <x:row r="18" ht="54" customHeight="1">
      <x:c r="A18" s="73"/>
      <x:c r="B18" s="68" t="str">
        <x:v>人社部职业分类体系</x:v>
      </x:c>
      <x:c r="C18" s="68" t="str">
        <x:v>官方职业标准／辅助映射</x:v>
      </x:c>
      <x:c r="D18" s="68" t="str">
        <x:v>https://www.mohrss.gov.cn/SYrlzyhshbzb/ztzl/zyflzd/zyfldg/</x:v>
      </x:c>
      <x:c r="E18" s="68" t="str">
        <x:v>V1.0需求（2026.6.11）/官方数据/DW_专业建设数据模型设计.xlsx</x:v>
      </x:c>
      <x:c r="F18" s="68" t="str">
        <x:v>为岗位补充国家职业编码和职业名称</x:v>
      </x:c>
    </x:row>
    <x:row r="19" ht="54" customHeight="1">
      <x:c r="A19" s="71" t="str">
        <x:v>招聘信息</x:v>
      </x:c>
      <x:c r="B19" s="69" t="str">
        <x:v>智联招聘（平台4）</x:v>
      </x:c>
      <x:c r="C19" s="69" t="str">
        <x:v>直接确认</x:v>
      </x:c>
      <x:c r="D19" s="69" t="str">
        <x:v>https://www.zhaopin.com/</x:v>
      </x:c>
      <x:c r="E19" s="69" t="str">
        <x:v>V1.0需求（2026.6.11）/官方数据/平台来源映射深挖版_2014-2025.xlsx</x:v>
      </x:c>
      <x:c r="F19" s="69" t="str">
        <x:v>当前2014—2016有效记录中9,572条</x:v>
      </x:c>
    </x:row>
    <x:row r="20" ht="54" customHeight="1">
      <x:c r="A20" s="71"/>
      <x:c r="B20" s="69" t="str">
        <x:v>前程无忧51job（平台2）</x:v>
      </x:c>
      <x:c r="C20" s="69" t="str">
        <x:v>直接确认</x:v>
      </x:c>
      <x:c r="D20" s="69" t="str">
        <x:v>https://www.51job.com/</x:v>
      </x:c>
      <x:c r="E20" s="69" t="str">
        <x:v>V1.0需求（2026.6.11）/官方数据/平台来源映射深挖版_2014-2025.xlsx</x:v>
      </x:c>
      <x:c r="F20" s="69" t="str">
        <x:v>当前2014—2016有效记录中6,519条</x:v>
      </x:c>
    </x:row>
    <x:row r="21" ht="54" customHeight="1">
      <x:c r="A21" s="71"/>
      <x:c r="B21" s="69" t="str">
        <x:v>BOSS直聘（平台75）</x:v>
      </x:c>
      <x:c r="C21" s="69" t="str">
        <x:v>直接确认／全量原始库</x:v>
      </x:c>
      <x:c r="D21" s="69" t="str">
        <x:v>https://www.zhipin.com/</x:v>
      </x:c>
      <x:c r="E21" s="69" t="str">
        <x:v>V1.0需求（2026.6.11）/官方数据/平台来源映射深挖版_2014-2025.xlsx</x:v>
      </x:c>
      <x:c r="F21" s="69" t="str">
        <x:v>全量库覆盖2018—2025年；不在当前2014—2016统计数量内</x:v>
      </x:c>
    </x:row>
    <x:row r="22" ht="54" customHeight="1">
      <x:c r="A22" s="71"/>
      <x:c r="B22" s="69" t="str">
        <x:v>58同城、智通直聘、赶集网、大街网、应届生求职网等</x:v>
      </x:c>
      <x:c r="C22" s="69" t="str">
        <x:v>较高可信推断，非官方编号字典</x:v>
      </x:c>
      <x:c r="D22" s="69" t="str">
        <x:v>https://www.58.com/job.shtml；https://www.job5156.com/；https://www.ganji.com/zhaopin/；https://www.dajie.com/</x:v>
      </x:c>
      <x:c r="E22" s="69" t="str">
        <x:v>V1.0需求（2026.6.11）/官方数据/平台来源映射深挖版_2014-2025.xlsx</x:v>
      </x:c>
      <x:c r="F22" s="69" t="str">
        <x:v>必须保留“推测”标记；其余来源继续使用平台X匿名编号</x:v>
      </x:c>
    </x:row>
    <x:row r="23" ht="54" customHeight="1">
      <x:c r="A23" s="73" t="str">
        <x:v>专业</x:v>
      </x:c>
      <x:c r="B23" s="68" t="str">
        <x:v>教育部《普通高等学校本科专业目录（2025年）》</x:v>
      </x:c>
      <x:c r="C23" s="68" t="str">
        <x:v>教育部官方文件</x:v>
      </x:c>
      <x:c r="D23" s="68" t="str">
        <x:v>http://www.moe.gov.cn/srcsite/A08/moe_1034/s4930/202504/t20250422_1188239.html</x:v>
      </x:c>
      <x:c r="E23" s="68" t="str">
        <x:v>V1.0需求（2026.6.11）/官方数据/教育部官方专业目录-高等教育与职业教育-20260612.xlsx</x:v>
      </x:c>
      <x:c r="F23" s="68" t="str">
        <x:v>普通本科840个</x:v>
      </x:c>
    </x:row>
    <x:row r="24" ht="54" customHeight="1">
      <x:c r="A24" s="73"/>
      <x:c r="B24" s="68" t="str">
        <x:v>教育部《职业教育专业目录（2021年）》</x:v>
      </x:c>
      <x:c r="C24" s="68" t="str">
        <x:v>教育部官方文件</x:v>
      </x:c>
      <x:c r="D24" s="68" t="str">
        <x:v>https://www.moe.gov.cn/srcsite/A07/moe_953/202103/t20210319_521135.html</x:v>
      </x:c>
      <x:c r="E24" s="68" t="str">
        <x:v>V1.0需求（2026.6.11）/官方数据/教育部官方专业目录-高等教育与职业教育-20260612.xlsx</x:v>
      </x:c>
      <x:c r="F24" s="68" t="str">
        <x:v>中职、高职专科、职业本科合计1,302个</x:v>
      </x:c>
    </x:row>
    <x:row r="25" ht="54" customHeight="1">
      <x:c r="A25" s="71" t="str">
        <x:v>行业</x:v>
      </x:c>
      <x:c r="B25" s="69" t="str">
        <x:v>《国民经济行业分类》（GB/T 4754—2017）</x:v>
      </x:c>
      <x:c r="C25" s="69" t="str">
        <x:v>国家标准／国家统计局引用</x:v>
      </x:c>
      <x:c r="D25" s="69" t="str">
        <x:v>https://www.stats.gov.cn/sj/tjbz/gjtjbz/</x:v>
      </x:c>
      <x:c r="E25" s="69" t="str">
        <x:v>V1.0需求（2026.6.11）/官方数据/国民经济行业分类_GBT4754-2017.xlsx</x:v>
      </x:c>
      <x:c r="F25" s="69" t="str">
        <x:v>按行业代码去重后1,955个</x:v>
      </x:c>
    </x:row>
    <x:row r="26" ht="54" customHeight="1">
      <x:c r="A26" s="73" t="str">
        <x:v>企业</x:v>
      </x:c>
      <x:c r="B26" s="68" t="str">
        <x:v>智联招聘、前程无忧等招聘来源中的企业名称</x:v>
      </x:c>
      <x:c r="C26" s="68" t="str">
        <x:v>招聘企业样本</x:v>
      </x:c>
      <x:c r="D26" s="68" t="str">
        <x:v>https://www.zhaopin.com/；https://www.51job.com/</x:v>
      </x:c>
      <x:c r="E26" s="68" t="str">
        <x:v>.worktrees/recruitment-position-matching/outputs/recruitment_position_matching/v1/normalized_jobs</x:v>
      </x:c>
      <x:c r="F26" s="68" t="str">
        <x:v>120,029家为企业名称字符串去重，尚未完成工商主体级归一</x:v>
      </x:c>
    </x:row>
    <x:row r="27" ht="54" customHeight="1">
      <x:c r="A27" s="73"/>
      <x:c r="B27" s="68" t="str">
        <x:v>A股上市公司公开清单＋东方财富公开公司资料接口</x:v>
      </x:c>
      <x:c r="C27" s="68" t="str">
        <x:v>公开证券市场数据／公司资料接口</x:v>
      </x:c>
      <x:c r="D27" s="68" t="str">
        <x:v>https://www.eastmoney.com/</x:v>
      </x:c>
      <x:c r="E27" s="68" t="str">
        <x:v>V1.0需求（2026.6.11）/官方数据/中国A股上市公司清单xlsx.xlsx</x:v>
      </x:c>
      <x:c r="F27" s="68" t="str">
        <x:v>5,190家A股企业；统一社会信用代码来自东方财富REG_NUM字段</x:v>
      </x:c>
    </x:row>
    <x:row r="28" ht="54" customHeight="1">
      <x:c r="A28" s="71" t="str">
        <x:v>职业</x:v>
      </x:c>
      <x:c r="B28" s="69" t="str">
        <x:v>人社部《中华人民共和国职业分类大典》专题</x:v>
      </x:c>
      <x:c r="C28" s="69" t="str">
        <x:v>人社部官方专题</x:v>
      </x:c>
      <x:c r="D28" s="69" t="str">
        <x:v>https://www.mohrss.gov.cn/SYrlzyhshbzb/ztzl/zyflzd/zyfldg/</x:v>
      </x:c>
      <x:c r="E28" s="69" t="str">
        <x:v>outputs/019f7e5b-0d35-7c91-a1ff-e290f4069b8a/source_rows.json</x:v>
      </x:c>
      <x:c r="F28" s="69" t="str">
        <x:v>当前岗位覆盖92个国家职业编码</x:v>
      </x:c>
    </x:row>
    <x:row r="29" ht="54" customHeight="1">
      <x:c r="A29" s="71"/>
      <x:c r="B29" s="69" t="str">
        <x:v>技能人才评价工作网职业分类系统</x:v>
      </x:c>
      <x:c r="C29" s="69" t="str">
        <x:v>官方职业分类查询平台</x:v>
      </x:c>
      <x:c r="D29" s="69" t="str">
        <x:v>https://www.osta.org.cn/career</x:v>
      </x:c>
      <x:c r="E29" s="69" t="str">
        <x:v>V1.0需求（2026.6.11）/官方数据/DW_专业建设数据模型设计.xlsx</x:v>
      </x:c>
      <x:c r="F29" s="69" t="str">
        <x:v>用于职业名称、分类层级和职业编码校核</x:v>
      </x:c>
    </x:row>
  </x:sheetData>
  <x:mergeCells>
    <x:mergeCell ref="A1:F1"/>
    <x:mergeCell ref="A2:F2"/>
    <x:mergeCell ref="A15:A16"/>
    <x:mergeCell ref="A17:A18"/>
    <x:mergeCell ref="A19:A22"/>
    <x:mergeCell ref="A23:A24"/>
    <x:mergeCell ref="A26:A27"/>
    <x:mergeCell ref="A28:A29"/>
  </x:mergeCells>
  <x:pageMargins left="0.7" right="0.7" top="0.75" bottom="0.75" header="0.3" footer="0.3"/>
  <x:tableParts count="1">
    <x:tablePart xmlns:r="http://schemas.openxmlformats.org/officeDocument/2006/relationships" r:id="R4ea794253e6d4073"/>
  </x:tableParts>
</x:worksheet>
</file>