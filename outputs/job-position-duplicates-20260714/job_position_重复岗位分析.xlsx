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9ac7898cfb473e" /></Relationships>
</file>

<file path=xl/workbook.xml><?xml version="1.0" encoding="utf-8"?>
<x:workbook xmlns:x="http://schemas.openxmlformats.org/spreadsheetml/2006/main">
  <x:sheets>
    <x:sheet xmlns:r="http://schemas.openxmlformats.org/officeDocument/2006/relationships" name="分析摘要" sheetId="1" r:id="R5b454e51c7f742a9"/>
    <x:sheet xmlns:r="http://schemas.openxmlformats.org/officeDocument/2006/relationships" name="同名重复组" sheetId="2" r:id="R390c2e9e9b1d4cfd"/>
    <x:sheet xmlns:r="http://schemas.openxmlformats.org/officeDocument/2006/relationships" name="同名重复明细" sheetId="3" r:id="R662975b5abe149ea"/>
    <x:sheet xmlns:r="http://schemas.openxmlformats.org/officeDocument/2006/relationships" name="相似名称复核" sheetId="4" r:id="Re57a8aa035fd472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8"/>
      <x:color rgb="FFFFFFFF"/>
      <x:name val="Carlito"/>
    </x:font>
    <x:font>
      <x:sz val="11"/>
      <x:color rgb="FF1F2937"/>
      <x:name val="Carlito"/>
    </x:font>
    <x:font>
      <x:b/>
      <x:sz val="11"/>
      <x:color rgb="FFFFFFFF"/>
      <x:name val="Carlito"/>
    </x:font>
    <x:font>
      <x:b/>
      <x:sz val="11"/>
      <x:color rgb="FF1F2937"/>
      <x:name val="Carlito"/>
    </x:font>
    <x:font>
      <x:b/>
      <x:sz val="12"/>
      <x:color rgb="FF17365D"/>
      <x:name val="Carlito"/>
    </x:font>
    <x:font>
      <x:sz val="10"/>
      <x:color rgb="FF1F2937"/>
      <x:name val="Carlito"/>
    </x:font>
    <x:font>
      <x:b/>
      <x:sz val="11"/>
      <x:color rgb="FF1F4E78"/>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2F2F2"/>
      </x:patternFill>
    </x:fill>
    <x:fill>
      <x:patternFill patternType="solid">
        <x:fgColor rgb="FF0F6B78"/>
      </x:patternFill>
    </x:fill>
  </x:fills>
  <x:borders count="13">
    <x:border/>
    <x:border>
      <x:right style="thin">
        <x:color rgb="FF8EA9C1"/>
      </x:right>
    </x:border>
    <x:border>
      <x:left style="thin">
        <x:color rgb="FF8EA9C1"/>
      </x:left>
    </x:border>
    <x:border>
      <x:left style="thin">
        <x:color rgb="FFD0D7DE"/>
      </x:left>
      <x:right style="thin">
        <x:color rgb="FF8EA9C1"/>
      </x:right>
      <x:top style="thin">
        <x:color rgb="FFD0D7DE"/>
      </x:top>
    </x:border>
    <x:border>
      <x:left style="thin">
        <x:color rgb="FF8EA9C1"/>
      </x:left>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right style="thin">
        <x:color rgb="FFD0D7DE"/>
      </x:right>
      <x:bottom style="thin">
        <x:color rgb="FFD0D7DE"/>
      </x:bottom>
    </x:border>
    <x:border>
      <x:left style="thin">
        <x:color rgb="FF8EA9C1"/>
      </x:left>
      <x:right style="thin">
        <x:color rgb="FF8EA9C1"/>
      </x:right>
    </x:border>
    <x:border>
      <x:bottom style="thin">
        <x:color rgb="FFD0D7DE"/>
      </x:bottom>
    </x:border>
    <x:border>
      <x:top style="thin">
        <x:color rgb="FFD0D7DE"/>
      </x:top>
      <x:bottom style="thin">
        <x:color rgb="FFD0D7DE"/>
      </x:bottom>
    </x:border>
    <x:border>
      <x:top style="thin">
        <x:color rgb="FFD0D7DE"/>
      </x:top>
    </x:border>
  </x:borders>
  <x:cellStyleXfs count="1">
    <x:xf numFmtId="0" fontId="0" fillId="0" borderId="0"/>
  </x:cellStyleXfs>
  <x:cellXfs count="7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horizontal="right"/>
    </x:xf>
    <x:xf numFmtId="200" fontId="5" fillId="0" borderId="0" xfId="0" applyNumberFormat="1" applyFont="1" applyFill="1" applyBorder="1" applyAlignment="1">
      <x:alignment horizontal="right"/>
    </x:xf>
    <x:xf numFmtId="201" fontId="5" fillId="0" borderId="0" xfId="0" applyNumberFormat="1" applyFont="1" applyFill="1" applyBorder="1" applyAlignment="1">
      <x:alignment horizontal="right"/>
    </x:xf>
    <x:xf numFmtId="0" fontId="3" fillId="4" borderId="3" xfId="0" applyNumberFormat="1" applyFont="1" applyFill="1" applyBorder="1" applyAlignment="1">
      <x:alignment vertical="center" wrapText="1"/>
    </x:xf>
    <x:xf numFmtId="0" fontId="3" fillId="4" borderId="4" xfId="0" applyNumberFormat="1" applyFont="1" applyFill="1" applyBorder="1" applyAlignment="1">
      <x:alignment vertical="center" wrapText="1"/>
    </x:xf>
    <x:xf numFmtId="0" fontId="4" fillId="5" borderId="5" xfId="0" applyNumberFormat="1" applyFont="1" applyFill="1" applyBorder="1"/>
    <x:xf numFmtId="200" fontId="5" fillId="0" borderId="6" xfId="0" applyNumberFormat="1" applyFont="1" applyFill="1" applyBorder="1" applyAlignment="1">
      <x:alignment horizontal="right"/>
    </x:xf>
    <x:xf numFmtId="0" fontId="4" fillId="5" borderId="7" xfId="0" applyNumberFormat="1" applyFont="1" applyFill="1" applyBorder="1"/>
    <x:xf numFmtId="201" fontId="5" fillId="0" borderId="8" xfId="0" applyNumberFormat="1" applyFont="1" applyFill="1" applyBorder="1" applyAlignment="1">
      <x:alignment horizontal="right"/>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vertical="center" wrapText="1"/>
    </x:xf>
    <x:xf numFmtId="0" fontId="6" fillId="0" borderId="0"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200" fontId="6" fillId="0" borderId="10" xfId="0" applyNumberFormat="1" applyFont="1" applyFill="1" applyBorder="1" applyAlignment="1">
      <x:alignment vertical="top" wrapText="1"/>
    </x:xf>
    <x:xf numFmtId="200" fontId="6" fillId="0" borderId="11" xfId="0" applyNumberFormat="1" applyFont="1" applyFill="1" applyBorder="1" applyAlignment="1">
      <x:alignment vertical="top" wrapText="1"/>
    </x:xf>
    <x:xf numFmtId="200" fontId="6" fillId="0" borderId="12"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0" xfId="0" applyNumberFormat="1" applyFont="1" applyFill="1" applyBorder="1" applyAlignment="1">
      <x:alignment horizontal="center" vertical="top" wrapText="1"/>
    </x:xf>
    <x:xf numFmtId="0" fontId="7" fillId="0" borderId="11" xfId="0" applyNumberFormat="1" applyFont="1" applyFill="1" applyBorder="1" applyAlignment="1">
      <x:alignment horizontal="center" vertical="top" wrapText="1"/>
    </x:xf>
    <x:xf numFmtId="0" fontId="7" fillId="0" borderId="12" xfId="0" applyNumberFormat="1" applyFont="1" applyFill="1" applyBorder="1" applyAlignment="1">
      <x:alignment horizontal="center"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6" fillId="0" borderId="10" xfId="0" applyNumberFormat="1" applyFont="1" applyFill="1" applyBorder="1" applyAlignment="1">
      <x:alignment horizontal="center" vertical="top" wrapText="1"/>
    </x:xf>
    <x:xf numFmtId="0" fontId="6" fillId="0" borderId="11" xfId="0" applyNumberFormat="1" applyFont="1" applyFill="1" applyBorder="1" applyAlignment="1">
      <x:alignment horizontal="center" vertical="top" wrapText="1"/>
    </x:xf>
    <x:xf numFmtId="0" fontId="6" fillId="0" borderId="12" xfId="0" applyNumberFormat="1" applyFont="1" applyFill="1" applyBorder="1" applyAlignment="1">
      <x:alignment horizontal="center" vertical="top" wrapText="1"/>
    </x:xf>
    <x:xf numFmtId="201" fontId="6" fillId="0" borderId="10" xfId="0" applyNumberFormat="1" applyFont="1" applyFill="1" applyBorder="1" applyAlignment="1">
      <x:alignment vertical="top" wrapText="1"/>
    </x:xf>
    <x:xf numFmtId="201" fontId="6" fillId="0" borderId="11" xfId="0" applyNumberFormat="1" applyFont="1" applyFill="1" applyBorder="1" applyAlignment="1">
      <x:alignment vertical="top" wrapText="1"/>
    </x:xf>
    <x:xf numFmtId="201" fontId="6" fillId="0" borderId="12" xfId="0" applyNumberFormat="1" applyFont="1" applyFill="1" applyBorder="1" applyAlignment="1">
      <x:alignment vertical="top" wrapText="1"/>
    </x:xf>
  </x:cellXfs>
  <x:cellStyles count="1">
    <x:cellStyle name="Normal" xfId="0"/>
  </x:cellStyles>
  <x:dxfs count="16">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595959"/>
      </x:font>
      <x:fill>
        <x:patternFill patternType="solid">
          <x:bgColor rgb="FFF2F2F2"/>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595959"/>
      </x:font>
      <x:fill>
        <x:patternFill patternType="solid">
          <x:bgColor rgb="FFF2F2F2"/>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595959"/>
      </x:font>
      <x:fill>
        <x:patternFill patternType="solid">
          <x:bgColor rgb="FFF2F2F2"/>
        </x:patternFill>
      </x:fill>
    </x:dxf>
    <x:dxf>
      <x:font>
        <x:b/>
        <x:color rgb="FF1B5E20"/>
      </x:font>
      <x:fill>
        <x:patternFill patternType="solid">
          <x:bgColor rgb="FFD9EAD3"/>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595959"/>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0d1e6d6097478d" /><Relationship Type="http://schemas.openxmlformats.org/officeDocument/2006/relationships/theme" Target="/xl/theme/theme1.xml" Id="R4c0d83baa2c842b7" /><Relationship Type="http://schemas.openxmlformats.org/officeDocument/2006/relationships/sharedStrings" Target="/xl/sharedStrings.xml" Id="R70c25a18c78e4df4" /><Relationship Type="http://schemas.openxmlformats.org/officeDocument/2006/relationships/worksheet" Target="/xl/worksheets/sheet1.xml" Id="R5b454e51c7f742a9" /><Relationship Type="http://schemas.openxmlformats.org/officeDocument/2006/relationships/worksheet" Target="/xl/worksheets/sheet2.xml" Id="R390c2e9e9b1d4cfd" /><Relationship Type="http://schemas.openxmlformats.org/officeDocument/2006/relationships/worksheet" Target="/xl/worksheets/sheet3.xml" Id="R662975b5abe149ea" /><Relationship Type="http://schemas.openxmlformats.org/officeDocument/2006/relationships/worksheet" Target="/xl/worksheets/sheet4.xml" Id="Re57a8aa035fd4729" /></Relationships>
</file>

<file path=xl/tables/table1.xml><?xml version="1.0" encoding="utf-8"?>
<x:table xmlns:x="http://schemas.openxmlformats.org/spreadsheetml/2006/main" id="1" name="ExactDuplicateGroups" displayName="ExactDuplicateGroups" ref="A1:O296" headerRowCount="1" totalsRowCount="0" totalsRowShown="0">
  <x:tableColumns count="15">
    <x:tableColumn id="1" name="序号"/>
    <x:tableColumn id="2" name="重复岗位名"/>
    <x:tableColumn id="3" name="出现次数"/>
    <x:tableColumn id="4" name="理论可减少"/>
    <x:tableColumn id="5" name="保守可减少"/>
    <x:tableColumn id="6" name="合并建议"/>
    <x:tableColumn id="7" name="建议标准名/处理"/>
    <x:tableColumn id="8" name="职业分类代码"/>
    <x:tableColumn id="9" name="职业分类名称"/>
    <x:tableColumn id="10" name="所属产业目录路径"/>
    <x:tableColumn id="11" name="position_id"/>
    <x:tableColumn id="12" name="源表行号"/>
    <x:tableColumn id="13" name="职责相似度"/>
    <x:tableColumn id="14" name="要求相似度"/>
    <x:tableColumn id="15" name="判断理由"/>
  </x:tableColumns>
  <x:tableStyleInfo name="TableStyleMedium2" showFirstColumn="0" showLastColumn="0" showRowStripes="1" showColumnStripes="0"/>
</x:table>
</file>

<file path=xl/tables/table2.xml><?xml version="1.0" encoding="utf-8"?>
<x:table xmlns:x="http://schemas.openxmlformats.org/spreadsheetml/2006/main" id="2" name="ExactDuplicateDetails" displayName="ExactDuplicateDetails" ref="A1:L660" headerRowCount="1" totalsRowCount="0" totalsRowShown="0">
  <x:tableColumns count="12">
    <x:tableColumn id="1" name="重复组序号"/>
    <x:tableColumn id="2" name="重复岗位名"/>
    <x:tableColumn id="3" name="组级建议"/>
    <x:tableColumn id="4" name="建议标准名"/>
    <x:tableColumn id="5" name="源表行号"/>
    <x:tableColumn id="6" name="position_id"/>
    <x:tableColumn id="7" name="产业目录ID"/>
    <x:tableColumn id="8" name="产业目录路径"/>
    <x:tableColumn id="9" name="职业分类代码"/>
    <x:tableColumn id="10" name="职业分类名称"/>
    <x:tableColumn id="11" name="岗位概述摘录"/>
    <x:tableColumn id="12" name="任职要求摘录"/>
  </x:tableColumns>
  <x:tableStyleInfo name="TableStyleMedium2" showFirstColumn="0" showLastColumn="0" showRowStripes="1" showColumnStripes="0"/>
</x:table>
</file>

<file path=xl/tables/table3.xml><?xml version="1.0" encoding="utf-8"?>
<x:table xmlns:x="http://schemas.openxmlformats.org/spreadsheetml/2006/main" id="3" name="NearDuplicateReview" displayName="NearDuplicateReview" ref="A1:L51" headerRowCount="1" totalsRowCount="0" totalsRowShown="0">
  <x:tableColumns count="12">
    <x:tableColumn id="1" name="序号"/>
    <x:tableColumn id="2" name="岗位名A"/>
    <x:tableColumn id="3" name="岗位名B"/>
    <x:tableColumn id="4" name="涉及记录数"/>
    <x:tableColumn id="5" name="建议"/>
    <x:tableColumn id="6" name="判断理由"/>
    <x:tableColumn id="7" name="共享职业代码"/>
    <x:tableColumn id="8" name="共享职业名称"/>
    <x:tableColumn id="9" name="名称相似度"/>
    <x:tableColumn id="10" name="职责相似度"/>
    <x:tableColumn id="11" name="A源表行号"/>
    <x:tableColumn id="12" name="B源表行号"/>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8f86f20ed044bf" /></Relationships>
</file>

<file path=xl/worksheets/_rels/sheet3.xml.rels>&#65279;<?xml version="1.0" encoding="utf-8"?><Relationships xmlns="http://schemas.openxmlformats.org/package/2006/relationships"><Relationship Type="http://schemas.openxmlformats.org/officeDocument/2006/relationships/table" Target="/xl/tables/table2.xml" Id="R79f31976b59b4b3e" /></Relationships>
</file>

<file path=xl/worksheets/_rels/sheet4.xml.rels>&#65279;<?xml version="1.0" encoding="utf-8"?><Relationships xmlns="http://schemas.openxmlformats.org/package/2006/relationships"><Relationship Type="http://schemas.openxmlformats.org/officeDocument/2006/relationships/table" Target="/xl/tables/table3.xml" Id="Rb79e13d0bf364a0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20" hidden="0" customWidth="1"/>
    <x:col min="4" max="4" width="22" hidden="0" customWidth="1"/>
    <x:col min="5" max="5" width="10" hidden="0" customWidth="1"/>
    <x:col min="6" max="6" width="48" hidden="0" customWidth="1"/>
  </x:cols>
  <x:sheetData>
    <x:row r="1" ht="34" customHeight="1">
      <x:c r="A1" s="3" t="str">
        <x:v>job_position 重复岗位分析</x:v>
      </x:c>
      <x:c r="B1" s="3" t="str">
        <x:v>job_position 重复岗位分析</x:v>
      </x:c>
      <x:c r="C1" s="3" t="str">
        <x:v>job_position 重复岗位分析</x:v>
      </x:c>
      <x:c r="D1" s="3" t="str">
        <x:v>job_position 重复岗位分析</x:v>
      </x:c>
      <x:c r="E1" s="3" t="str">
        <x:v>job_position 重复岗位分析</x:v>
      </x:c>
      <x:c r="F1" s="3" t="str">
        <x:v>job_position 重复岗位分析</x:v>
      </x:c>
    </x:row>
    <x:row r="2" ht="34" customHeight="1">
      <x:c r="A2" s="7" t="str">
        <x:v>统计口径：岗位名称完全一致视为同名重复；职业分类冲突、专业方向和岗位层级用于判断是否可合并。源文件：job_position.xlsx</x:v>
      </x:c>
      <x:c r="B2" s="7"/>
      <x:c r="C2" s="7"/>
      <x:c r="D2" s="7"/>
      <x:c r="E2" s="7"/>
      <x:c r="F2" s="7"/>
    </x:row>
    <x:row r="4" ht="28" customHeight="1">
      <x:c r="A4" s="22" t="str">
        <x:v>关键指标</x:v>
      </x:c>
      <x:c r="B4" s="23" t="str">
        <x:v>结果</x:v>
      </x:c>
      <x:c r="D4" s="14" t="str">
        <x:v>合并等级</x:v>
      </x:c>
      <x:c r="E4" s="30" t="str">
        <x:v>组数</x:v>
      </x:c>
      <x:c r="F4" s="15" t="str">
        <x:v>处理原则</x:v>
      </x:c>
    </x:row>
    <x:row r="5">
      <x:c r="A5" s="24" t="str">
        <x:v>源岗位记录数</x:v>
      </x:c>
      <x:c r="B5" s="25" t="n">
        <x:v>1356</x:v>
      </x:c>
      <x:c r="D5" s="38" t="str">
        <x:v>可直接合并</x:v>
      </x:c>
      <x:c r="E5" s="41" t="n">
        <x:f>COUNTIF('同名重复组'!F2:F296,D5)</x:f>
        <x:v>149</x:v>
      </x:c>
      <x:c r="F5" s="38" t="str">
        <x:v>同名且职业分类一致，保留一个标准岗位，其他记录改为来源/产业关联。</x:v>
      </x:c>
    </x:row>
    <x:row r="6">
      <x:c r="A6" s="24" t="str">
        <x:v>完全不同岗位名</x:v>
      </x:c>
      <x:c r="B6" s="25" t="n">
        <x:f>B5-B9</x:f>
        <x:v>992</x:v>
      </x:c>
      <x:c r="D6" s="39" t="str">
        <x:v>条件合并（先修分类）</x:v>
      </x:c>
      <x:c r="E6" s="42" t="n">
        <x:f>COUNTIF('同名重复组'!F2:F296,D6)</x:f>
        <x:v>136</x:v>
      </x:c>
      <x:c r="F6" s="39" t="str">
        <x:v>同名但职业分类冲突；先校正分类，再合并主记录。</x:v>
      </x:c>
    </x:row>
    <x:row r="7">
      <x:c r="A7" s="24" t="str">
        <x:v>同名重复组</x:v>
      </x:c>
      <x:c r="B7" s="25" t="n">
        <x:f>COUNTA('同名重复组'!B2:B296)</x:f>
        <x:v>295</x:v>
      </x:c>
      <x:c r="D7" s="39" t="str">
        <x:v>需拆分后合并</x:v>
      </x:c>
      <x:c r="E7" s="42" t="n">
        <x:f>COUNTIF('同名重复组'!F2:F296,D7)</x:f>
        <x:v>10</x:v>
      </x:c>
      <x:c r="F7" s="39" t="str">
        <x:v>名称过宽；先补行业或职能限定词，再按专业方向归并。</x:v>
      </x:c>
    </x:row>
    <x:row r="8">
      <x:c r="A8" s="24" t="str">
        <x:v>涉及重复的记录</x:v>
      </x:c>
      <x:c r="B8" s="25" t="n">
        <x:f>SUM('同名重复组'!C2:C296)</x:f>
        <x:v>659</x:v>
      </x:c>
      <x:c r="D8" s="40" t="str">
        <x:v>相似名称候选</x:v>
      </x:c>
      <x:c r="E8" s="43" t="n">
        <x:f>COUNTA('相似名称复核'!B2:B51)</x:f>
        <x:v>50</x:v>
      </x:c>
      <x:c r="F8" s="40" t="str">
        <x:v>仅用于人工复核，不能按字符串相似度直接批量合并。</x:v>
      </x:c>
    </x:row>
    <x:row r="9">
      <x:c r="A9" s="24" t="str">
        <x:v>理论最多可减少记录</x:v>
      </x:c>
      <x:c r="B9" s="25" t="n">
        <x:f>SUM('同名重复组'!D2:D296)</x:f>
        <x:v>364</x:v>
      </x:c>
    </x:row>
    <x:row r="10">
      <x:c r="A10" s="24" t="str">
        <x:v>保守可先减少记录</x:v>
      </x:c>
      <x:c r="B10" s="25" t="n">
        <x:f>SUM('同名重复组'!E2:E296)</x:f>
        <x:v>339</x:v>
      </x:c>
    </x:row>
    <x:row r="11">
      <x:c r="A11" s="24" t="str">
        <x:v>保守合并后岗位记录</x:v>
      </x:c>
      <x:c r="B11" s="25" t="n">
        <x:f>B5-B10</x:f>
        <x:v>1017</x:v>
      </x:c>
    </x:row>
    <x:row r="12">
      <x:c r="A12" s="26" t="str">
        <x:v>同名记录占比</x:v>
      </x:c>
      <x:c r="B12" s="27" t="n">
        <x:f>B8/B5</x:f>
        <x:v>0.4859882005899705</x:v>
      </x:c>
    </x:row>
    <x:row r="15">
      <x:c r="A15" s="45" t="str">
        <x:v>重点风险提示</x:v>
      </x:c>
      <x:c r="B15" s="45"/>
      <x:c r="C15" s="45"/>
      <x:c r="D15" s="45"/>
      <x:c r="E15" s="45"/>
      <x:c r="F15" s="45"/>
    </x:row>
    <x:row r="16" ht="38" customHeight="1">
      <x:c r="A16" s="58" t="str">
        <x:v>1</x:v>
      </x:c>
      <x:c r="B16" s="61" t="str">
        <x:v>系统工程师</x:v>
      </x:c>
      <x:c r="C16" s="52" t="str">
        <x:v>5 条记录分别落在互联网后端、运维、汽车信息系统、机械系统、硬件系统，不能直接压成一个岗位。</x:v>
      </x:c>
      <x:c r="D16" s="52"/>
      <x:c r="E16" s="52"/>
      <x:c r="F16" s="52"/>
    </x:row>
    <x:row r="17" ht="38" customHeight="1">
      <x:c r="A17" s="59" t="str">
        <x:v>2</x:v>
      </x:c>
      <x:c r="B17" s="62" t="str">
        <x:v>出纳</x:v>
      </x:c>
      <x:c r="C17" s="53" t="str">
        <x:v>4 条职责一致，但有 1 条被映射为“机要员”，应先修正职业分类后合并。</x:v>
      </x:c>
      <x:c r="D17" s="53"/>
      <x:c r="E17" s="53"/>
      <x:c r="F17" s="53"/>
    </x:row>
    <x:row r="18" ht="38" customHeight="1">
      <x:c r="A18" s="59" t="str">
        <x:v>3</x:v>
      </x:c>
      <x:c r="B18" s="62" t="str">
        <x:v>营养师</x:v>
      </x:c>
      <x:c r="C18" s="53" t="str">
        <x:v>4 条职业分类分别映射为医师、护士、营养师、餐厅服务员，属于明显分类质量问题。</x:v>
      </x:c>
      <x:c r="D18" s="53"/>
      <x:c r="E18" s="53"/>
      <x:c r="F18" s="53"/>
    </x:row>
    <x:row r="19" ht="38" customHeight="1">
      <x:c r="A19" s="59" t="str">
        <x:v>4</x:v>
      </x:c>
      <x:c r="B19" s="62" t="str">
        <x:v>射频工程师</x:v>
      </x:c>
      <x:c r="C19" s="53" t="str">
        <x:v>4 条职责均围绕射频系统/电路，但职业分类分散，应统一岗位并重做职业分类。</x:v>
      </x:c>
      <x:c r="D19" s="53"/>
      <x:c r="E19" s="53"/>
      <x:c r="F19" s="53"/>
    </x:row>
    <x:row r="20" ht="38" customHeight="1">
      <x:c r="A20" s="60" t="str">
        <x:v>5</x:v>
      </x:c>
      <x:c r="B20" s="63" t="str">
        <x:v>相似名称</x:v>
      </x:c>
      <x:c r="C20" s="54" t="str">
        <x:v>“高级硬件工程师/硬件工程师”“宠物医生/宠物医生助理”等属于层级或角色不同，不应因名称相近直接合并。</x:v>
      </x:c>
      <x:c r="D20" s="54"/>
      <x:c r="E20" s="54"/>
      <x:c r="F20" s="54"/>
    </x:row>
  </x:sheetData>
  <x:mergeCells>
    <x:mergeCell ref="A1:F1"/>
    <x:mergeCell ref="A2:F2"/>
    <x:mergeCell ref="A15:F15"/>
    <x:mergeCell ref="C16:F16"/>
    <x:mergeCell ref="C17:F17"/>
    <x:mergeCell ref="C18:F18"/>
    <x:mergeCell ref="C19:F19"/>
    <x:mergeCell ref="C20:F20"/>
  </x:mergeCells>
  <x:conditionalFormatting sqref="D5:D8">
    <x:cfRule type="containsText" dxfId="0" priority="1" operator="containsText" text="可直接合并"/>
    <x:cfRule type="containsText" dxfId="1" priority="2" operator="containsText" text="条件合并"/>
    <x:cfRule type="containsText" dxfId="2" priority="3" operator="containsText" text="需拆分"/>
    <x:cfRule type="containsText" dxfId="3" priority="4" operator="containsText" text="不建议直接合并"/>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23" hidden="0" customWidth="1"/>
    <x:col min="3" max="3" width="9" hidden="0" customWidth="1"/>
    <x:col min="4" max="4" width="11" hidden="0" customWidth="1"/>
    <x:col min="5" max="5" width="11" hidden="0" customWidth="1"/>
    <x:col min="6" max="6" width="20" hidden="0" customWidth="1"/>
    <x:col min="7" max="7" width="31" hidden="0" customWidth="1"/>
    <x:col min="8" max="8" width="26" hidden="0" customWidth="1"/>
    <x:col min="9" max="9" width="28" hidden="0" customWidth="1"/>
    <x:col min="10" max="10" width="52" hidden="0" customWidth="1"/>
    <x:col min="11" max="11" width="30" hidden="0" customWidth="1"/>
    <x:col min="12" max="12" width="20" hidden="0" customWidth="1"/>
    <x:col min="13" max="13" width="11" hidden="0" customWidth="1"/>
    <x:col min="14" max="14" width="11" hidden="0" customWidth="1"/>
    <x:col min="15" max="15" width="52" hidden="0" customWidth="1"/>
  </x:cols>
  <x:sheetData>
    <x:row r="1" ht="28" customHeight="1">
      <x:c r="A1" s="14" t="str">
        <x:v>序号</x:v>
      </x:c>
      <x:c r="B1" s="30" t="str">
        <x:v>重复岗位名</x:v>
      </x:c>
      <x:c r="C1" s="30" t="str">
        <x:v>出现次数</x:v>
      </x:c>
      <x:c r="D1" s="30" t="str">
        <x:v>理论可减少</x:v>
      </x:c>
      <x:c r="E1" s="30" t="str">
        <x:v>保守可减少</x:v>
      </x:c>
      <x:c r="F1" s="30" t="str">
        <x:v>合并建议</x:v>
      </x:c>
      <x:c r="G1" s="30" t="str">
        <x:v>建议标准名/处理</x:v>
      </x:c>
      <x:c r="H1" s="30" t="str">
        <x:v>职业分类代码</x:v>
      </x:c>
      <x:c r="I1" s="30" t="str">
        <x:v>职业分类名称</x:v>
      </x:c>
      <x:c r="J1" s="30" t="str">
        <x:v>所属产业目录路径</x:v>
      </x:c>
      <x:c r="K1" s="30" t="str">
        <x:v>position_id</x:v>
      </x:c>
      <x:c r="L1" s="30" t="str">
        <x:v>源表行号</x:v>
      </x:c>
      <x:c r="M1" s="30" t="str">
        <x:v>职责相似度</x:v>
      </x:c>
      <x:c r="N1" s="30" t="str">
        <x:v>要求相似度</x:v>
      </x:c>
      <x:c r="O1" s="15" t="str">
        <x:v>判断理由</x:v>
      </x:c>
    </x:row>
    <x:row r="2" ht="44" customHeight="1">
      <x:c r="A2" s="64" t="n">
        <x:v>1</x:v>
      </x:c>
      <x:c r="B2" s="38" t="str">
        <x:v>系统工程师</x:v>
      </x:c>
      <x:c r="C2" s="41" t="n">
        <x:v>5</x:v>
      </x:c>
      <x:c r="D2" s="41" t="n">
        <x:f>C2-1</x:f>
        <x:v>4</x:v>
      </x:c>
      <x:c r="E2" s="41" t="n">
        <x:f>IF(F2="需拆分后合并",0,C2-1)</x:f>
        <x:v>0</x:v>
      </x:c>
      <x:c r="F2" s="38" t="str">
        <x:v>需拆分后合并</x:v>
      </x:c>
      <x:c r="G2" s="38" t="str">
        <x:v>按专业方向补充限定词后归并：系统工程师</x:v>
      </x:c>
      <x:c r="H2" s="38" t="str">
        <x:v>2-02-10-03；4-04-05-01；4-02-02-01；2-02-07-01；2-02-09-02</x:v>
      </x:c>
      <x:c r="I2" s="38" t="str">
        <x:v>计算机软件工程技术人员；计算机程序设计员；客运车辆驾驶员；机械设计工程技术人员；电子元器件工程技术人员</x:v>
      </x:c>
      <x:c r="J2" s="38" t="str">
        <x:v>互联网技术 &gt; 后端开发 &gt; 系统工程师；互联网技术 &gt; 运维/技术支持 &gt; 系统工程师；汽车 &gt; 汽车销售与服务 &gt; 系统工程师；生产制造 &gt; 工程/机械 &gt; 系统工程师；通信/电子 &gt; 硬件开发 &gt; 系统工程师</x:v>
      </x:c>
      <x:c r="K2" s="38" t="str">
        <x:v>IC-L3-183；IC-L3-226；IC-L3-766；IC-L3-806；IC-L3-1350</x:v>
      </x:c>
      <x:c r="L2" s="38" t="str">
        <x:v>32；75；615；655；1199</x:v>
      </x:c>
      <x:c r="M2" s="67" t="n">
        <x:v>0.248</x:v>
      </x:c>
      <x:c r="N2" s="67" t="n">
        <x:v>0.103</x:v>
      </x:c>
      <x:c r="O2" s="38" t="str">
        <x:v>名称过于宽泛，当前记录已跨越不同专业对象或岗位层级；应先补充行业/职能限定词，再分别归并。</x:v>
      </x:c>
    </x:row>
    <x:row r="3" ht="44" customHeight="1">
      <x:c r="A3" s="65" t="n">
        <x:v>2</x:v>
      </x:c>
      <x:c r="B3" s="39" t="str">
        <x:v>出纳</x:v>
      </x:c>
      <x:c r="C3" s="42" t="n">
        <x:v>4</x:v>
      </x:c>
      <x:c r="D3" s="42" t="n">
        <x:f>C3-1</x:f>
        <x:v>3</x:v>
      </x:c>
      <x:c r="E3" s="42" t="n">
        <x:f>IF(F3="需拆分后合并",0,C3-1)</x:f>
        <x:v>3</x:v>
      </x:c>
      <x:c r="F3" s="39" t="str">
        <x:v>条件合并（先修分类）</x:v>
      </x:c>
      <x:c r="G3" s="39" t="str">
        <x:v>出纳</x:v>
      </x:c>
      <x:c r="H3" s="39" t="str">
        <x:v>3-01-02-01；2-06-03-00</x:v>
      </x:c>
      <x:c r="I3" s="39" t="str">
        <x:v>机要员；会计专业人员</x:v>
      </x:c>
      <x:c r="J3" s="39" t="str">
        <x:v>人事/行政 &gt; 行政/后勤 &gt; 出纳；财务/税务/法务 &gt; 会计 &gt; 出纳；财务/税务/法务 &gt; 合规 &gt; 出纳；财务/税务/法务 &gt; 财务 &gt; 出纳</x:v>
      </x:c>
      <x:c r="K3" s="39" t="str">
        <x:v>IC-L3-306；IC-L3-1192；IC-L3-1204；IC-L3-1215</x:v>
      </x:c>
      <x:c r="L3" s="39" t="str">
        <x:v>155；1041；1053；1064</x:v>
      </x:c>
      <x:c r="M3" s="68" t="n">
        <x:v>0.156</x:v>
      </x:c>
      <x:c r="N3" s="68" t="n">
        <x:v>0.126</x:v>
      </x:c>
      <x:c r="O3" s="39" t="str">
        <x:v>岗位名称完全一致，但职业分类存在冲突；优先核对并修正分类，再合并标准岗位，来源产业关系必须保留。</x:v>
      </x:c>
    </x:row>
    <x:row r="4" ht="44" customHeight="1">
      <x:c r="A4" s="65" t="n">
        <x:v>3</x:v>
      </x:c>
      <x:c r="B4" s="39" t="str">
        <x:v>风险控制</x:v>
      </x:c>
      <x:c r="C4" s="42" t="n">
        <x:v>4</x:v>
      </x:c>
      <x:c r="D4" s="42" t="n">
        <x:f>C4-1</x:f>
        <x:v>3</x:v>
      </x:c>
      <x:c r="E4" s="42" t="n">
        <x:f>IF(F4="需拆分后合并",0,C4-1)</x:f>
        <x:v>0</x:v>
      </x:c>
      <x:c r="F4" s="39" t="str">
        <x:v>需拆分后合并</x:v>
      </x:c>
      <x:c r="G4" s="39" t="str">
        <x:v>按专业方向补充限定词后归并：风险控制</x:v>
      </x:c>
      <x:c r="H4" s="39" t="str">
        <x:v>2-06-03-00；2-06-10-01；2-06-11-02；2-06-11-01</x:v>
      </x:c>
      <x:c r="I4" s="39" t="str">
        <x:v>会计专业人员；精算专业人员；证券交易专业人员；证券保荐承销专业人员</x:v>
      </x:c>
      <x:c r="J4" s="39" t="str">
        <x:v>财务/税务/法务 &gt; 合规 &gt; 风险控制；金融 &gt; 保险 &gt; 风险控制；金融 &gt; 金融 &gt; 风险控制；金融 &gt; 银行 &gt; 风险控制</x:v>
      </x:c>
      <x:c r="K4" s="39" t="str">
        <x:v>IC-L3-1203；IC-L3-1412；IC-L3-1448；IC-L3-1469</x:v>
      </x:c>
      <x:c r="L4" s="39" t="str">
        <x:v>1052；1261；1297；1318</x:v>
      </x:c>
      <x:c r="M4" s="68" t="n">
        <x:v>0.117</x:v>
      </x:c>
      <x:c r="N4" s="68" t="n">
        <x:v>0.1</x:v>
      </x:c>
      <x:c r="O4" s="39" t="str">
        <x:v>名称过于宽泛，当前记录已跨越不同专业对象或岗位层级；应先补充行业/职能限定词，再分别归并。</x:v>
      </x:c>
    </x:row>
    <x:row r="5" ht="44" customHeight="1">
      <x:c r="A5" s="65" t="n">
        <x:v>4</x:v>
      </x:c>
      <x:c r="B5" s="39" t="str">
        <x:v>技术总监</x:v>
      </x:c>
      <x:c r="C5" s="42" t="n">
        <x:v>4</x:v>
      </x:c>
      <x:c r="D5" s="42" t="n">
        <x:f>C5-1</x:f>
        <x:v>3</x:v>
      </x:c>
      <x:c r="E5" s="42" t="n">
        <x:f>IF(F5="需拆分后合并",0,C5-1)</x:f>
        <x:v>0</x:v>
      </x:c>
      <x:c r="F5" s="39" t="str">
        <x:v>需拆分后合并</x:v>
      </x:c>
      <x:c r="G5" s="39" t="str">
        <x:v>按专业方向补充限定词后归并：技术总监</x:v>
      </x:c>
      <x:c r="H5" s="39" t="str">
        <x:v>2-02-10-03；4-04-05-01；2-02-07-01；2-02-30-04</x:v>
      </x:c>
      <x:c r="I5" s="39" t="str">
        <x:v>计算机软件工程技术人员；计算机程序设计员；机械设计工程技术人员；项目管理工程技术人员</x:v>
      </x:c>
      <x:c r="J5" s="39" t="str">
        <x:v>互联网技术 &gt; 技术管理 &gt; 技术总监；互联网技术 &gt; 运维/技术支持 &gt; 技术总监；生产制造 &gt; 工程/机械 &gt; 技术总监；通信/电子 &gt; 技术项目管理 &gt; 技术总监</x:v>
      </x:c>
      <x:c r="K5" s="39" t="str">
        <x:v>IC-L3-184；IC-L3-239；IC-L3-807；IC-L3-1286</x:v>
      </x:c>
      <x:c r="L5" s="39" t="str">
        <x:v>33；88；656；1135</x:v>
      </x:c>
      <x:c r="M5" s="68" t="n">
        <x:v>0.143</x:v>
      </x:c>
      <x:c r="N5" s="68" t="n">
        <x:v>0.115</x:v>
      </x:c>
      <x:c r="O5" s="39" t="str">
        <x:v>名称过于宽泛，当前记录已跨越不同专业对象或岗位层级；应先补充行业/职能限定词，再分别归并。</x:v>
      </x:c>
    </x:row>
    <x:row r="6" ht="44" customHeight="1">
      <x:c r="A6" s="65" t="n">
        <x:v>5</x:v>
      </x:c>
      <x:c r="B6" s="39" t="str">
        <x:v>旅游顾问</x:v>
      </x:c>
      <x:c r="C6" s="42" t="n">
        <x:v>4</x:v>
      </x:c>
      <x:c r="D6" s="42" t="n">
        <x:f>C6-1</x:f>
        <x:v>3</x:v>
      </x:c>
      <x:c r="E6" s="42" t="n">
        <x:f>IF(F6="需拆分后合并",0,C6-1)</x:f>
        <x:v>3</x:v>
      </x:c>
      <x:c r="F6" s="39" t="str">
        <x:v>可直接合并</x:v>
      </x:c>
      <x:c r="G6" s="39" t="str">
        <x:v>旅游顾问</x:v>
      </x:c>
      <x:c r="H6" s="39" t="str">
        <x:v>4-07-01-01</x:v>
      </x:c>
      <x:c r="I6" s="39" t="str">
        <x:v>租赁业务员</x:v>
      </x:c>
      <x:c r="J6" s="39" t="str">
        <x:v>销售/客服 &gt; 服务业销售 &gt; 旅游顾问；销售/客服 &gt; 销售人员 &gt; 旅游顾问；酒店/旅游 &gt; 旅游 &gt; 旅游顾问；酒店/旅游 &gt; 酒店 &gt; 旅游顾问</x:v>
      </x:c>
      <x:c r="K6" s="39" t="str">
        <x:v>IC-L3-429；IC-L3-439；IC-L3-1368；IC-L3-1376</x:v>
      </x:c>
      <x:c r="L6" s="39" t="str">
        <x:v>278；288；1217；1225</x:v>
      </x:c>
      <x:c r="M6" s="68" t="n">
        <x:v>0.242</x:v>
      </x:c>
      <x:c r="N6" s="68" t="n">
        <x:v>0.159</x:v>
      </x:c>
      <x:c r="O6" s="39" t="str">
        <x:v>岗位名称完全一致且职业分类一致；建议保留一个标准岗位，原记录转为来源/产业关联。</x:v>
      </x:c>
    </x:row>
    <x:row r="7" ht="44" customHeight="1">
      <x:c r="A7" s="65" t="n">
        <x:v>6</x:v>
      </x:c>
      <x:c r="B7" s="39" t="str">
        <x:v>射频工程师</x:v>
      </x:c>
      <x:c r="C7" s="42" t="n">
        <x:v>4</x:v>
      </x:c>
      <x:c r="D7" s="42" t="n">
        <x:f>C7-1</x:f>
        <x:v>3</x:v>
      </x:c>
      <x:c r="E7" s="42" t="n">
        <x:f>IF(F7="需拆分后合并",0,C7-1)</x:f>
        <x:v>3</x:v>
      </x:c>
      <x:c r="F7" s="39" t="str">
        <x:v>条件合并（先修分类）</x:v>
      </x:c>
      <x:c r="G7" s="39" t="str">
        <x:v>射频工程师</x:v>
      </x:c>
      <x:c r="H7" s="39" t="str">
        <x:v>2-02-18-01；6-31-01-01；2-02-09-02；2-02-10-01</x:v>
      </x:c>
      <x:c r="I7" s="39" t="str">
        <x:v>建筑和市政设计工程技术人员；设备点检员；电子元器件工程技术人员；通信工程技术人员</x:v>
      </x:c>
      <x:c r="J7" s="39" t="str">
        <x:v>建筑/房地产 &gt; 建筑工程 &gt; 射频工程师；生产制造 &gt; 技工 &gt; 射频工程师；通信/电子 &gt; 硬件开发 &gt; 射频工程师；通信/电子 &gt; 通信技术开发与应用 &gt; 射频工程师</x:v>
      </x:c>
      <x:c r="K7" s="39" t="str">
        <x:v>IC-L3-605；IC-L3-829；IC-L3-1338；IC-L3-1356</x:v>
      </x:c>
      <x:c r="L7" s="39" t="str">
        <x:v>454；678；1187；1205</x:v>
      </x:c>
      <x:c r="M7" s="68" t="n">
        <x:v>0.244</x:v>
      </x:c>
      <x:c r="N7" s="68" t="n">
        <x:v>0.229</x:v>
      </x:c>
      <x:c r="O7" s="39" t="str">
        <x:v>岗位名称完全一致，但职业分类存在冲突；优先核对并修正分类，再合并标准岗位，来源产业关系必须保留。</x:v>
      </x:c>
    </x:row>
    <x:row r="8" ht="44" customHeight="1">
      <x:c r="A8" s="65" t="n">
        <x:v>7</x:v>
      </x:c>
      <x:c r="B8" s="39" t="str">
        <x:v>项目经理</x:v>
      </x:c>
      <x:c r="C8" s="42" t="n">
        <x:v>4</x:v>
      </x:c>
      <x:c r="D8" s="42" t="n">
        <x:f>C8-1</x:f>
        <x:v>3</x:v>
      </x:c>
      <x:c r="E8" s="42" t="n">
        <x:f>IF(F8="需拆分后合并",0,C8-1)</x:f>
        <x:v>0</x:v>
      </x:c>
      <x:c r="F8" s="39" t="str">
        <x:v>需拆分后合并</x:v>
      </x:c>
      <x:c r="G8" s="39" t="str">
        <x:v>按专业方向补充限定词后归并：项目经理</x:v>
      </x:c>
      <x:c r="H8" s="39" t="str">
        <x:v>2-02-10-03；2-06-07-16；2-02-30-04</x:v>
      </x:c>
      <x:c r="I8" s="39" t="str">
        <x:v>计算机软件工程技术人员；技术经理人；项目管理工程技术人员</x:v>
      </x:c>
      <x:c r="J8" s="39" t="str">
        <x:v>互联网技术 &gt; 技术管理 &gt; 项目经理；产品 &gt; 其他产品经理 &gt; 项目经理；通信/电子 &gt; 技术项目管理 &gt; 项目经理；项目经理/管理 &gt; 项目经理/管理 &gt; 项目经理</x:v>
      </x:c>
      <x:c r="K8" s="39" t="str">
        <x:v>IC-L3-191；IC-L3-266；IC-L3-1293；IC-L3-1479</x:v>
      </x:c>
      <x:c r="L8" s="39" t="str">
        <x:v>40；115；1142；1328</x:v>
      </x:c>
      <x:c r="M8" s="68" t="n">
        <x:v>0.142</x:v>
      </x:c>
      <x:c r="N8" s="68" t="n">
        <x:v>0.12</x:v>
      </x:c>
      <x:c r="O8" s="39" t="str">
        <x:v>名称过于宽泛，当前记录已跨越不同专业对象或岗位层级；应先补充行业/职能限定词，再分别归并。</x:v>
      </x:c>
    </x:row>
    <x:row r="9" ht="44" customHeight="1">
      <x:c r="A9" s="65" t="n">
        <x:v>8</x:v>
      </x:c>
      <x:c r="B9" s="39" t="str">
        <x:v>营养师</x:v>
      </x:c>
      <x:c r="C9" s="42" t="n">
        <x:v>4</x:v>
      </x:c>
      <x:c r="D9" s="42" t="n">
        <x:f>C9-1</x:f>
        <x:v>3</x:v>
      </x:c>
      <x:c r="E9" s="42" t="n">
        <x:f>IF(F9="需拆分后合并",0,C9-1)</x:f>
        <x:v>3</x:v>
      </x:c>
      <x:c r="F9" s="39" t="str">
        <x:v>条件合并（先修分类）</x:v>
      </x:c>
      <x:c r="G9" s="39" t="str">
        <x:v>营养师</x:v>
      </x:c>
      <x:c r="H9" s="39" t="str">
        <x:v>2-05-01-19；2-05-08-01；4-14-02-01；4-03-02-05</x:v>
      </x:c>
      <x:c r="I9" s="39" t="str">
        <x:v>全科医师；内科护士；营养师；餐厅服务员</x:v>
      </x:c>
      <x:c r="J9" s="39" t="str">
        <x:v>医药/医疗 &gt; 医生/医技 &gt; 营养师；医药/医疗 &gt; 护理/护士 &gt; 营养师；生活服务/零售 &gt; 保健理疗 &gt; 营养师；生活服务/零售 &gt; 服务员 &gt; 营养师</x:v>
      </x:c>
      <x:c r="K9" s="39" t="str">
        <x:v>IC-L3-333；IC-L3-373；IC-L3-944；IC-L3-970</x:v>
      </x:c>
      <x:c r="L9" s="39" t="str">
        <x:v>182；222；793；819</x:v>
      </x:c>
      <x:c r="M9" s="68" t="n">
        <x:v>0.225</x:v>
      </x:c>
      <x:c r="N9" s="68" t="n">
        <x:v>0.158</x:v>
      </x:c>
      <x:c r="O9" s="39" t="str">
        <x:v>岗位名称完全一致，但职业分类存在冲突；优先核对并修正分类，再合并标准岗位，来源产业关系必须保留。</x:v>
      </x:c>
    </x:row>
    <x:row r="10" ht="44" customHeight="1">
      <x:c r="A10" s="65" t="n">
        <x:v>9</x:v>
      </x:c>
      <x:c r="B10" s="39" t="str">
        <x:v>资料员</x:v>
      </x:c>
      <x:c r="C10" s="42" t="n">
        <x:v>4</x:v>
      </x:c>
      <x:c r="D10" s="42" t="n">
        <x:f>C10-1</x:f>
        <x:v>3</x:v>
      </x:c>
      <x:c r="E10" s="42" t="n">
        <x:f>IF(F10="需拆分后合并",0,C10-1)</x:f>
        <x:v>3</x:v>
      </x:c>
      <x:c r="F10" s="39" t="str">
        <x:v>可直接合并</x:v>
      </x:c>
      <x:c r="G10" s="39" t="str">
        <x:v>资料员</x:v>
      </x:c>
      <x:c r="H10" s="39" t="str">
        <x:v>3-01-02-02</x:v>
      </x:c>
      <x:c r="I10" s="39" t="str">
        <x:v>秘书</x:v>
      </x:c>
      <x:c r="J10" s="39" t="str">
        <x:v>建筑/房地产 &gt; 建筑工程 &gt; 资料员；汽车 &gt; 汽车销售与服务 &gt; 资料员；生活服务/零售 &gt; 服务员 &gt; 资料员；能源/环保/化工 &gt; 环保 &gt; 资料员</x:v>
      </x:c>
      <x:c r="K10" s="39" t="str">
        <x:v>IC-L3-601；IC-L3-767；IC-L3-973；IC-L3-1093</x:v>
      </x:c>
      <x:c r="L10" s="39" t="str">
        <x:v>450；616；822；942</x:v>
      </x:c>
      <x:c r="M10" s="68" t="n">
        <x:v>0.212</x:v>
      </x:c>
      <x:c r="N10" s="68" t="n">
        <x:v>0.13</x:v>
      </x:c>
      <x:c r="O10" s="39" t="str">
        <x:v>岗位名称完全一致且职业分类一致；建议保留一个标准岗位，原记录转为来源/产业关联。</x:v>
      </x:c>
    </x:row>
    <x:row r="11" ht="44" customHeight="1">
      <x:c r="A11" s="65" t="n">
        <x:v>10</x:v>
      </x:c>
      <x:c r="B11" s="39" t="str">
        <x:v>材料工程师</x:v>
      </x:c>
      <x:c r="C11" s="42" t="n">
        <x:v>3</x:v>
      </x:c>
      <x:c r="D11" s="42" t="n">
        <x:f>C11-1</x:f>
        <x:v>2</x:v>
      </x:c>
      <x:c r="E11" s="42" t="n">
        <x:f>IF(F11="需拆分后合并",0,C11-1)</x:f>
        <x:v>2</x:v>
      </x:c>
      <x:c r="F11" s="39" t="str">
        <x:v>条件合并（先修分类）</x:v>
      </x:c>
      <x:c r="G11" s="39" t="str">
        <x:v>材料工程师</x:v>
      </x:c>
      <x:c r="H11" s="39" t="str">
        <x:v>2-02-07-01；2-02-27-06；2-02-09-02</x:v>
      </x:c>
      <x:c r="I11" s="39" t="str">
        <x:v>机械设计工程技术人员；健康安全环境工程技术人员；电子元器件工程技术人员</x:v>
      </x:c>
      <x:c r="J11" s="39" t="str">
        <x:v>生产制造 &gt; 工程/机械 &gt; 材料工程师；能源/环保/化工 &gt; 环保 &gt; 材料工程师；通信/电子 &gt; 硬件开发 &gt; 材料工程师</x:v>
      </x:c>
      <x:c r="K11" s="39" t="str">
        <x:v>IC-L3-795；IC-L3-1090；IC-L3-1337</x:v>
      </x:c>
      <x:c r="L11" s="39" t="str">
        <x:v>644；939；1186</x:v>
      </x:c>
      <x:c r="M11" s="68" t="n">
        <x:v>0.178</x:v>
      </x:c>
      <x:c r="N11" s="68" t="n">
        <x:v>0.122</x:v>
      </x:c>
      <x:c r="O11" s="39" t="str">
        <x:v>岗位名称完全一致，但职业分类存在冲突；优先核对并修正分类，再合并标准岗位，来源产业关系必须保留。</x:v>
      </x:c>
    </x:row>
    <x:row r="12" ht="44" customHeight="1">
      <x:c r="A12" s="65" t="n">
        <x:v>11</x:v>
      </x:c>
      <x:c r="B12" s="39" t="str">
        <x:v>测试工程师</x:v>
      </x:c>
      <x:c r="C12" s="42" t="n">
        <x:v>3</x:v>
      </x:c>
      <x:c r="D12" s="42" t="n">
        <x:f>C12-1</x:f>
        <x:v>2</x:v>
      </x:c>
      <x:c r="E12" s="42" t="n">
        <x:f>IF(F12="需拆分后合并",0,C12-1)</x:f>
        <x:v>0</x:v>
      </x:c>
      <x:c r="F12" s="39" t="str">
        <x:v>需拆分后合并</x:v>
      </x:c>
      <x:c r="G12" s="39" t="str">
        <x:v>按专业方向补充限定词后归并：测试工程师</x:v>
      </x:c>
      <x:c r="H12" s="39" t="str">
        <x:v>4-04-05-02；2-02-07-01；2-02-09-02</x:v>
      </x:c>
      <x:c r="I12" s="39" t="str">
        <x:v>计算机软件测试员；机械设计工程技术人员；电子元器件工程技术人员</x:v>
      </x:c>
      <x:c r="J12" s="39" t="str">
        <x:v>互联网技术 &gt; 测试 &gt; 测试工程师；生产制造 &gt; 工程/机械 &gt; 测试工程师；通信/电子 &gt; 硬件开发 &gt; 测试工程师</x:v>
      </x:c>
      <x:c r="K12" s="39" t="str">
        <x:v>IC-L3-209；IC-L3-811；IC-L3-1349</x:v>
      </x:c>
      <x:c r="L12" s="39" t="str">
        <x:v>58；660；1198</x:v>
      </x:c>
      <x:c r="M12" s="68" t="n">
        <x:v>0.188</x:v>
      </x:c>
      <x:c r="N12" s="68" t="n">
        <x:v>0.191</x:v>
      </x:c>
      <x:c r="O12" s="39" t="str">
        <x:v>名称过于宽泛，当前记录已跨越不同专业对象或岗位层级；应先补充行业/职能限定词，再分别归并。</x:v>
      </x:c>
    </x:row>
    <x:row r="13" ht="44" customHeight="1">
      <x:c r="A13" s="65" t="n">
        <x:v>12</x:v>
      </x:c>
      <x:c r="B13" s="39" t="str">
        <x:v>电气工程师</x:v>
      </x:c>
      <x:c r="C13" s="42" t="n">
        <x:v>3</x:v>
      </x:c>
      <x:c r="D13" s="42" t="n">
        <x:f>C13-1</x:f>
        <x:v>2</x:v>
      </x:c>
      <x:c r="E13" s="42" t="n">
        <x:f>IF(F13="需拆分后合并",0,C13-1)</x:f>
        <x:v>2</x:v>
      </x:c>
      <x:c r="F13" s="39" t="str">
        <x:v>条件合并（先修分类）</x:v>
      </x:c>
      <x:c r="G13" s="39" t="str">
        <x:v>电气工程师</x:v>
      </x:c>
      <x:c r="H13" s="39" t="str">
        <x:v>6-29-01-01；2-02-07-01；2-02-09-02</x:v>
      </x:c>
      <x:c r="I13" s="39" t="str">
        <x:v>砌筑工；机械设计工程技术人员；电子元器件工程技术人员</x:v>
      </x:c>
      <x:c r="J13" s="39" t="str">
        <x:v>建筑/房地产 &gt; 建筑/装修工人 &gt; 电气工程师；生产制造 &gt; 工程/机械 &gt; 电气工程师；通信/电子 &gt; 电子/电器/仪器仪表 &gt; 电气工程师</x:v>
      </x:c>
      <x:c r="K13" s="39" t="str">
        <x:v>IC-L3-576；IC-L3-809；IC-L3-1321</x:v>
      </x:c>
      <x:c r="L13" s="39" t="str">
        <x:v>425；658；1170</x:v>
      </x:c>
      <x:c r="M13" s="68" t="n">
        <x:v>0.201</x:v>
      </x:c>
      <x:c r="N13" s="68" t="n">
        <x:v>0.123</x:v>
      </x:c>
      <x:c r="O13" s="39" t="str">
        <x:v>岗位名称完全一致，但职业分类存在冲突；优先核对并修正分类，再合并标准岗位，来源产业关系必须保留。</x:v>
      </x:c>
    </x:row>
    <x:row r="14" ht="44" customHeight="1">
      <x:c r="A14" s="65" t="n">
        <x:v>13</x:v>
      </x:c>
      <x:c r="B14" s="39" t="str">
        <x:v>电子工程师</x:v>
      </x:c>
      <x:c r="C14" s="42" t="n">
        <x:v>3</x:v>
      </x:c>
      <x:c r="D14" s="42" t="n">
        <x:f>C14-1</x:f>
        <x:v>2</x:v>
      </x:c>
      <x:c r="E14" s="42" t="n">
        <x:f>IF(F14="需拆分后合并",0,C14-1)</x:f>
        <x:v>2</x:v>
      </x:c>
      <x:c r="F14" s="39" t="str">
        <x:v>可直接合并</x:v>
      </x:c>
      <x:c r="G14" s="39" t="str">
        <x:v>电子工程师</x:v>
      </x:c>
      <x:c r="H14" s="39" t="str">
        <x:v>2-02-09-02</x:v>
      </x:c>
      <x:c r="I14" s="39" t="str">
        <x:v>电子元器件工程技术人员</x:v>
      </x:c>
      <x:c r="J14" s="39" t="str">
        <x:v>生产制造 &gt; 工程/机械 &gt; 电子工程师；通信/电子 &gt; 技术项目管理 &gt; 电子工程师；通信/电子 &gt; 电子/电器/仪器仪表 &gt; 电子工程师</x:v>
      </x:c>
      <x:c r="K14" s="39" t="str">
        <x:v>IC-L3-810；IC-L3-1296；IC-L3-1315</x:v>
      </x:c>
      <x:c r="L14" s="39" t="str">
        <x:v>659；1145；1164</x:v>
      </x:c>
      <x:c r="M14" s="68" t="n">
        <x:v>0.231</x:v>
      </x:c>
      <x:c r="N14" s="68" t="n">
        <x:v>0.121</x:v>
      </x:c>
      <x:c r="O14" s="39" t="str">
        <x:v>岗位名称完全一致且职业分类一致；建议保留一个标准岗位，原记录转为来源/产业关联。</x:v>
      </x:c>
    </x:row>
    <x:row r="15" ht="44" customHeight="1">
      <x:c r="A15" s="65" t="n">
        <x:v>14</x:v>
      </x:c>
      <x:c r="B15" s="39" t="str">
        <x:v>房地产项目招投标</x:v>
      </x:c>
      <x:c r="C15" s="42" t="n">
        <x:v>3</x:v>
      </x:c>
      <x:c r="D15" s="42" t="n">
        <x:f>C15-1</x:f>
        <x:v>2</x:v>
      </x:c>
      <x:c r="E15" s="42" t="n">
        <x:f>IF(F15="需拆分后合并",0,C15-1)</x:f>
        <x:v>2</x:v>
      </x:c>
      <x:c r="F15" s="39" t="str">
        <x:v>条件合并（先修分类）</x:v>
      </x:c>
      <x:c r="G15" s="39" t="str">
        <x:v>房地产项目招投标</x:v>
      </x:c>
      <x:c r="H15" s="39" t="str">
        <x:v>3-01-02-02；2-06-07-06；4-06-01-04</x:v>
      </x:c>
      <x:c r="I15" s="39" t="str">
        <x:v>秘书；房地产开发专业人员；智能楼宇管理员</x:v>
      </x:c>
      <x:c r="J15" s="39" t="str">
        <x:v>销售/客服 &gt; 销售行政及商务 &gt; 房地产项目招投标；建筑/房地产 &gt; 房地产开发 &gt; 房地产项目招投标；建筑/房地产 &gt; 物业管理 &gt; 房地产项目招投标</x:v>
      </x:c>
      <x:c r="K15" s="39" t="str">
        <x:v>IC-L3-462；IC-L3-631；IC-L3-641</x:v>
      </x:c>
      <x:c r="L15" s="39" t="str">
        <x:v>311；480；490</x:v>
      </x:c>
      <x:c r="M15" s="68" t="n">
        <x:v>0.166</x:v>
      </x:c>
      <x:c r="N15" s="68" t="n">
        <x:v>0.119</x:v>
      </x:c>
      <x:c r="O15" s="39" t="str">
        <x:v>岗位名称完全一致，但职业分类存在冲突；优先核对并修正分类，再合并标准岗位，来源产业关系必须保留。</x:v>
      </x:c>
    </x:row>
    <x:row r="16" ht="44" customHeight="1">
      <x:c r="A16" s="65" t="n">
        <x:v>15</x:v>
      </x:c>
      <x:c r="B16" s="39" t="str">
        <x:v>房地产销售经理/主管</x:v>
      </x:c>
      <x:c r="C16" s="42" t="n">
        <x:v>3</x:v>
      </x:c>
      <x:c r="D16" s="42" t="n">
        <x:f>C16-1</x:f>
        <x:v>2</x:v>
      </x:c>
      <x:c r="E16" s="42" t="n">
        <x:f>IF(F16="需拆分后合并",0,C16-1)</x:f>
        <x:v>2</x:v>
      </x:c>
      <x:c r="F16" s="39" t="str">
        <x:v>可直接合并</x:v>
      </x:c>
      <x:c r="G16" s="39" t="str">
        <x:v>房地产销售经理/主管</x:v>
      </x:c>
      <x:c r="H16" s="39" t="str">
        <x:v>4-01-02-01</x:v>
      </x:c>
      <x:c r="I16" s="39" t="str">
        <x:v>营销员</x:v>
      </x:c>
      <x:c r="J16" s="39" t="str">
        <x:v>销售/客服 &gt; 房地产销售 &gt; 房地产销售经理/主管；销售/客服 &gt; 销售高级管理 &gt; 房地产销售经理/主管；建筑/房地产 &gt; 房地产销售与中介 &gt; 房地产销售经理/主管</x:v>
      </x:c>
      <x:c r="K16" s="39" t="str">
        <x:v>IC-L3-418；IC-L3-480；IC-L3-637</x:v>
      </x:c>
      <x:c r="L16" s="39" t="str">
        <x:v>267；329；486</x:v>
      </x:c>
      <x:c r="M16" s="68" t="n">
        <x:v>0.175</x:v>
      </x:c>
      <x:c r="N16" s="68" t="n">
        <x:v>1</x:v>
      </x:c>
      <x:c r="O16" s="39" t="str">
        <x:v>岗位名称完全一致且职业分类一致；建议保留一个标准岗位，原记录转为来源/产业关联。</x:v>
      </x:c>
    </x:row>
    <x:row r="17" ht="44" customHeight="1">
      <x:c r="A17" s="65" t="n">
        <x:v>16</x:v>
      </x:c>
      <x:c r="B17" s="39" t="str">
        <x:v>服装/纺织设计总监</x:v>
      </x:c>
      <x:c r="C17" s="42" t="n">
        <x:v>3</x:v>
      </x:c>
      <x:c r="D17" s="42" t="n">
        <x:f>C17-1</x:f>
        <x:v>2</x:v>
      </x:c>
      <x:c r="E17" s="42" t="n">
        <x:f>IF(F17="需拆分后合并",0,C17-1)</x:f>
        <x:v>2</x:v>
      </x:c>
      <x:c r="F17" s="39" t="str">
        <x:v>条件合并（先修分类）</x:v>
      </x:c>
      <x:c r="G17" s="39" t="str">
        <x:v>服装/纺织设计总监</x:v>
      </x:c>
      <x:c r="H17" s="39" t="str">
        <x:v>6-23-01-01；2-09-06-01；2-06-07-01</x:v>
      </x:c>
      <x:c r="I17" s="39" t="str">
        <x:v>铁路机车制修工；视觉传达设计人员；国际商务专业人员</x:v>
      </x:c>
      <x:c r="J17" s="39" t="str">
        <x:v>生产制造 &gt; 服装/纺织/皮革 &gt; 服装/纺织设计总监；设计 &gt; 服装设计 &gt; 服装/纺织设计总监；设计 &gt; 高级设计管理 &gt; 服装/纺织设计总监</x:v>
      </x:c>
      <x:c r="K17" s="39" t="str">
        <x:v>IC-L3-839；IC-L3-1169；IC-L3-1189</x:v>
      </x:c>
      <x:c r="L17" s="39" t="str">
        <x:v>688；1018；1038</x:v>
      </x:c>
      <x:c r="M17" s="68" t="n">
        <x:v>0.179</x:v>
      </x:c>
      <x:c r="N17" s="68" t="n">
        <x:v>0.129</x:v>
      </x:c>
      <x:c r="O17" s="39" t="str">
        <x:v>岗位名称完全一致，但职业分类存在冲突；优先核对并修正分类，再合并标准岗位，来源产业关系必须保留。</x:v>
      </x:c>
    </x:row>
    <x:row r="18" ht="44" customHeight="1">
      <x:c r="A18" s="65" t="n">
        <x:v>17</x:v>
      </x:c>
      <x:c r="B18" s="39" t="str">
        <x:v>给排水设计</x:v>
      </x:c>
      <x:c r="C18" s="42" t="n">
        <x:v>3</x:v>
      </x:c>
      <x:c r="D18" s="42" t="n">
        <x:f>C18-1</x:f>
        <x:v>2</x:v>
      </x:c>
      <x:c r="E18" s="42" t="n">
        <x:f>IF(F18="需拆分后合并",0,C18-1)</x:f>
        <x:v>2</x:v>
      </x:c>
      <x:c r="F18" s="39" t="str">
        <x:v>条件合并（先修分类）</x:v>
      </x:c>
      <x:c r="G18" s="39" t="str">
        <x:v>给排水设计</x:v>
      </x:c>
      <x:c r="H18" s="39" t="str">
        <x:v>2-02-18-01；2-02-27-06；2-09-06-01</x:v>
      </x:c>
      <x:c r="I18" s="39" t="str">
        <x:v>建筑和市政设计工程技术人员；健康安全环境工程技术人员；视觉传达设计人员</x:v>
      </x:c>
      <x:c r="J18" s="39" t="str">
        <x:v>建筑/房地产 &gt; 建筑规划与设计 &gt; 给排水设计；能源/环保/化工 &gt; 环保 &gt; 给排水设计；设计 &gt; 建筑/室内设计 &gt; 给排水设计</x:v>
      </x:c>
      <x:c r="K18" s="39" t="str">
        <x:v>IC-L3-620；IC-L3-1092；IC-L3-1161</x:v>
      </x:c>
      <x:c r="L18" s="39" t="str">
        <x:v>469；941；1010</x:v>
      </x:c>
      <x:c r="M18" s="68" t="n">
        <x:v>0.132</x:v>
      </x:c>
      <x:c r="N18" s="68" t="n">
        <x:v>0.089</x:v>
      </x:c>
      <x:c r="O18" s="39" t="str">
        <x:v>岗位名称完全一致，但职业分类存在冲突；优先核对并修正分类，再合并标准岗位，来源产业关系必须保留。</x:v>
      </x:c>
    </x:row>
    <x:row r="19" ht="44" customHeight="1">
      <x:c r="A19" s="65" t="n">
        <x:v>18</x:v>
      </x:c>
      <x:c r="B19" s="39" t="str">
        <x:v>广告创意/设计经理</x:v>
      </x:c>
      <x:c r="C19" s="42" t="n">
        <x:v>3</x:v>
      </x:c>
      <x:c r="D19" s="42" t="n">
        <x:f>C19-1</x:f>
        <x:v>2</x:v>
      </x:c>
      <x:c r="E19" s="42" t="n">
        <x:f>IF(F19="需拆分后合并",0,C19-1)</x:f>
        <x:v>2</x:v>
      </x:c>
      <x:c r="F19" s="39" t="str">
        <x:v>可直接合并</x:v>
      </x:c>
      <x:c r="G19" s="39" t="str">
        <x:v>广告创意/设计经理</x:v>
      </x:c>
      <x:c r="H19" s="39" t="str">
        <x:v>2-09-06-01</x:v>
      </x:c>
      <x:c r="I19" s="39" t="str">
        <x:v>视觉传达设计人员</x:v>
      </x:c>
      <x:c r="J19" s="39" t="str">
        <x:v>市场/公关 &gt; 广告 &gt; 广告创意/设计经理；设计 &gt; 广告设计 &gt; 广告创意/设计经理；设计 &gt; 高级设计管理 &gt; 广告创意/设计经理</x:v>
      </x:c>
      <x:c r="K19" s="39" t="str">
        <x:v>IC-L3-558；IC-L3-1142；IC-L3-1187</x:v>
      </x:c>
      <x:c r="L19" s="39" t="str">
        <x:v>407；991；1036</x:v>
      </x:c>
      <x:c r="M19" s="68" t="n">
        <x:v>0.173</x:v>
      </x:c>
      <x:c r="N19" s="68" t="n">
        <x:v>0.163</x:v>
      </x:c>
      <x:c r="O19" s="39" t="str">
        <x:v>岗位名称完全一致且职业分类一致；建议保留一个标准岗位，原记录转为来源/产业关联。</x:v>
      </x:c>
    </x:row>
    <x:row r="20" ht="44" customHeight="1">
      <x:c r="A20" s="65" t="n">
        <x:v>19</x:v>
      </x:c>
      <x:c r="B20" s="39" t="str">
        <x:v>焊接工程师</x:v>
      </x:c>
      <x:c r="C20" s="42" t="n">
        <x:v>3</x:v>
      </x:c>
      <x:c r="D20" s="42" t="n">
        <x:f>C20-1</x:f>
        <x:v>2</x:v>
      </x:c>
      <x:c r="E20" s="42" t="n">
        <x:f>IF(F20="需拆分后合并",0,C20-1)</x:f>
        <x:v>2</x:v>
      </x:c>
      <x:c r="F20" s="39" t="str">
        <x:v>条件合并（先修分类）</x:v>
      </x:c>
      <x:c r="G20" s="39" t="str">
        <x:v>焊接工程师</x:v>
      </x:c>
      <x:c r="H20" s="39" t="str">
        <x:v>2-02-07-01；6-31-01-01；2-02-27-06</x:v>
      </x:c>
      <x:c r="I20" s="39" t="str">
        <x:v>机械设计工程技术人员；设备点检员；健康安全环境工程技术人员</x:v>
      </x:c>
      <x:c r="J20" s="39" t="str">
        <x:v>生产制造 &gt; 工程/机械 &gt; 焊接工程师；生产制造 &gt; 技工 &gt; 焊接工程师；能源/环保/化工 &gt; 环保 &gt; 焊接工程师</x:v>
      </x:c>
      <x:c r="K20" s="39" t="str">
        <x:v>IC-L3-800；IC-L3-826；IC-L3-1095</x:v>
      </x:c>
      <x:c r="L20" s="39" t="str">
        <x:v>649；675；944</x:v>
      </x:c>
      <x:c r="M20" s="68" t="n">
        <x:v>0.197</x:v>
      </x:c>
      <x:c r="N20" s="68" t="n">
        <x:v>0.213</x:v>
      </x:c>
      <x:c r="O20" s="39" t="str">
        <x:v>岗位名称完全一致，但职业分类存在冲突；优先核对并修正分类，再合并标准岗位，来源产业关系必须保留。</x:v>
      </x:c>
    </x:row>
    <x:row r="21" ht="44" customHeight="1">
      <x:c r="A21" s="65" t="n">
        <x:v>20</x:v>
      </x:c>
      <x:c r="B21" s="39" t="str">
        <x:v>核心网工程师</x:v>
      </x:c>
      <x:c r="C21" s="42" t="n">
        <x:v>3</x:v>
      </x:c>
      <x:c r="D21" s="42" t="n">
        <x:f>C21-1</x:f>
        <x:v>2</x:v>
      </x:c>
      <x:c r="E21" s="42" t="n">
        <x:f>IF(F21="需拆分后合并",0,C21-1)</x:f>
        <x:v>2</x:v>
      </x:c>
      <x:c r="F21" s="39" t="str">
        <x:v>可直接合并</x:v>
      </x:c>
      <x:c r="G21" s="39" t="str">
        <x:v>核心网工程师</x:v>
      </x:c>
      <x:c r="H21" s="39" t="str">
        <x:v>2-02-10-01</x:v>
      </x:c>
      <x:c r="I21" s="39" t="str">
        <x:v>通信工程技术人员</x:v>
      </x:c>
      <x:c r="J21" s="39" t="str">
        <x:v>通信/电子 &gt; 技术项目管理 &gt; 核心网工程师；通信/电子 &gt; 硬件开发 &gt; 核心网工程师；通信/电子 &gt; 通信技术开发与应用 &gt; 核心网工程师</x:v>
      </x:c>
      <x:c r="K21" s="39" t="str">
        <x:v>IC-L3-1297；IC-L3-1342；IC-L3-1360</x:v>
      </x:c>
      <x:c r="L21" s="39" t="str">
        <x:v>1146；1191；1209</x:v>
      </x:c>
      <x:c r="M21" s="68" t="n">
        <x:v>0.244</x:v>
      </x:c>
      <x:c r="N21" s="68" t="n">
        <x:v>0.082</x:v>
      </x:c>
      <x:c r="O21" s="39" t="str">
        <x:v>岗位名称完全一致且职业分类一致；建议保留一个标准岗位，原记录转为来源/产业关联。</x:v>
      </x:c>
    </x:row>
    <x:row r="22" ht="44" customHeight="1">
      <x:c r="A22" s="65" t="n">
        <x:v>21</x:v>
      </x:c>
      <x:c r="B22" s="39" t="str">
        <x:v>活动运营</x:v>
      </x:c>
      <x:c r="C22" s="42" t="n">
        <x:v>3</x:v>
      </x:c>
      <x:c r="D22" s="42" t="n">
        <x:f>C22-1</x:f>
        <x:v>2</x:v>
      </x:c>
      <x:c r="E22" s="42" t="n">
        <x:f>IF(F22="需拆分后合并",0,C22-1)</x:f>
        <x:v>2</x:v>
      </x:c>
      <x:c r="F22" s="39" t="str">
        <x:v>条件合并（先修分类）</x:v>
      </x:c>
      <x:c r="G22" s="39" t="str">
        <x:v>活动运营</x:v>
      </x:c>
      <x:c r="H22" s="39" t="str">
        <x:v>4-04-05-01；4-01-02-01</x:v>
      </x:c>
      <x:c r="I22" s="39" t="str">
        <x:v>计算机程序设计员；营销员</x:v>
      </x:c>
      <x:c r="J22" s="39" t="str">
        <x:v>互联网技术 &gt; 运维/技术支持 &gt; 活动运营；运营 &gt; 业务运营 &gt; 活动运营；运营 &gt; 线下运营 &gt; 活动运营</x:v>
      </x:c>
      <x:c r="K22" s="39" t="str">
        <x:v>IC-L3-236；IC-L3-1235；IC-L3-1260</x:v>
      </x:c>
      <x:c r="L22" s="39" t="str">
        <x:v>85；1084；1109</x:v>
      </x:c>
      <x:c r="M22" s="68" t="n">
        <x:v>0.21</x:v>
      </x:c>
      <x:c r="N22" s="68" t="n">
        <x:v>0.073</x:v>
      </x:c>
      <x:c r="O22" s="39" t="str">
        <x:v>岗位名称完全一致，但职业分类存在冲突；优先核对并修正分类，再合并标准岗位，来源产业关系必须保留。</x:v>
      </x:c>
    </x:row>
    <x:row r="23" ht="44" customHeight="1">
      <x:c r="A23" s="65" t="n">
        <x:v>22</x:v>
      </x:c>
      <x:c r="B23" s="39" t="str">
        <x:v>活动执行</x:v>
      </x:c>
      <x:c r="C23" s="42" t="n">
        <x:v>3</x:v>
      </x:c>
      <x:c r="D23" s="42" t="n">
        <x:f>C23-1</x:f>
        <x:v>2</x:v>
      </x:c>
      <x:c r="E23" s="42" t="n">
        <x:f>IF(F23="需拆分后合并",0,C23-1)</x:f>
        <x:v>2</x:v>
      </x:c>
      <x:c r="F23" s="39" t="str">
        <x:v>条件合并（先修分类）</x:v>
      </x:c>
      <x:c r="G23" s="39" t="str">
        <x:v>活动执行</x:v>
      </x:c>
      <x:c r="H23" s="39" t="str">
        <x:v>3-01-02-03；4-01-02-01；2-09-06-01</x:v>
      </x:c>
      <x:c r="I23" s="39" t="str">
        <x:v>公关员；营销员；视觉传达设计人员</x:v>
      </x:c>
      <x:c r="J23" s="39" t="str">
        <x:v>市场/公关 &gt; 公关/媒介 &gt; 活动执行；市场/公关 &gt; 市场/营销 &gt; 活动执行；市场/公关 &gt; 广告 &gt; 活动执行</x:v>
      </x:c>
      <x:c r="K23" s="39" t="str">
        <x:v>IC-L3-531；IC-L3-553；IC-L3-571</x:v>
      </x:c>
      <x:c r="L23" s="39" t="str">
        <x:v>380；402；420</x:v>
      </x:c>
      <x:c r="M23" s="68" t="n">
        <x:v>0.254</x:v>
      </x:c>
      <x:c r="N23" s="68" t="n">
        <x:v>0.216</x:v>
      </x:c>
      <x:c r="O23" s="39" t="str">
        <x:v>岗位名称完全一致，但职业分类存在冲突；优先核对并修正分类，再合并标准岗位，来源产业关系必须保留。</x:v>
      </x:c>
    </x:row>
    <x:row r="24" ht="44" customHeight="1">
      <x:c r="A24" s="65" t="n">
        <x:v>23</x:v>
      </x:c>
      <x:c r="B24" s="39" t="str">
        <x:v>机械项目管理</x:v>
      </x:c>
      <x:c r="C24" s="42" t="n">
        <x:v>3</x:v>
      </x:c>
      <x:c r="D24" s="42" t="n">
        <x:f>C24-1</x:f>
        <x:v>2</x:v>
      </x:c>
      <x:c r="E24" s="42" t="n">
        <x:f>IF(F24="需拆分后合并",0,C24-1)</x:f>
        <x:v>2</x:v>
      </x:c>
      <x:c r="F24" s="39" t="str">
        <x:v>条件合并（先修分类）</x:v>
      </x:c>
      <x:c r="G24" s="39" t="str">
        <x:v>机械项目管理</x:v>
      </x:c>
      <x:c r="H24" s="39" t="str">
        <x:v>2-02-07-01；6-31-01-01；2-02-30-04</x:v>
      </x:c>
      <x:c r="I24" s="39" t="str">
        <x:v>机械设计工程技术人员；设备点检员；项目管理工程技术人员</x:v>
      </x:c>
      <x:c r="J24" s="39" t="str">
        <x:v>生产制造 &gt; 工程/机械 &gt; 机械项目管理；生产制造 &gt; 生产/营运 &gt; 机械项目管理；项目经理/管理 &gt; 项目经理/管理 &gt; 机械项目管理</x:v>
      </x:c>
      <x:c r="K24" s="39" t="str">
        <x:v>IC-L3-793；IC-L3-864；IC-L3-1473</x:v>
      </x:c>
      <x:c r="L24" s="39" t="str">
        <x:v>642；713；1322</x:v>
      </x:c>
      <x:c r="M24" s="68" t="n">
        <x:v>0.196</x:v>
      </x:c>
      <x:c r="N24" s="68" t="n">
        <x:v>0.188</x:v>
      </x:c>
      <x:c r="O24" s="39" t="str">
        <x:v>岗位名称完全一致，但职业分类存在冲突；优先核对并修正分类，再合并标准岗位，来源产业关系必须保留。</x:v>
      </x:c>
    </x:row>
    <x:row r="25" ht="44" customHeight="1">
      <x:c r="A25" s="65" t="n">
        <x:v>24</x:v>
      </x:c>
      <x:c r="B25" s="39" t="str">
        <x:v>记者</x:v>
      </x:c>
      <x:c r="C25" s="42" t="n">
        <x:v>3</x:v>
      </x:c>
      <x:c r="D25" s="42" t="n">
        <x:f>C25-1</x:f>
        <x:v>2</x:v>
      </x:c>
      <x:c r="E25" s="42" t="n">
        <x:f>IF(F25="需拆分后合并",0,C25-1)</x:f>
        <x:v>2</x:v>
      </x:c>
      <x:c r="F25" s="39" t="str">
        <x:v>条件合并（先修分类）</x:v>
      </x:c>
      <x:c r="G25" s="39" t="str">
        <x:v>记者</x:v>
      </x:c>
      <x:c r="H25" s="39" t="str">
        <x:v>2-09-06-01；4-04-05-01</x:v>
      </x:c>
      <x:c r="I25" s="39" t="str">
        <x:v>视觉传达设计人员；计算机程序设计员</x:v>
      </x:c>
      <x:c r="J25" s="39" t="str">
        <x:v>文化/传媒 &gt; 影视/媒体 &gt; 记者；文化/传媒 &gt; 编辑/出版 &gt; 记者；运营 &gt; 内容运营 &gt; 记者</x:v>
      </x:c>
      <x:c r="K25" s="39" t="str">
        <x:v>IC-L3-681；IC-L3-699；IC-L3-1249</x:v>
      </x:c>
      <x:c r="L25" s="39" t="str">
        <x:v>530；548；1098</x:v>
      </x:c>
      <x:c r="M25" s="68" t="n">
        <x:v>0.227</x:v>
      </x:c>
      <x:c r="N25" s="68" t="n">
        <x:v>0.153</x:v>
      </x:c>
      <x:c r="O25" s="39" t="str">
        <x:v>岗位名称完全一致，但职业分类存在冲突；优先核对并修正分类，再合并标准岗位，来源产业关系必须保留。</x:v>
      </x:c>
    </x:row>
    <x:row r="26" ht="44" customHeight="1">
      <x:c r="A26" s="65" t="n">
        <x:v>25</x:v>
      </x:c>
      <x:c r="B26" s="39" t="str">
        <x:v>技术经理</x:v>
      </x:c>
      <x:c r="C26" s="42" t="n">
        <x:v>3</x:v>
      </x:c>
      <x:c r="D26" s="42" t="n">
        <x:f>C26-1</x:f>
        <x:v>2</x:v>
      </x:c>
      <x:c r="E26" s="42" t="n">
        <x:f>IF(F26="需拆分后合并",0,C26-1)</x:f>
        <x:v>0</x:v>
      </x:c>
      <x:c r="F26" s="39" t="str">
        <x:v>需拆分后合并</x:v>
      </x:c>
      <x:c r="G26" s="39" t="str">
        <x:v>按专业方向补充限定词后归并：技术经理</x:v>
      </x:c>
      <x:c r="H26" s="39" t="str">
        <x:v>2-02-10-03；4-04-05-01；2-06-07-16</x:v>
      </x:c>
      <x:c r="I26" s="39" t="str">
        <x:v>计算机软件工程技术人员；计算机程序设计员；技术经理人</x:v>
      </x:c>
      <x:c r="J26" s="39" t="str">
        <x:v>互联网技术 &gt; 技术管理 &gt; 技术经理；互联网技术 &gt; 销售技术支持 &gt; 技术经理；通信/电子 &gt; 技术项目管理 &gt; 技术经理</x:v>
      </x:c>
      <x:c r="K26" s="39" t="str">
        <x:v>IC-L3-185；IC-L3-245；IC-L3-1287</x:v>
      </x:c>
      <x:c r="L26" s="39" t="str">
        <x:v>34；94；1136</x:v>
      </x:c>
      <x:c r="M26" s="68" t="n">
        <x:v>0.109</x:v>
      </x:c>
      <x:c r="N26" s="68" t="n">
        <x:v>0.082</x:v>
      </x:c>
      <x:c r="O26" s="39" t="str">
        <x:v>名称过于宽泛，当前记录已跨越不同专业对象或岗位层级；应先补充行业/职能限定词，再分别归并。</x:v>
      </x:c>
    </x:row>
    <x:row r="27" ht="44" customHeight="1">
      <x:c r="A27" s="65" t="n">
        <x:v>26</x:v>
      </x:c>
      <x:c r="B27" s="39" t="str">
        <x:v>家装顾问</x:v>
      </x:c>
      <x:c r="C27" s="42" t="n">
        <x:v>3</x:v>
      </x:c>
      <x:c r="D27" s="42" t="n">
        <x:f>C27-1</x:f>
        <x:v>2</x:v>
      </x:c>
      <x:c r="E27" s="42" t="n">
        <x:f>IF(F27="需拆分后合并",0,C27-1)</x:f>
        <x:v>2</x:v>
      </x:c>
      <x:c r="F27" s="39" t="str">
        <x:v>条件合并（先修分类）</x:v>
      </x:c>
      <x:c r="G27" s="39" t="str">
        <x:v>家装顾问</x:v>
      </x:c>
      <x:c r="H27" s="39" t="str">
        <x:v>6-29-01-01；2-02-18-01；2-09-06-01</x:v>
      </x:c>
      <x:c r="I27" s="39" t="str">
        <x:v>砌筑工；建筑和市政设计工程技术人员；视觉传达设计人员</x:v>
      </x:c>
      <x:c r="J27" s="39" t="str">
        <x:v>建筑/房地产 &gt; 建筑/装修工人 &gt; 家装顾问；建筑/房地产 &gt; 建筑规划与设计 &gt; 家装顾问；设计 &gt; 建筑/室内设计 &gt; 家装顾问</x:v>
      </x:c>
      <x:c r="K27" s="39" t="str">
        <x:v>IC-L3-579；IC-L3-613；IC-L3-1153</x:v>
      </x:c>
      <x:c r="L27" s="39" t="str">
        <x:v>428；462；1002</x:v>
      </x:c>
      <x:c r="M27" s="68" t="n">
        <x:v>0.114</x:v>
      </x:c>
      <x:c r="N27" s="68" t="n">
        <x:v>0.087</x:v>
      </x:c>
      <x:c r="O27" s="39" t="str">
        <x:v>岗位名称完全一致，但职业分类存在冲突；优先核对并修正分类，再合并标准岗位，来源产业关系必须保留。</x:v>
      </x:c>
    </x:row>
    <x:row r="28" ht="44" customHeight="1">
      <x:c r="A28" s="65" t="n">
        <x:v>27</x:v>
      </x:c>
      <x:c r="B28" s="39" t="str">
        <x:v>架构师</x:v>
      </x:c>
      <x:c r="C28" s="42" t="n">
        <x:v>3</x:v>
      </x:c>
      <x:c r="D28" s="42" t="n">
        <x:f>C28-1</x:f>
        <x:v>2</x:v>
      </x:c>
      <x:c r="E28" s="42" t="n">
        <x:f>IF(F28="需拆分后合并",0,C28-1)</x:f>
        <x:v>2</x:v>
      </x:c>
      <x:c r="F28" s="39" t="str">
        <x:v>可直接合并</x:v>
      </x:c>
      <x:c r="G28" s="39" t="str">
        <x:v>架构师</x:v>
      </x:c>
      <x:c r="H28" s="39" t="str">
        <x:v>2-02-10-03</x:v>
      </x:c>
      <x:c r="I28" s="39" t="str">
        <x:v>计算机软件工程技术人员</x:v>
      </x:c>
      <x:c r="J28" s="39" t="str">
        <x:v>互联网技术 &gt; 后端开发 &gt; 架构师；互联网技术 &gt; 运维/技术支持 &gt; 架构师；通信/电子 &gt; 硬件开发 &gt; 架构师</x:v>
      </x:c>
      <x:c r="K28" s="39" t="str">
        <x:v>IC-L3-178；IC-L3-231；IC-L3-1341</x:v>
      </x:c>
      <x:c r="L28" s="39" t="str">
        <x:v>27；80；1190</x:v>
      </x:c>
      <x:c r="M28" s="68" t="n">
        <x:v>0.163</x:v>
      </x:c>
      <x:c r="N28" s="68" t="n">
        <x:v>0.129</x:v>
      </x:c>
      <x:c r="O28" s="39" t="str">
        <x:v>岗位名称完全一致且职业分类一致；建议保留一个标准岗位，原记录转为来源/产业关联。</x:v>
      </x:c>
    </x:row>
    <x:row r="29" ht="44" customHeight="1">
      <x:c r="A29" s="65" t="n">
        <x:v>28</x:v>
      </x:c>
      <x:c r="B29" s="39" t="str">
        <x:v>课程顾问</x:v>
      </x:c>
      <x:c r="C29" s="42" t="n">
        <x:v>3</x:v>
      </x:c>
      <x:c r="D29" s="42" t="n">
        <x:f>C29-1</x:f>
        <x:v>2</x:v>
      </x:c>
      <x:c r="E29" s="42" t="n">
        <x:f>IF(F29="需拆分后合并",0,C29-1)</x:f>
        <x:v>2</x:v>
      </x:c>
      <x:c r="F29" s="39" t="str">
        <x:v>可直接合并</x:v>
      </x:c>
      <x:c r="G29" s="39" t="str">
        <x:v>课程顾问</x:v>
      </x:c>
      <x:c r="H29" s="39" t="str">
        <x:v>2-08-01-01</x:v>
      </x:c>
      <x:c r="I29" s="39" t="str">
        <x:v>普通高等学校教师</x:v>
      </x:c>
      <x:c r="J29" s="39" t="str">
        <x:v>销售/客服 &gt; 教培销售 &gt; 课程顾问；生活服务/零售 &gt; 婚庆 &gt; 课程顾问；科研/教育/培训 &gt; 教育咨询 &gt; 课程顾问</x:v>
      </x:c>
      <x:c r="K29" s="39" t="str">
        <x:v>IC-L3-421；IC-L3-950；IC-L3-1052</x:v>
      </x:c>
      <x:c r="L29" s="39" t="str">
        <x:v>270；799；901</x:v>
      </x:c>
      <x:c r="M29" s="68" t="n">
        <x:v>0.09</x:v>
      </x:c>
      <x:c r="N29" s="68" t="n">
        <x:v>0.098</x:v>
      </x:c>
      <x:c r="O29" s="39" t="str">
        <x:v>岗位名称完全一致且职业分类一致；建议保留一个标准岗位，原记录转为来源/产业关联。</x:v>
      </x:c>
    </x:row>
    <x:row r="30" ht="44" customHeight="1">
      <x:c r="A30" s="65" t="n">
        <x:v>29</x:v>
      </x:c>
      <x:c r="B30" s="39" t="str">
        <x:v>理财顾问</x:v>
      </x:c>
      <x:c r="C30" s="42" t="n">
        <x:v>3</x:v>
      </x:c>
      <x:c r="D30" s="42" t="n">
        <x:f>C30-1</x:f>
        <x:v>2</x:v>
      </x:c>
      <x:c r="E30" s="42" t="n">
        <x:f>IF(F30="需拆分后合并",0,C30-1)</x:f>
        <x:v>2</x:v>
      </x:c>
      <x:c r="F30" s="39" t="str">
        <x:v>条件合并（先修分类）</x:v>
      </x:c>
      <x:c r="G30" s="39" t="str">
        <x:v>理财顾问</x:v>
      </x:c>
      <x:c r="H30" s="39" t="str">
        <x:v>2-06-11-04；2-06-10-01；2-06-11-02</x:v>
      </x:c>
      <x:c r="I30" s="39" t="str">
        <x:v>金融产品销售专业人员；精算专业人员；证券交易专业人员</x:v>
      </x:c>
      <x:c r="J30" s="39" t="str">
        <x:v>销售/客服 &gt; 金融销售 &gt; 理财顾问；金融 &gt; 保险 &gt; 理财顾问；金融 &gt; 金融 &gt; 理财顾问</x:v>
      </x:c>
      <x:c r="K30" s="39" t="str">
        <x:v>IC-L3-406；IC-L3-1411；IC-L3-1443</x:v>
      </x:c>
      <x:c r="L30" s="39" t="str">
        <x:v>255；1260；1292</x:v>
      </x:c>
      <x:c r="M30" s="68" t="n">
        <x:v>0.229</x:v>
      </x:c>
      <x:c r="N30" s="68" t="n">
        <x:v>0.137</x:v>
      </x:c>
      <x:c r="O30" s="39" t="str">
        <x:v>岗位名称完全一致，但职业分类存在冲突；优先核对并修正分类，再合并标准岗位，来源产业关系必须保留。</x:v>
      </x:c>
    </x:row>
    <x:row r="31" ht="44" customHeight="1">
      <x:c r="A31" s="65" t="n">
        <x:v>30</x:v>
      </x:c>
      <x:c r="B31" s="39" t="str">
        <x:v>临床协调员</x:v>
      </x:c>
      <x:c r="C31" s="42" t="n">
        <x:v>3</x:v>
      </x:c>
      <x:c r="D31" s="42" t="n">
        <x:f>C31-1</x:f>
        <x:v>2</x:v>
      </x:c>
      <x:c r="E31" s="42" t="n">
        <x:f>IF(F31="需拆分后合并",0,C31-1)</x:f>
        <x:v>2</x:v>
      </x:c>
      <x:c r="F31" s="39" t="str">
        <x:v>条件合并（先修分类）</x:v>
      </x:c>
      <x:c r="G31" s="39" t="str">
        <x:v>临床协调员</x:v>
      </x:c>
      <x:c r="H31" s="39" t="str">
        <x:v>2-05-07-01；2-05-01-19</x:v>
      </x:c>
      <x:c r="I31" s="39" t="str">
        <x:v>影像技师；全科医师</x:v>
      </x:c>
      <x:c r="J31" s="39" t="str">
        <x:v>医药/医疗 &gt; 临床试验 &gt; 临床协调员；医药/医疗 &gt; 医生/医技 &gt; 临床协调员；医药/医疗 &gt; 生物制药 &gt; 临床协调员</x:v>
      </x:c>
      <x:c r="K31" s="39" t="str">
        <x:v>IC-L3-308；IC-L3-341；IC-L3-401</x:v>
      </x:c>
      <x:c r="L31" s="39" t="str">
        <x:v>157；190；250</x:v>
      </x:c>
      <x:c r="M31" s="68" t="n">
        <x:v>0.203</x:v>
      </x:c>
      <x:c r="N31" s="68" t="n">
        <x:v>0.132</x:v>
      </x:c>
      <x:c r="O31" s="39" t="str">
        <x:v>岗位名称完全一致，但职业分类存在冲突；优先核对并修正分类，再合并标准岗位，来源产业关系必须保留。</x:v>
      </x:c>
    </x:row>
    <x:row r="32" ht="44" customHeight="1">
      <x:c r="A32" s="65" t="n">
        <x:v>31</x:v>
      </x:c>
      <x:c r="B32" s="39" t="str">
        <x:v>留学顾问</x:v>
      </x:c>
      <x:c r="C32" s="42" t="n">
        <x:v>3</x:v>
      </x:c>
      <x:c r="D32" s="42" t="n">
        <x:f>C32-1</x:f>
        <x:v>2</x:v>
      </x:c>
      <x:c r="E32" s="42" t="n">
        <x:f>IF(F32="需拆分后合并",0,C32-1)</x:f>
        <x:v>2</x:v>
      </x:c>
      <x:c r="F32" s="39" t="str">
        <x:v>可直接合并</x:v>
      </x:c>
      <x:c r="G32" s="39" t="str">
        <x:v>留学顾问</x:v>
      </x:c>
      <x:c r="H32" s="39" t="str">
        <x:v>2-08-01-01</x:v>
      </x:c>
      <x:c r="I32" s="39" t="str">
        <x:v>普通高等学校教师</x:v>
      </x:c>
      <x:c r="J32" s="39" t="str">
        <x:v>销售/客服 &gt; 教培销售 &gt; 留学顾问；生活服务/零售 &gt; 婚庆 &gt; 留学顾问；科研/教育/培训 &gt; 教育咨询 &gt; 留学顾问</x:v>
      </x:c>
      <x:c r="K32" s="39" t="str">
        <x:v>IC-L3-420；IC-L3-951；IC-L3-1051</x:v>
      </x:c>
      <x:c r="L32" s="39" t="str">
        <x:v>269；800；900</x:v>
      </x:c>
      <x:c r="M32" s="68" t="n">
        <x:v>0.099</x:v>
      </x:c>
      <x:c r="N32" s="68" t="n">
        <x:v>0.361</x:v>
      </x:c>
      <x:c r="O32" s="39" t="str">
        <x:v>岗位名称完全一致且职业分类一致；建议保留一个标准岗位，原记录转为来源/产业关联。</x:v>
      </x:c>
    </x:row>
    <x:row r="33" ht="44" customHeight="1">
      <x:c r="A33" s="65" t="n">
        <x:v>32</x:v>
      </x:c>
      <x:c r="B33" s="39" t="str">
        <x:v>模具设计</x:v>
      </x:c>
      <x:c r="C33" s="42" t="n">
        <x:v>3</x:v>
      </x:c>
      <x:c r="D33" s="42" t="n">
        <x:f>C33-1</x:f>
        <x:v>2</x:v>
      </x:c>
      <x:c r="E33" s="42" t="n">
        <x:f>IF(F33="需拆分后合并",0,C33-1)</x:f>
        <x:v>2</x:v>
      </x:c>
      <x:c r="F33" s="39" t="str">
        <x:v>条件合并（先修分类）</x:v>
      </x:c>
      <x:c r="G33" s="39" t="str">
        <x:v>模具设计</x:v>
      </x:c>
      <x:c r="H33" s="39" t="str">
        <x:v>2-02-07-01；2-09-06-01；2-02-09-02</x:v>
      </x:c>
      <x:c r="I33" s="39" t="str">
        <x:v>机械设计工程技术人员；视觉传达设计人员；电子元器件工程技术人员</x:v>
      </x:c>
      <x:c r="J33" s="39" t="str">
        <x:v>生产制造 &gt; 工程/机械 &gt; 模具设计；设计 &gt; 工业设计 &gt; 模具设计；通信/电子 &gt; 硬件开发 &gt; 模具设计</x:v>
      </x:c>
      <x:c r="K33" s="39" t="str">
        <x:v>IC-L3-797；IC-L3-1131；IC-L3-1336</x:v>
      </x:c>
      <x:c r="L33" s="39" t="str">
        <x:v>646；980；1185</x:v>
      </x:c>
      <x:c r="M33" s="68" t="n">
        <x:v>0.218</x:v>
      </x:c>
      <x:c r="N33" s="68" t="n">
        <x:v>0.189</x:v>
      </x:c>
      <x:c r="O33" s="39" t="str">
        <x:v>岗位名称完全一致，但职业分类存在冲突；优先核对并修正分类，再合并标准岗位，来源产业关系必须保留。</x:v>
      </x:c>
    </x:row>
    <x:row r="34" ht="44" customHeight="1">
      <x:c r="A34" s="65" t="n">
        <x:v>33</x:v>
      </x:c>
      <x:c r="B34" s="39" t="str">
        <x:v>培训讲师</x:v>
      </x:c>
      <x:c r="C34" s="42" t="n">
        <x:v>3</x:v>
      </x:c>
      <x:c r="D34" s="42" t="n">
        <x:f>C34-1</x:f>
        <x:v>2</x:v>
      </x:c>
      <x:c r="E34" s="42" t="n">
        <x:f>IF(F34="需拆分后合并",0,C34-1)</x:f>
        <x:v>2</x:v>
      </x:c>
      <x:c r="F34" s="39" t="str">
        <x:v>可直接合并</x:v>
      </x:c>
      <x:c r="G34" s="39" t="str">
        <x:v>培训讲师</x:v>
      </x:c>
      <x:c r="H34" s="39" t="str">
        <x:v>4-07-03-05</x:v>
      </x:c>
      <x:c r="I34" s="39" t="str">
        <x:v>职业培训师</x:v>
      </x:c>
      <x:c r="J34" s="39" t="str">
        <x:v>生活服务/零售 &gt; 服务员 &gt; 培训讲师；科研/教育/培训 &gt; 教师 &gt; 培训讲师；科研/教育/培训 &gt; 特长教育/培训 &gt; 培训讲师</x:v>
      </x:c>
      <x:c r="K34" s="39" t="str">
        <x:v>IC-L3-980；IC-L3-1046；IC-L3-1062</x:v>
      </x:c>
      <x:c r="L34" s="39" t="str">
        <x:v>829；895；911</x:v>
      </x:c>
      <x:c r="M34" s="68" t="n">
        <x:v>0.21</x:v>
      </x:c>
      <x:c r="N34" s="68" t="n">
        <x:v>0.064</x:v>
      </x:c>
      <x:c r="O34" s="39" t="str">
        <x:v>岗位名称完全一致且职业分类一致；建议保留一个标准岗位，原记录转为来源/产业关联。</x:v>
      </x:c>
    </x:row>
    <x:row r="35" ht="44" customHeight="1">
      <x:c r="A35" s="65" t="n">
        <x:v>34</x:v>
      </x:c>
      <x:c r="B35" s="39" t="str">
        <x:v>品类运营</x:v>
      </x:c>
      <x:c r="C35" s="42" t="n">
        <x:v>3</x:v>
      </x:c>
      <x:c r="D35" s="42" t="n">
        <x:f>C35-1</x:f>
        <x:v>2</x:v>
      </x:c>
      <x:c r="E35" s="42" t="n">
        <x:f>IF(F35="需拆分后合并",0,C35-1)</x:f>
        <x:v>2</x:v>
      </x:c>
      <x:c r="F35" s="39" t="str">
        <x:v>可直接合并</x:v>
      </x:c>
      <x:c r="G35" s="39" t="str">
        <x:v>品类运营</x:v>
      </x:c>
      <x:c r="H35" s="39" t="str">
        <x:v>4-01-02-03</x:v>
      </x:c>
      <x:c r="I35" s="39" t="str">
        <x:v>商品营业员</x:v>
      </x:c>
      <x:c r="J35" s="39" t="str">
        <x:v>运营 &gt; 业务运营 &gt; 品类运营；运营 &gt; 电商运营 &gt; 品类运营；通信/电子 &gt; 电子/电器/仪器仪表 &gt; 品类运营</x:v>
      </x:c>
      <x:c r="K35" s="39" t="str">
        <x:v>IC-L3-1245；IC-L3-1254；IC-L3-1330</x:v>
      </x:c>
      <x:c r="L35" s="39" t="str">
        <x:v>1094；1103；1179</x:v>
      </x:c>
      <x:c r="M35" s="68" t="n">
        <x:v>0.232</x:v>
      </x:c>
      <x:c r="N35" s="68" t="n">
        <x:v>0.186</x:v>
      </x:c>
      <x:c r="O35" s="39" t="str">
        <x:v>岗位名称完全一致且职业分类一致；建议保留一个标准岗位，原记录转为来源/产业关联。</x:v>
      </x:c>
    </x:row>
    <x:row r="36" ht="44" customHeight="1">
      <x:c r="A36" s="65" t="n">
        <x:v>35</x:v>
      </x:c>
      <x:c r="B36" s="39" t="str">
        <x:v>汽车电子工程师</x:v>
      </x:c>
      <x:c r="C36" s="42" t="n">
        <x:v>3</x:v>
      </x:c>
      <x:c r="D36" s="42" t="n">
        <x:f>C36-1</x:f>
        <x:v>2</x:v>
      </x:c>
      <x:c r="E36" s="42" t="n">
        <x:f>IF(F36="需拆分后合并",0,C36-1)</x:f>
        <x:v>2</x:v>
      </x:c>
      <x:c r="F36" s="39" t="str">
        <x:v>可直接合并</x:v>
      </x:c>
      <x:c r="G36" s="39" t="str">
        <x:v>汽车电子工程师</x:v>
      </x:c>
      <x:c r="H36" s="39" t="str">
        <x:v>2-02-09-02</x:v>
      </x:c>
      <x:c r="I36" s="39" t="str">
        <x:v>电子元器件工程技术人员</x:v>
      </x:c>
      <x:c r="J36" s="39" t="str">
        <x:v>汽车 &gt; 汽车制造 &gt; 汽车电子工程师；汽车 &gt; 汽车研发设计 &gt; 汽车电子工程师；汽车 &gt; 汽车销售与服务 &gt; 汽车电子工程师</x:v>
      </x:c>
      <x:c r="K36" s="39" t="str">
        <x:v>IC-L3-720；IC-L3-737；IC-L3-762</x:v>
      </x:c>
      <x:c r="L36" s="39" t="str">
        <x:v>569；586；611</x:v>
      </x:c>
      <x:c r="M36" s="68" t="n">
        <x:v>0.194</x:v>
      </x:c>
      <x:c r="N36" s="68" t="n">
        <x:v>0.173</x:v>
      </x:c>
      <x:c r="O36" s="39" t="str">
        <x:v>岗位名称完全一致且职业分类一致；建议保留一个标准岗位，原记录转为来源/产业关联。</x:v>
      </x:c>
    </x:row>
    <x:row r="37" ht="44" customHeight="1">
      <x:c r="A37" s="65" t="n">
        <x:v>36</x:v>
      </x:c>
      <x:c r="B37" s="39" t="str">
        <x:v>生产安全员</x:v>
      </x:c>
      <x:c r="C37" s="42" t="n">
        <x:v>3</x:v>
      </x:c>
      <x:c r="D37" s="42" t="n">
        <x:f>C37-1</x:f>
        <x:v>2</x:v>
      </x:c>
      <x:c r="E37" s="42" t="n">
        <x:f>IF(F37="需拆分后合并",0,C37-1)</x:f>
        <x:v>2</x:v>
      </x:c>
      <x:c r="F37" s="39" t="str">
        <x:v>条件合并（先修分类）</x:v>
      </x:c>
      <x:c r="G37" s="39" t="str">
        <x:v>生产安全员</x:v>
      </x:c>
      <x:c r="H37" s="39" t="str">
        <x:v>2-02-18-01；2-02-28-03；2-02-29-03</x:v>
      </x:c>
      <x:c r="I37" s="39" t="str">
        <x:v>建筑和市政设计工程技术人员；安全生产管理工程技术人员；质量管理工程技术人员</x:v>
      </x:c>
      <x:c r="J37" s="39" t="str">
        <x:v>建筑/房地产 &gt; 建筑工程 &gt; 生产安全员；生产制造 &gt; 生产安全 &gt; 生产安全员；生产制造 &gt; 质量管理 &gt; 生产安全员</x:v>
      </x:c>
      <x:c r="K37" s="39" t="str">
        <x:v>IC-L3-598；IC-L3-880；IC-L3-894</x:v>
      </x:c>
      <x:c r="L37" s="39" t="str">
        <x:v>447；729；743</x:v>
      </x:c>
      <x:c r="M37" s="68" t="n">
        <x:v>0.206</x:v>
      </x:c>
      <x:c r="N37" s="68" t="n">
        <x:v>0.239</x:v>
      </x:c>
      <x:c r="O37" s="39" t="str">
        <x:v>岗位名称完全一致，但职业分类存在冲突；优先核对并修正分类，再合并标准岗位，来源产业关系必须保留。</x:v>
      </x:c>
    </x:row>
    <x:row r="38" ht="44" customHeight="1">
      <x:c r="A38" s="65" t="n">
        <x:v>37</x:v>
      </x:c>
      <x:c r="B38" s="39" t="str">
        <x:v>室内设计经理/主管</x:v>
      </x:c>
      <x:c r="C38" s="42" t="n">
        <x:v>3</x:v>
      </x:c>
      <x:c r="D38" s="42" t="n">
        <x:f>C38-1</x:f>
        <x:v>2</x:v>
      </x:c>
      <x:c r="E38" s="42" t="n">
        <x:f>IF(F38="需拆分后合并",0,C38-1)</x:f>
        <x:v>2</x:v>
      </x:c>
      <x:c r="F38" s="39" t="str">
        <x:v>条件合并（先修分类）</x:v>
      </x:c>
      <x:c r="G38" s="39" t="str">
        <x:v>室内设计经理/主管</x:v>
      </x:c>
      <x:c r="H38" s="39" t="str">
        <x:v>2-02-18-01；2-09-06-01；2-06-07-01</x:v>
      </x:c>
      <x:c r="I38" s="39" t="str">
        <x:v>建筑和市政设计工程技术人员；视觉传达设计人员；国际商务专业人员</x:v>
      </x:c>
      <x:c r="J38" s="39" t="str">
        <x:v>建筑/房地产 &gt; 建筑规划与设计 &gt; 室内设计经理/主管；设计 &gt; 建筑/室内设计 &gt; 室内设计经理/主管；设计 &gt; 高级设计管理 &gt; 室内设计经理/主管</x:v>
      </x:c>
      <x:c r="K38" s="39" t="str">
        <x:v>IC-L3-612；IC-L3-1151；IC-L3-1184</x:v>
      </x:c>
      <x:c r="L38" s="39" t="str">
        <x:v>461；1000；1033</x:v>
      </x:c>
      <x:c r="M38" s="68" t="n">
        <x:v>0.163</x:v>
      </x:c>
      <x:c r="N38" s="68" t="n">
        <x:v>0.156</x:v>
      </x:c>
      <x:c r="O38" s="39" t="str">
        <x:v>岗位名称完全一致，但职业分类存在冲突；优先核对并修正分类，再合并标准岗位，来源产业关系必须保留。</x:v>
      </x:c>
    </x:row>
    <x:row r="39" ht="44" customHeight="1">
      <x:c r="A39" s="65" t="n">
        <x:v>38</x:v>
      </x:c>
      <x:c r="B39" s="39" t="str">
        <x:v>室内设计总监</x:v>
      </x:c>
      <x:c r="C39" s="42" t="n">
        <x:v>3</x:v>
      </x:c>
      <x:c r="D39" s="42" t="n">
        <x:f>C39-1</x:f>
        <x:v>2</x:v>
      </x:c>
      <x:c r="E39" s="42" t="n">
        <x:f>IF(F39="需拆分后合并",0,C39-1)</x:f>
        <x:v>2</x:v>
      </x:c>
      <x:c r="F39" s="39" t="str">
        <x:v>条件合并（先修分类）</x:v>
      </x:c>
      <x:c r="G39" s="39" t="str">
        <x:v>室内设计总监</x:v>
      </x:c>
      <x:c r="H39" s="39" t="str">
        <x:v>2-02-18-01；2-09-06-01；2-06-07-01</x:v>
      </x:c>
      <x:c r="I39" s="39" t="str">
        <x:v>建筑和市政设计工程技术人员；视觉传达设计人员；国际商务专业人员</x:v>
      </x:c>
      <x:c r="J39" s="39" t="str">
        <x:v>建筑/房地产 &gt; 建筑规划与设计 &gt; 室内设计总监；设计 &gt; 建筑/室内设计 &gt; 室内设计总监；设计 &gt; 高级设计管理 &gt; 室内设计总监</x:v>
      </x:c>
      <x:c r="K39" s="39" t="str">
        <x:v>IC-L3-611；IC-L3-1150；IC-L3-1183</x:v>
      </x:c>
      <x:c r="L39" s="39" t="str">
        <x:v>460；999；1032</x:v>
      </x:c>
      <x:c r="M39" s="68" t="n">
        <x:v>0.18</x:v>
      </x:c>
      <x:c r="N39" s="68" t="n">
        <x:v>0.204</x:v>
      </x:c>
      <x:c r="O39" s="39" t="str">
        <x:v>岗位名称完全一致，但职业分类存在冲突；优先核对并修正分类，再合并标准岗位，来源产业关系必须保留。</x:v>
      </x:c>
    </x:row>
    <x:row r="40" ht="44" customHeight="1">
      <x:c r="A40" s="65" t="n">
        <x:v>39</x:v>
      </x:c>
      <x:c r="B40" s="39" t="str">
        <x:v>首席财务官CFO</x:v>
      </x:c>
      <x:c r="C40" s="42" t="n">
        <x:v>3</x:v>
      </x:c>
      <x:c r="D40" s="42" t="n">
        <x:f>C40-1</x:f>
        <x:v>2</x:v>
      </x:c>
      <x:c r="E40" s="42" t="n">
        <x:f>IF(F40="需拆分后合并",0,C40-1)</x:f>
        <x:v>2</x:v>
      </x:c>
      <x:c r="F40" s="39" t="str">
        <x:v>条件合并（先修分类）</x:v>
      </x:c>
      <x:c r="G40" s="39" t="str">
        <x:v>首席财务官CFO</x:v>
      </x:c>
      <x:c r="H40" s="39" t="str">
        <x:v>2-06-03-00；1-06-01-01</x:v>
      </x:c>
      <x:c r="I40" s="39" t="str">
        <x:v>会计专业人员；企业董事</x:v>
      </x:c>
      <x:c r="J40" s="39" t="str">
        <x:v>财务/税务/法务 &gt; 财务 &gt; 首席财务官CFO；财务/税务/法务 &gt; 高级财务管理 &gt; 首席财务官CFO；高级管理 &gt; 高级管理 &gt; 首席财务官CFO</x:v>
      </x:c>
      <x:c r="K40" s="39" t="str">
        <x:v>IC-L3-1227；IC-L3-1229；IC-L3-1507</x:v>
      </x:c>
      <x:c r="L40" s="39" t="str">
        <x:v>1076；1078；1356</x:v>
      </x:c>
      <x:c r="M40" s="68" t="n">
        <x:v>0.226</x:v>
      </x:c>
      <x:c r="N40" s="68" t="n">
        <x:v>0.16</x:v>
      </x:c>
      <x:c r="O40" s="39" t="str">
        <x:v>岗位名称完全一致，但职业分类存在冲突；优先核对并修正分类，再合并标准岗位，来源产业关系必须保留。</x:v>
      </x:c>
    </x:row>
    <x:row r="41" ht="44" customHeight="1">
      <x:c r="A41" s="65" t="n">
        <x:v>40</x:v>
      </x:c>
      <x:c r="B41" s="39" t="str">
        <x:v>首席技术执行官CTO</x:v>
      </x:c>
      <x:c r="C41" s="42" t="n">
        <x:v>3</x:v>
      </x:c>
      <x:c r="D41" s="42" t="n">
        <x:f>C41-1</x:f>
        <x:v>2</x:v>
      </x:c>
      <x:c r="E41" s="42" t="n">
        <x:f>IF(F41="需拆分后合并",0,C41-1)</x:f>
        <x:v>2</x:v>
      </x:c>
      <x:c r="F41" s="39" t="str">
        <x:v>条件合并（先修分类）</x:v>
      </x:c>
      <x:c r="G41" s="39" t="str">
        <x:v>首席技术执行官CTO</x:v>
      </x:c>
      <x:c r="H41" s="39" t="str">
        <x:v>2-02-10-03；2-02-30-04；1-06-01-01</x:v>
      </x:c>
      <x:c r="I41" s="39" t="str">
        <x:v>计算机软件工程技术人员；项目管理工程技术人员；企业董事</x:v>
      </x:c>
      <x:c r="J41" s="39" t="str">
        <x:v>互联网技术 &gt; 技术管理 &gt; 首席技术执行官CTO；通信/电子 &gt; 技术项目管理 &gt; 首席技术执行官CTO；高级管理 &gt; 高级管理 &gt; 首席技术执行官CTO</x:v>
      </x:c>
      <x:c r="K41" s="39" t="str">
        <x:v>IC-L3-193；IC-L3-1295；IC-L3-1505</x:v>
      </x:c>
      <x:c r="L41" s="39" t="str">
        <x:v>42；1144；1354</x:v>
      </x:c>
      <x:c r="M41" s="68" t="n">
        <x:v>0.226</x:v>
      </x:c>
      <x:c r="N41" s="68" t="n">
        <x:v>0.184</x:v>
      </x:c>
      <x:c r="O41" s="39" t="str">
        <x:v>岗位名称完全一致，但职业分类存在冲突；优先核对并修正分类，再合并标准岗位，来源产业关系必须保留。</x:v>
      </x:c>
    </x:row>
    <x:row r="42" ht="44" customHeight="1">
      <x:c r="A42" s="65" t="n">
        <x:v>41</x:v>
      </x:c>
      <x:c r="B42" s="39" t="str">
        <x:v>首席信息官CIO</x:v>
      </x:c>
      <x:c r="C42" s="42" t="n">
        <x:v>3</x:v>
      </x:c>
      <x:c r="D42" s="42" t="n">
        <x:f>C42-1</x:f>
        <x:v>2</x:v>
      </x:c>
      <x:c r="E42" s="42" t="n">
        <x:f>IF(F42="需拆分后合并",0,C42-1)</x:f>
        <x:v>2</x:v>
      </x:c>
      <x:c r="F42" s="39" t="str">
        <x:v>条件合并（先修分类）</x:v>
      </x:c>
      <x:c r="G42" s="39" t="str">
        <x:v>首席信息官CIO</x:v>
      </x:c>
      <x:c r="H42" s="39" t="str">
        <x:v>2-02-10-03；2-02-30-04；1-06-01-01</x:v>
      </x:c>
      <x:c r="I42" s="39" t="str">
        <x:v>计算机软件工程技术人员；项目管理工程技术人员；企业董事</x:v>
      </x:c>
      <x:c r="J42" s="39" t="str">
        <x:v>互联网技术 &gt; 技术管理 &gt; 首席信息官CIO；通信/电子 &gt; 技术项目管理 &gt; 首席信息官CIO；高级管理 &gt; 高级管理 &gt; 首席信息官CIO</x:v>
      </x:c>
      <x:c r="K42" s="39" t="str">
        <x:v>IC-L3-192；IC-L3-1294；IC-L3-1504</x:v>
      </x:c>
      <x:c r="L42" s="39" t="str">
        <x:v>41；1143；1353</x:v>
      </x:c>
      <x:c r="M42" s="68" t="n">
        <x:v>0.214</x:v>
      </x:c>
      <x:c r="N42" s="68" t="n">
        <x:v>0.168</x:v>
      </x:c>
      <x:c r="O42" s="39" t="str">
        <x:v>岗位名称完全一致，但职业分类存在冲突；优先核对并修正分类，再合并标准岗位，来源产业关系必须保留。</x:v>
      </x:c>
    </x:row>
    <x:row r="43" ht="44" customHeight="1">
      <x:c r="A43" s="65" t="n">
        <x:v>42</x:v>
      </x:c>
      <x:c r="B43" s="39" t="str">
        <x:v>首席营销官CMO</x:v>
      </x:c>
      <x:c r="C43" s="42" t="n">
        <x:v>3</x:v>
      </x:c>
      <x:c r="D43" s="42" t="n">
        <x:f>C43-1</x:f>
        <x:v>2</x:v>
      </x:c>
      <x:c r="E43" s="42" t="n">
        <x:f>IF(F43="需拆分后合并",0,C43-1)</x:f>
        <x:v>2</x:v>
      </x:c>
      <x:c r="F43" s="39" t="str">
        <x:v>可直接合并</x:v>
      </x:c>
      <x:c r="G43" s="39" t="str">
        <x:v>首席营销官CMO</x:v>
      </x:c>
      <x:c r="H43" s="39" t="str">
        <x:v>4-01-02-01</x:v>
      </x:c>
      <x:c r="I43" s="39" t="str">
        <x:v>营销员</x:v>
      </x:c>
      <x:c r="J43" s="39" t="str">
        <x:v>市场/公关 &gt; 市场/营销 &gt; 首席营销官CMO；运营 &gt; 高级运营管理 &gt; 首席营销官CMO；高级管理 &gt; 高级管理 &gt; 首席营销官CMO</x:v>
      </x:c>
      <x:c r="K43" s="39" t="str">
        <x:v>IC-L3-549；IC-L3-1262；IC-L3-1506</x:v>
      </x:c>
      <x:c r="L43" s="39" t="str">
        <x:v>398；1111；1355</x:v>
      </x:c>
      <x:c r="M43" s="68" t="n">
        <x:v>0.268</x:v>
      </x:c>
      <x:c r="N43" s="68" t="n">
        <x:v>0.184</x:v>
      </x:c>
      <x:c r="O43" s="39" t="str">
        <x:v>岗位名称完全一致且职业分类一致；建议保留一个标准岗位，原记录转为来源/产业关联。</x:v>
      </x:c>
    </x:row>
    <x:row r="44" ht="44" customHeight="1">
      <x:c r="A44" s="65" t="n">
        <x:v>43</x:v>
      </x:c>
      <x:c r="B44" s="39" t="str">
        <x:v>通信项目管理</x:v>
      </x:c>
      <x:c r="C44" s="42" t="n">
        <x:v>3</x:v>
      </x:c>
      <x:c r="D44" s="42" t="n">
        <x:f>C44-1</x:f>
        <x:v>2</x:v>
      </x:c>
      <x:c r="E44" s="42" t="n">
        <x:f>IF(F44="需拆分后合并",0,C44-1)</x:f>
        <x:v>2</x:v>
      </x:c>
      <x:c r="F44" s="39" t="str">
        <x:v>条件合并（先修分类）</x:v>
      </x:c>
      <x:c r="G44" s="39" t="str">
        <x:v>通信项目管理</x:v>
      </x:c>
      <x:c r="H44" s="39" t="str">
        <x:v>2-02-30-04；2-02-10-01</x:v>
      </x:c>
      <x:c r="I44" s="39" t="str">
        <x:v>项目管理工程技术人员；通信工程技术人员</x:v>
      </x:c>
      <x:c r="J44" s="39" t="str">
        <x:v>通信/电子 &gt; 技术项目管理 &gt; 通信项目管理；通信/电子 &gt; 通信技术开发与应用 &gt; 通信项目管理；项目经理/管理 &gt; 项目经理/管理 &gt; 通信项目管理</x:v>
      </x:c>
      <x:c r="K44" s="39" t="str">
        <x:v>IC-L3-1288；IC-L3-1367；IC-L3-1475</x:v>
      </x:c>
      <x:c r="L44" s="39" t="str">
        <x:v>1137；1216；1324</x:v>
      </x:c>
      <x:c r="M44" s="68" t="n">
        <x:v>0.198</x:v>
      </x:c>
      <x:c r="N44" s="68" t="n">
        <x:v>0.158</x:v>
      </x:c>
      <x:c r="O44" s="39" t="str">
        <x:v>岗位名称完全一致，但职业分类存在冲突；优先核对并修正分类，再合并标准岗位，来源产业关系必须保留。</x:v>
      </x:c>
    </x:row>
    <x:row r="45" ht="44" customHeight="1">
      <x:c r="A45" s="65" t="n">
        <x:v>44</x:v>
      </x:c>
      <x:c r="B45" s="39" t="str">
        <x:v>物流总监</x:v>
      </x:c>
      <x:c r="C45" s="42" t="n">
        <x:v>3</x:v>
      </x:c>
      <x:c r="D45" s="42" t="n">
        <x:f>C45-1</x:f>
        <x:v>2</x:v>
      </x:c>
      <x:c r="E45" s="42" t="n">
        <x:f>IF(F45="需拆分后合并",0,C45-1)</x:f>
        <x:v>2</x:v>
      </x:c>
      <x:c r="F45" s="39" t="str">
        <x:v>条件合并（先修分类）</x:v>
      </x:c>
      <x:c r="G45" s="39" t="str">
        <x:v>物流总监</x:v>
      </x:c>
      <x:c r="H45" s="39" t="str">
        <x:v>4-02-06-01；4-02-06-03</x:v>
      </x:c>
      <x:c r="I45" s="39" t="str">
        <x:v>仓储管理员；物流服务师</x:v>
      </x:c>
      <x:c r="J45" s="39" t="str">
        <x:v>物流/供应链 &gt; 仓储 &gt; 物流总监；物流/供应链 &gt; 物流/运输 &gt; 物流总监；物流/供应链 &gt; 配送管理 &gt; 物流总监</x:v>
      </x:c>
      <x:c r="K45" s="39" t="str">
        <x:v>IC-L3-906；IC-L3-918；IC-L3-928</x:v>
      </x:c>
      <x:c r="L45" s="39" t="str">
        <x:v>755；767；777</x:v>
      </x:c>
      <x:c r="M45" s="68" t="n">
        <x:v>0.206</x:v>
      </x:c>
      <x:c r="N45" s="68" t="n">
        <x:v>0.146</x:v>
      </x:c>
      <x:c r="O45" s="39" t="str">
        <x:v>岗位名称完全一致，但职业分类存在冲突；优先核对并修正分类，再合并标准岗位，来源产业关系必须保留。</x:v>
      </x:c>
    </x:row>
    <x:row r="46" ht="44" customHeight="1">
      <x:c r="A46" s="65" t="n">
        <x:v>45</x:v>
      </x:c>
      <x:c r="B46" s="39" t="str">
        <x:v>项目主管</x:v>
      </x:c>
      <x:c r="C46" s="42" t="n">
        <x:v>3</x:v>
      </x:c>
      <x:c r="D46" s="42" t="n">
        <x:f>C46-1</x:f>
        <x:v>2</x:v>
      </x:c>
      <x:c r="E46" s="42" t="n">
        <x:f>IF(F46="需拆分后合并",0,C46-1)</x:f>
        <x:v>0</x:v>
      </x:c>
      <x:c r="F46" s="39" t="str">
        <x:v>需拆分后合并</x:v>
      </x:c>
      <x:c r="G46" s="39" t="str">
        <x:v>按专业方向补充限定词后归并：项目主管</x:v>
      </x:c>
      <x:c r="H46" s="39" t="str">
        <x:v>2-02-10-03；2-02-30-04</x:v>
      </x:c>
      <x:c r="I46" s="39" t="str">
        <x:v>计算机软件工程技术人员；项目管理工程技术人员</x:v>
      </x:c>
      <x:c r="J46" s="39" t="str">
        <x:v>互联网技术 &gt; 技术管理 &gt; 项目主管；通信/电子 &gt; 技术项目管理 &gt; 项目主管；项目经理/管理 &gt; 项目经理/管理 &gt; 项目主管</x:v>
      </x:c>
      <x:c r="K46" s="39" t="str">
        <x:v>IC-L3-188；IC-L3-1289；IC-L3-1476</x:v>
      </x:c>
      <x:c r="L46" s="39" t="str">
        <x:v>37；1138；1325</x:v>
      </x:c>
      <x:c r="M46" s="68" t="n">
        <x:v>0.176</x:v>
      </x:c>
      <x:c r="N46" s="68" t="n">
        <x:v>0.137</x:v>
      </x:c>
      <x:c r="O46" s="39" t="str">
        <x:v>名称过于宽泛，当前记录已跨越不同专业对象或岗位层级；应先补充行业/职能限定词，再分别归并。</x:v>
      </x:c>
    </x:row>
    <x:row r="47" ht="44" customHeight="1">
      <x:c r="A47" s="65" t="n">
        <x:v>46</x:v>
      </x:c>
      <x:c r="B47" s="39" t="str">
        <x:v>项目助理</x:v>
      </x:c>
      <x:c r="C47" s="42" t="n">
        <x:v>3</x:v>
      </x:c>
      <x:c r="D47" s="42" t="n">
        <x:f>C47-1</x:f>
        <x:v>2</x:v>
      </x:c>
      <x:c r="E47" s="42" t="n">
        <x:f>IF(F47="需拆分后合并",0,C47-1)</x:f>
        <x:v>0</x:v>
      </x:c>
      <x:c r="F47" s="39" t="str">
        <x:v>需拆分后合并</x:v>
      </x:c>
      <x:c r="G47" s="39" t="str">
        <x:v>按专业方向补充限定词后归并：项目助理</x:v>
      </x:c>
      <x:c r="H47" s="39" t="str">
        <x:v>2-02-10-03；2-02-30-04</x:v>
      </x:c>
      <x:c r="I47" s="39" t="str">
        <x:v>计算机软件工程技术人员；项目管理工程技术人员</x:v>
      </x:c>
      <x:c r="J47" s="39" t="str">
        <x:v>互联网技术 &gt; 技术管理 &gt; 项目助理；通信/电子 &gt; 技术项目管理 &gt; 项目助理；项目经理/管理 &gt; 项目经理/管理 &gt; 项目助理</x:v>
      </x:c>
      <x:c r="K47" s="39" t="str">
        <x:v>IC-L3-189；IC-L3-1290；IC-L3-1477</x:v>
      </x:c>
      <x:c r="L47" s="39" t="str">
        <x:v>38；1139；1326</x:v>
      </x:c>
      <x:c r="M47" s="68" t="n">
        <x:v>0.191</x:v>
      </x:c>
      <x:c r="N47" s="68" t="n">
        <x:v>0.187</x:v>
      </x:c>
      <x:c r="O47" s="39" t="str">
        <x:v>名称过于宽泛，当前记录已跨越不同专业对象或岗位层级；应先补充行业/职能限定词，再分别归并。</x:v>
      </x:c>
    </x:row>
    <x:row r="48" ht="44" customHeight="1">
      <x:c r="A48" s="65" t="n">
        <x:v>47</x:v>
      </x:c>
      <x:c r="B48" s="39" t="str">
        <x:v>项目总监</x:v>
      </x:c>
      <x:c r="C48" s="42" t="n">
        <x:v>3</x:v>
      </x:c>
      <x:c r="D48" s="42" t="n">
        <x:f>C48-1</x:f>
        <x:v>2</x:v>
      </x:c>
      <x:c r="E48" s="42" t="n">
        <x:f>IF(F48="需拆分后合并",0,C48-1)</x:f>
        <x:v>0</x:v>
      </x:c>
      <x:c r="F48" s="39" t="str">
        <x:v>需拆分后合并</x:v>
      </x:c>
      <x:c r="G48" s="39" t="str">
        <x:v>按专业方向补充限定词后归并：项目总监</x:v>
      </x:c>
      <x:c r="H48" s="39" t="str">
        <x:v>2-02-10-03；2-02-30-04</x:v>
      </x:c>
      <x:c r="I48" s="39" t="str">
        <x:v>计算机软件工程技术人员；项目管理工程技术人员</x:v>
      </x:c>
      <x:c r="J48" s="39" t="str">
        <x:v>互联网技术 &gt; 技术管理 &gt; 项目总监；通信/电子 &gt; 技术项目管理 &gt; 项目总监；项目经理/管理 &gt; 项目经理/管理 &gt; 项目总监</x:v>
      </x:c>
      <x:c r="K48" s="39" t="str">
        <x:v>IC-L3-190；IC-L3-1291；IC-L3-1478</x:v>
      </x:c>
      <x:c r="L48" s="39" t="str">
        <x:v>39；1140；1327</x:v>
      </x:c>
      <x:c r="M48" s="68" t="n">
        <x:v>0.183</x:v>
      </x:c>
      <x:c r="N48" s="68" t="n">
        <x:v>0.153</x:v>
      </x:c>
      <x:c r="O48" s="39" t="str">
        <x:v>名称过于宽泛，当前记录已跨越不同专业对象或岗位层级；应先补充行业/职能限定词，再分别归并。</x:v>
      </x:c>
    </x:row>
    <x:row r="49" ht="44" customHeight="1">
      <x:c r="A49" s="65" t="n">
        <x:v>48</x:v>
      </x:c>
      <x:c r="B49" s="39" t="str">
        <x:v>销售总监</x:v>
      </x:c>
      <x:c r="C49" s="42" t="n">
        <x:v>3</x:v>
      </x:c>
      <x:c r="D49" s="42" t="n">
        <x:f>C49-1</x:f>
        <x:v>2</x:v>
      </x:c>
      <x:c r="E49" s="42" t="n">
        <x:f>IF(F49="需拆分后合并",0,C49-1)</x:f>
        <x:v>2</x:v>
      </x:c>
      <x:c r="F49" s="39" t="str">
        <x:v>可直接合并</x:v>
      </x:c>
      <x:c r="G49" s="39" t="str">
        <x:v>销售总监</x:v>
      </x:c>
      <x:c r="H49" s="39" t="str">
        <x:v>4-01-02-01</x:v>
      </x:c>
      <x:c r="I49" s="39" t="str">
        <x:v>营销员</x:v>
      </x:c>
      <x:c r="J49" s="39" t="str">
        <x:v>销售/客服 &gt; 销售人员 &gt; 销售总监；销售/客服 &gt; 销售行政及商务 &gt; 销售总监；销售/客服 &gt; 销售高级管理 &gt; 销售总监</x:v>
      </x:c>
      <x:c r="K49" s="39" t="str">
        <x:v>IC-L3-449；IC-L3-468；IC-L3-482</x:v>
      </x:c>
      <x:c r="L49" s="39" t="str">
        <x:v>298；317；331</x:v>
      </x:c>
      <x:c r="M49" s="68" t="n">
        <x:v>0.236</x:v>
      </x:c>
      <x:c r="N49" s="68" t="n">
        <x:v>0.154</x:v>
      </x:c>
      <x:c r="O49" s="39" t="str">
        <x:v>岗位名称完全一致且职业分类一致；建议保留一个标准岗位，原记录转为来源/产业关联。</x:v>
      </x:c>
    </x:row>
    <x:row r="50" ht="44" customHeight="1">
      <x:c r="A50" s="65" t="n">
        <x:v>49</x:v>
      </x:c>
      <x:c r="B50" s="39" t="str">
        <x:v>药理研究员</x:v>
      </x:c>
      <x:c r="C50" s="42" t="n">
        <x:v>3</x:v>
      </x:c>
      <x:c r="D50" s="42" t="n">
        <x:f>C50-1</x:f>
        <x:v>2</x:v>
      </x:c>
      <x:c r="E50" s="42" t="n">
        <x:f>IF(F50="需拆分后合并",0,C50-1)</x:f>
        <x:v>2</x:v>
      </x:c>
      <x:c r="F50" s="39" t="str">
        <x:v>可直接合并</x:v>
      </x:c>
      <x:c r="G50" s="39" t="str">
        <x:v>药理研究员</x:v>
      </x:c>
      <x:c r="H50" s="39" t="str">
        <x:v>2-01-06-03</x:v>
      </x:c>
      <x:c r="I50" s="39" t="str">
        <x:v>化学研究人员</x:v>
      </x:c>
      <x:c r="J50" s="39" t="str">
        <x:v>医药/医疗 &gt; 临床试验 &gt; 药理研究员；医药/医疗 &gt; 医生/医技 &gt; 药理研究员；医药/医疗 &gt; 生物制药 &gt; 药理研究员</x:v>
      </x:c>
      <x:c r="K50" s="39" t="str">
        <x:v>IC-L3-313；IC-L3-342；IC-L3-398</x:v>
      </x:c>
      <x:c r="L50" s="39" t="str">
        <x:v>162；191；247</x:v>
      </x:c>
      <x:c r="M50" s="68" t="n">
        <x:v>0.24</x:v>
      </x:c>
      <x:c r="N50" s="68" t="n">
        <x:v>0.189</x:v>
      </x:c>
      <x:c r="O50" s="39" t="str">
        <x:v>岗位名称完全一致且职业分类一致；建议保留一个标准岗位，原记录转为来源/产业关联。</x:v>
      </x:c>
    </x:row>
    <x:row r="51" ht="44" customHeight="1">
      <x:c r="A51" s="65" t="n">
        <x:v>50</x:v>
      </x:c>
      <x:c r="B51" s="39" t="str">
        <x:v>医疗器械销售经理/主管</x:v>
      </x:c>
      <x:c r="C51" s="42" t="n">
        <x:v>3</x:v>
      </x:c>
      <x:c r="D51" s="42" t="n">
        <x:f>C51-1</x:f>
        <x:v>2</x:v>
      </x:c>
      <x:c r="E51" s="42" t="n">
        <x:f>IF(F51="需拆分后合并",0,C51-1)</x:f>
        <x:v>2</x:v>
      </x:c>
      <x:c r="F51" s="39" t="str">
        <x:v>可直接合并</x:v>
      </x:c>
      <x:c r="G51" s="39" t="str">
        <x:v>医疗器械销售经理/主管</x:v>
      </x:c>
      <x:c r="H51" s="39" t="str">
        <x:v>4-01-02-01</x:v>
      </x:c>
      <x:c r="I51" s="39" t="str">
        <x:v>营销员</x:v>
      </x:c>
      <x:c r="J51" s="39" t="str">
        <x:v>医药/医疗 &gt; 医疗器械 &gt; 医疗器械销售经理/主管；医药/医疗 &gt; 医疗销售 &gt; 医疗器械销售经理/主管；销售/客服 &gt; 销售高级管理 &gt; 医疗器械销售经理/主管</x:v>
      </x:c>
      <x:c r="K51" s="39" t="str">
        <x:v>IC-L3-350；IC-L3-354；IC-L3-475</x:v>
      </x:c>
      <x:c r="L51" s="39" t="str">
        <x:v>199；203；324</x:v>
      </x:c>
      <x:c r="M51" s="68" t="n">
        <x:v>0.208</x:v>
      </x:c>
      <x:c r="N51" s="68" t="n">
        <x:v>0.194</x:v>
      </x:c>
      <x:c r="O51" s="39" t="str">
        <x:v>岗位名称完全一致且职业分类一致；建议保留一个标准岗位，原记录转为来源/产业关联。</x:v>
      </x:c>
    </x:row>
    <x:row r="52" ht="44" customHeight="1">
      <x:c r="A52" s="65" t="n">
        <x:v>51</x:v>
      </x:c>
      <x:c r="B52" s="39" t="str">
        <x:v>医学顾问</x:v>
      </x:c>
      <x:c r="C52" s="42" t="n">
        <x:v>3</x:v>
      </x:c>
      <x:c r="D52" s="42" t="n">
        <x:f>C52-1</x:f>
        <x:v>2</x:v>
      </x:c>
      <x:c r="E52" s="42" t="n">
        <x:f>IF(F52="需拆分后合并",0,C52-1)</x:f>
        <x:v>0</x:v>
      </x:c>
      <x:c r="F52" s="39" t="str">
        <x:v>需拆分后合并</x:v>
      </x:c>
      <x:c r="G52" s="39" t="str">
        <x:v>按专业方向补充限定词后归并：医学顾问</x:v>
      </x:c>
      <x:c r="H52" s="39" t="str">
        <x:v>2-05-07-01；4-01-02-01</x:v>
      </x:c>
      <x:c r="I52" s="39" t="str">
        <x:v>影像技师；营销员</x:v>
      </x:c>
      <x:c r="J52" s="39" t="str">
        <x:v>医药/医疗 &gt; 医疗器械 &gt; 医学顾问；医药/医疗 &gt; 生物制药 &gt; 医学顾问；销售/客服 &gt; 销售人员 &gt; 医学顾问</x:v>
      </x:c>
      <x:c r="K52" s="39" t="str">
        <x:v>IC-L3-351；IC-L3-404；IC-L3-436</x:v>
      </x:c>
      <x:c r="L52" s="39" t="str">
        <x:v>200；253；285</x:v>
      </x:c>
      <x:c r="M52" s="68" t="n">
        <x:v>0.159</x:v>
      </x:c>
      <x:c r="N52" s="68" t="n">
        <x:v>0.115</x:v>
      </x:c>
      <x:c r="O52" s="39" t="str">
        <x:v>名称过于宽泛，当前记录已跨越不同专业对象或岗位层级；应先补充行业/职能限定词，再分别归并。</x:v>
      </x:c>
    </x:row>
    <x:row r="53" ht="44" customHeight="1">
      <x:c r="A53" s="65" t="n">
        <x:v>52</x:v>
      </x:c>
      <x:c r="B53" s="39" t="str">
        <x:v>医药销售经理/主管</x:v>
      </x:c>
      <x:c r="C53" s="42" t="n">
        <x:v>3</x:v>
      </x:c>
      <x:c r="D53" s="42" t="n">
        <x:f>C53-1</x:f>
        <x:v>2</x:v>
      </x:c>
      <x:c r="E53" s="42" t="n">
        <x:f>IF(F53="需拆分后合并",0,C53-1)</x:f>
        <x:v>2</x:v>
      </x:c>
      <x:c r="F53" s="39" t="str">
        <x:v>可直接合并</x:v>
      </x:c>
      <x:c r="G53" s="39" t="str">
        <x:v>医药销售经理/主管</x:v>
      </x:c>
      <x:c r="H53" s="39" t="str">
        <x:v>2-06-07-07</x:v>
      </x:c>
      <x:c r="I53" s="39" t="str">
        <x:v>医药代表</x:v>
      </x:c>
      <x:c r="J53" s="39" t="str">
        <x:v>医药/医疗 &gt; 医疗销售 &gt; 医药销售经理/主管；医药/医疗 &gt; 生物制药 &gt; 医药销售经理/主管；销售/客服 &gt; 销售高级管理 &gt; 医药销售经理/主管</x:v>
      </x:c>
      <x:c r="K53" s="39" t="str">
        <x:v>IC-L3-357；IC-L3-386；IC-L3-476</x:v>
      </x:c>
      <x:c r="L53" s="39" t="str">
        <x:v>206；235；325</x:v>
      </x:c>
      <x:c r="M53" s="68" t="n">
        <x:v>0.271</x:v>
      </x:c>
      <x:c r="N53" s="68" t="n">
        <x:v>1</x:v>
      </x:c>
      <x:c r="O53" s="39" t="str">
        <x:v>岗位名称完全一致且职业分类一致；建议保留一个标准岗位，原记录转为来源/产业关联。</x:v>
      </x:c>
    </x:row>
    <x:row r="54" ht="44" customHeight="1">
      <x:c r="A54" s="65" t="n">
        <x:v>53</x:v>
      </x:c>
      <x:c r="B54" s="39" t="str">
        <x:v>硬件测试工程师</x:v>
      </x:c>
      <x:c r="C54" s="42" t="n">
        <x:v>3</x:v>
      </x:c>
      <x:c r="D54" s="42" t="n">
        <x:f>C54-1</x:f>
        <x:v>2</x:v>
      </x:c>
      <x:c r="E54" s="42" t="n">
        <x:f>IF(F54="需拆分后合并",0,C54-1)</x:f>
        <x:v>2</x:v>
      </x:c>
      <x:c r="F54" s="39" t="str">
        <x:v>条件合并（先修分类）</x:v>
      </x:c>
      <x:c r="G54" s="39" t="str">
        <x:v>硬件测试工程师</x:v>
      </x:c>
      <x:c r="H54" s="39" t="str">
        <x:v>4-04-05-02；2-02-09-02</x:v>
      </x:c>
      <x:c r="I54" s="39" t="str">
        <x:v>计算机软件测试员；电子元器件工程技术人员</x:v>
      </x:c>
      <x:c r="J54" s="39" t="str">
        <x:v>互联网技术 &gt; 测试 &gt; 硬件测试工程师；通信/电子 &gt; 电子/电器/仪器仪表 &gt; 硬件测试工程师；通信/电子 &gt; 硬件开发 &gt; 硬件测试工程师</x:v>
      </x:c>
      <x:c r="K54" s="39" t="str">
        <x:v>IC-L3-213；IC-L3-1325；IC-L3-1334</x:v>
      </x:c>
      <x:c r="L54" s="39" t="str">
        <x:v>62；1174；1183</x:v>
      </x:c>
      <x:c r="M54" s="68" t="n">
        <x:v>0.272</x:v>
      </x:c>
      <x:c r="N54" s="68" t="n">
        <x:v>0.219</x:v>
      </x:c>
      <x:c r="O54" s="39" t="str">
        <x:v>岗位名称完全一致，但职业分类存在冲突；优先核对并修正分类，再合并标准岗位，来源产业关系必须保留。</x:v>
      </x:c>
    </x:row>
    <x:row r="55" ht="44" customHeight="1">
      <x:c r="A55" s="65" t="n">
        <x:v>54</x:v>
      </x:c>
      <x:c r="B55" s="39" t="str">
        <x:v>硬件工程师</x:v>
      </x:c>
      <x:c r="C55" s="42" t="n">
        <x:v>3</x:v>
      </x:c>
      <x:c r="D55" s="42" t="n">
        <x:f>C55-1</x:f>
        <x:v>2</x:v>
      </x:c>
      <x:c r="E55" s="42" t="n">
        <x:f>IF(F55="需拆分后合并",0,C55-1)</x:f>
        <x:v>2</x:v>
      </x:c>
      <x:c r="F55" s="39" t="str">
        <x:v>可直接合并</x:v>
      </x:c>
      <x:c r="G55" s="39" t="str">
        <x:v>硬件工程师</x:v>
      </x:c>
      <x:c r="H55" s="39" t="str">
        <x:v>2-02-09-02</x:v>
      </x:c>
      <x:c r="I55" s="39" t="str">
        <x:v>电子元器件工程技术人员</x:v>
      </x:c>
      <x:c r="J55" s="39" t="str">
        <x:v>产品 &gt; 硬件产品经理 &gt; 硬件工程师；通信/电子 &gt; 电子/电器/仪器仪表 &gt; 硬件工程师；通信/电子 &gt; 硬件开发 &gt; 硬件工程师</x:v>
      </x:c>
      <x:c r="K55" s="39" t="str">
        <x:v>IC-L3-277；IC-L3-1324；IC-L3-1333</x:v>
      </x:c>
      <x:c r="L55" s="39" t="str">
        <x:v>126；1173；1182</x:v>
      </x:c>
      <x:c r="M55" s="68" t="n">
        <x:v>0.119</x:v>
      </x:c>
      <x:c r="N55" s="68" t="n">
        <x:v>0.135</x:v>
      </x:c>
      <x:c r="O55" s="39" t="str">
        <x:v>岗位名称完全一致且职业分类一致；建议保留一个标准岗位，原记录转为来源/产业关联。</x:v>
      </x:c>
    </x:row>
    <x:row r="56" ht="44" customHeight="1">
      <x:c r="A56" s="65" t="n">
        <x:v>55</x:v>
      </x:c>
      <x:c r="B56" s="39" t="str">
        <x:v>招生老师</x:v>
      </x:c>
      <x:c r="C56" s="42" t="n">
        <x:v>3</x:v>
      </x:c>
      <x:c r="D56" s="42" t="n">
        <x:f>C56-1</x:f>
        <x:v>2</x:v>
      </x:c>
      <x:c r="E56" s="42" t="n">
        <x:f>IF(F56="需拆分后合并",0,C56-1)</x:f>
        <x:v>2</x:v>
      </x:c>
      <x:c r="F56" s="39" t="str">
        <x:v>可直接合并</x:v>
      </x:c>
      <x:c r="G56" s="39" t="str">
        <x:v>招生老师</x:v>
      </x:c>
      <x:c r="H56" s="39" t="str">
        <x:v>2-08-01-01</x:v>
      </x:c>
      <x:c r="I56" s="39" t="str">
        <x:v>普通高等学校教师</x:v>
      </x:c>
      <x:c r="J56" s="39" t="str">
        <x:v>销售/客服 &gt; 教培销售 &gt; 招生老师；生活服务/零售 &gt; 服务员 &gt; 招生老师；科研/教育/培训 &gt; 教育咨询 &gt; 招生老师</x:v>
      </x:c>
      <x:c r="K56" s="39" t="str">
        <x:v>IC-L3-419；IC-L3-977；IC-L3-1050</x:v>
      </x:c>
      <x:c r="L56" s="39" t="str">
        <x:v>268；826；899</x:v>
      </x:c>
      <x:c r="M56" s="68" t="n">
        <x:v>0.115</x:v>
      </x:c>
      <x:c r="N56" s="68" t="n">
        <x:v>0.089</x:v>
      </x:c>
      <x:c r="O56" s="39" t="str">
        <x:v>岗位名称完全一致且职业分类一致；建议保留一个标准岗位，原记录转为来源/产业关联。</x:v>
      </x:c>
    </x:row>
    <x:row r="57" ht="44" customHeight="1">
      <x:c r="A57" s="65" t="n">
        <x:v>56</x:v>
      </x:c>
      <x:c r="B57" s="39" t="str">
        <x:v>智能驾驶工程师</x:v>
      </x:c>
      <x:c r="C57" s="42" t="n">
        <x:v>3</x:v>
      </x:c>
      <x:c r="D57" s="42" t="n">
        <x:f>C57-1</x:f>
        <x:v>2</x:v>
      </x:c>
      <x:c r="E57" s="42" t="n">
        <x:f>IF(F57="需拆分后合并",0,C57-1)</x:f>
        <x:v>2</x:v>
      </x:c>
      <x:c r="F57" s="39" t="str">
        <x:v>可直接合并</x:v>
      </x:c>
      <x:c r="G57" s="39" t="str">
        <x:v>智能驾驶工程师</x:v>
      </x:c>
      <x:c r="H57" s="39" t="str">
        <x:v>2-02-38-01</x:v>
      </x:c>
      <x:c r="I57" s="39" t="str">
        <x:v>人工智能工程技术人员</x:v>
      </x:c>
      <x:c r="J57" s="39" t="str">
        <x:v>互联网技术 &gt; 人工智能 &gt; 智能驾驶工程师；汽车 &gt; 汽车研发设计 &gt; 智能驾驶工程师；生产制造 &gt; 工程/机械 &gt; 智能驾驶工程师</x:v>
      </x:c>
      <x:c r="K57" s="39" t="str">
        <x:v>IC-L3-153；IC-L3-732；IC-L3-814</x:v>
      </x:c>
      <x:c r="L57" s="39" t="str">
        <x:v>2；581；663</x:v>
      </x:c>
      <x:c r="M57" s="68" t="n">
        <x:v>0.124</x:v>
      </x:c>
      <x:c r="N57" s="68" t="n">
        <x:v>0.407</x:v>
      </x:c>
      <x:c r="O57" s="39" t="str">
        <x:v>岗位名称完全一致且职业分类一致；建议保留一个标准岗位，原记录转为来源/产业关联。</x:v>
      </x:c>
    </x:row>
    <x:row r="58" ht="44" customHeight="1">
      <x:c r="A58" s="65" t="n">
        <x:v>57</x:v>
      </x:c>
      <x:c r="B58" s="39" t="str">
        <x:v>BI工程师</x:v>
      </x:c>
      <x:c r="C58" s="42" t="n">
        <x:v>3</x:v>
      </x:c>
      <x:c r="D58" s="42" t="n">
        <x:f>C58-1</x:f>
        <x:v>2</x:v>
      </x:c>
      <x:c r="E58" s="42" t="n">
        <x:f>IF(F58="需拆分后合并",0,C58-1)</x:f>
        <x:v>2</x:v>
      </x:c>
      <x:c r="F58" s="39" t="str">
        <x:v>条件合并（先修分类）</x:v>
      </x:c>
      <x:c r="G58" s="39" t="str">
        <x:v>BI工程师</x:v>
      </x:c>
      <x:c r="H58" s="39" t="str">
        <x:v>2-02-10-03；2-02-09-02</x:v>
      </x:c>
      <x:c r="I58" s="39" t="str">
        <x:v>计算机软件工程技术人员；电子元器件工程技术人员</x:v>
      </x:c>
      <x:c r="J58" s="39" t="str">
        <x:v>互联网技术 &gt; 技术管理 &gt; BI工程师；互联网技术 &gt; 数据 &gt; BI工程师；通信/电子 &gt; 硬件开发 &gt; BI工程师</x:v>
      </x:c>
      <x:c r="K58" s="39" t="str">
        <x:v>IC-L3-194；IC-L3-195；IC-L3-1346</x:v>
      </x:c>
      <x:c r="L58" s="39" t="str">
        <x:v>43；44；1195</x:v>
      </x:c>
      <x:c r="M58" s="68" t="n">
        <x:v>0.248</x:v>
      </x:c>
      <x:c r="N58" s="68" t="n">
        <x:v>0.151</x:v>
      </x:c>
      <x:c r="O58" s="39" t="str">
        <x:v>岗位名称完全一致，但职业分类存在冲突；优先核对并修正分类，再合并标准岗位，来源产业关系必须保留。</x:v>
      </x:c>
    </x:row>
    <x:row r="59" ht="44" customHeight="1">
      <x:c r="A59" s="65" t="n">
        <x:v>58</x:v>
      </x:c>
      <x:c r="B59" s="39" t="str">
        <x:v>BIM工程师</x:v>
      </x:c>
      <x:c r="C59" s="42" t="n">
        <x:v>3</x:v>
      </x:c>
      <x:c r="D59" s="42" t="n">
        <x:f>C59-1</x:f>
        <x:v>2</x:v>
      </x:c>
      <x:c r="E59" s="42" t="n">
        <x:f>IF(F59="需拆分后合并",0,C59-1)</x:f>
        <x:v>2</x:v>
      </x:c>
      <x:c r="F59" s="39" t="str">
        <x:v>条件合并（先修分类）</x:v>
      </x:c>
      <x:c r="G59" s="39" t="str">
        <x:v>BIM工程师</x:v>
      </x:c>
      <x:c r="H59" s="39" t="str">
        <x:v>2-02-18-01；2-09-06-01</x:v>
      </x:c>
      <x:c r="I59" s="39" t="str">
        <x:v>建筑和市政设计工程技术人员；视觉传达设计人员</x:v>
      </x:c>
      <x:c r="J59" s="39" t="str">
        <x:v>建筑/房地产 &gt; 建筑工程 &gt; BIM工程师；建筑/房地产 &gt; 建筑规划与设计 &gt; BIM工程师；设计 &gt; 建筑/室内设计 &gt; BIM工程师</x:v>
      </x:c>
      <x:c r="K59" s="39" t="str">
        <x:v>IC-L3-603；IC-L3-606；IC-L3-1145</x:v>
      </x:c>
      <x:c r="L59" s="39" t="str">
        <x:v>452；455；994</x:v>
      </x:c>
      <x:c r="M59" s="68" t="n">
        <x:v>0.122</x:v>
      </x:c>
      <x:c r="N59" s="68" t="n">
        <x:v>0.11</x:v>
      </x:c>
      <x:c r="O59" s="39" t="str">
        <x:v>岗位名称完全一致，但职业分类存在冲突；优先核对并修正分类，再合并标准岗位，来源产业关系必须保留。</x:v>
      </x:c>
    </x:row>
    <x:row r="60" ht="44" customHeight="1">
      <x:c r="A60" s="65" t="n">
        <x:v>59</x:v>
      </x:c>
      <x:c r="B60" s="39" t="str">
        <x:v>Flash设计师</x:v>
      </x:c>
      <x:c r="C60" s="42" t="n">
        <x:v>3</x:v>
      </x:c>
      <x:c r="D60" s="42" t="n">
        <x:f>C60-1</x:f>
        <x:v>2</x:v>
      </x:c>
      <x:c r="E60" s="42" t="n">
        <x:f>IF(F60="需拆分后合并",0,C60-1)</x:f>
        <x:v>2</x:v>
      </x:c>
      <x:c r="F60" s="39" t="str">
        <x:v>可直接合并</x:v>
      </x:c>
      <x:c r="G60" s="39" t="str">
        <x:v>Flash设计师</x:v>
      </x:c>
      <x:c r="H60" s="39" t="str">
        <x:v>2-09-06-01</x:v>
      </x:c>
      <x:c r="I60" s="39" t="str">
        <x:v>视觉传达设计人员</x:v>
      </x:c>
      <x:c r="J60" s="39" t="str">
        <x:v>设计 &gt; 互联网设计 &gt; Flash设计师；设计 &gt; 动画设计 &gt; Flash设计师；设计 &gt; 广告设计 &gt; Flash设计师</x:v>
      </x:c>
      <x:c r="K60" s="39" t="str">
        <x:v>IC-L3-1103；IC-L3-1118；IC-L3-1144</x:v>
      </x:c>
      <x:c r="L60" s="39" t="str">
        <x:v>952；967；993</x:v>
      </x:c>
      <x:c r="M60" s="68" t="n">
        <x:v>0.201</x:v>
      </x:c>
      <x:c r="N60" s="68" t="n">
        <x:v>0.169</x:v>
      </x:c>
      <x:c r="O60" s="39" t="str">
        <x:v>岗位名称完全一致且职业分类一致；建议保留一个标准岗位，原记录转为来源/产业关联。</x:v>
      </x:c>
    </x:row>
    <x:row r="61" ht="44" customHeight="1">
      <x:c r="A61" s="65" t="n">
        <x:v>60</x:v>
      </x:c>
      <x:c r="B61" s="39" t="str">
        <x:v>安防系统工程师</x:v>
      </x:c>
      <x:c r="C61" s="42" t="n">
        <x:v>2</x:v>
      </x:c>
      <x:c r="D61" s="42" t="n">
        <x:f>C61-1</x:f>
        <x:v>1</x:v>
      </x:c>
      <x:c r="E61" s="42" t="n">
        <x:f>IF(F61="需拆分后合并",0,C61-1)</x:f>
        <x:v>1</x:v>
      </x:c>
      <x:c r="F61" s="39" t="str">
        <x:v>可直接合并</x:v>
      </x:c>
      <x:c r="G61" s="39" t="str">
        <x:v>安防系统工程师</x:v>
      </x:c>
      <x:c r="H61" s="39" t="str">
        <x:v>2-02-09-02</x:v>
      </x:c>
      <x:c r="I61" s="39" t="str">
        <x:v>电子元器件工程技术人员</x:v>
      </x:c>
      <x:c r="J61" s="39" t="str">
        <x:v>通信/电子 &gt; 电子/电器/仪器仪表 &gt; 安防系统工程师；通信/电子 &gt; 硬件开发 &gt; 安防系统工程师</x:v>
      </x:c>
      <x:c r="K61" s="39" t="str">
        <x:v>IC-L3-1302；IC-L3-1353</x:v>
      </x:c>
      <x:c r="L61" s="39" t="str">
        <x:v>1151；1202</x:v>
      </x:c>
      <x:c r="M61" s="68" t="n">
        <x:v>0.081</x:v>
      </x:c>
      <x:c r="N61" s="68" t="n">
        <x:v>0.051</x:v>
      </x:c>
      <x:c r="O61" s="39" t="str">
        <x:v>岗位名称完全一致且职业分类一致；建议保留一个标准岗位，原记录转为来源/产业关联。</x:v>
      </x:c>
    </x:row>
    <x:row r="62" ht="44" customHeight="1">
      <x:c r="A62" s="65" t="n">
        <x:v>61</x:v>
      </x:c>
      <x:c r="B62" s="39" t="str">
        <x:v>半导体产品经理/产品工程师</x:v>
      </x:c>
      <x:c r="C62" s="42" t="n">
        <x:v>2</x:v>
      </x:c>
      <x:c r="D62" s="42" t="n">
        <x:f>C62-1</x:f>
        <x:v>1</x:v>
      </x:c>
      <x:c r="E62" s="42" t="n">
        <x:f>IF(F62="需拆分后合并",0,C62-1)</x:f>
        <x:v>1</x:v>
      </x:c>
      <x:c r="F62" s="39" t="str">
        <x:v>可直接合并</x:v>
      </x:c>
      <x:c r="G62" s="39" t="str">
        <x:v>半导体产品经理/产品工程师</x:v>
      </x:c>
      <x:c r="H62" s="39" t="str">
        <x:v>2-02-09-02</x:v>
      </x:c>
      <x:c r="I62" s="39" t="str">
        <x:v>电子元器件工程技术人员</x:v>
      </x:c>
      <x:c r="J62" s="39" t="str">
        <x:v>产品 &gt; 硬件产品经理 &gt; 半导体产品经理/产品工程师；通信/电子 &gt; 半导体/芯片 &gt; 半导体产品经理/产品工程师</x:v>
      </x:c>
      <x:c r="K62" s="39" t="str">
        <x:v>IC-L3-275；IC-L3-1271</x:v>
      </x:c>
      <x:c r="L62" s="39" t="str">
        <x:v>124；1120</x:v>
      </x:c>
      <x:c r="M62" s="68" t="n">
        <x:v>0.18</x:v>
      </x:c>
      <x:c r="N62" s="68" t="n">
        <x:v>0.212</x:v>
      </x:c>
      <x:c r="O62" s="39" t="str">
        <x:v>岗位名称完全一致且职业分类一致；建议保留一个标准岗位，原记录转为来源/产业关联。</x:v>
      </x:c>
    </x:row>
    <x:row r="63" ht="44" customHeight="1">
      <x:c r="A63" s="65" t="n">
        <x:v>62</x:v>
      </x:c>
      <x:c r="B63" s="39" t="str">
        <x:v>包装工</x:v>
      </x:c>
      <x:c r="C63" s="42" t="n">
        <x:v>2</x:v>
      </x:c>
      <x:c r="D63" s="42" t="n">
        <x:f>C63-1</x:f>
        <x:v>1</x:v>
      </x:c>
      <x:c r="E63" s="42" t="n">
        <x:f>IF(F63="需拆分后合并",0,C63-1)</x:f>
        <x:v>1</x:v>
      </x:c>
      <x:c r="F63" s="39" t="str">
        <x:v>条件合并（先修分类）</x:v>
      </x:c>
      <x:c r="G63" s="39" t="str">
        <x:v>包装工</x:v>
      </x:c>
      <x:c r="H63" s="39" t="str">
        <x:v>6-29-01-01；4-03-02-05</x:v>
      </x:c>
      <x:c r="I63" s="39" t="str">
        <x:v>砌筑工；餐厅服务员</x:v>
      </x:c>
      <x:c r="J63" s="39" t="str">
        <x:v>生产制造 &gt; 普工 &gt; 包装工；生活服务/零售 &gt; 服务员 &gt; 包装工</x:v>
      </x:c>
      <x:c r="K63" s="39" t="str">
        <x:v>IC-L3-831；IC-L3-984</x:v>
      </x:c>
      <x:c r="L63" s="39" t="str">
        <x:v>680；833</x:v>
      </x:c>
      <x:c r="M63" s="68" t="n">
        <x:v>0.058</x:v>
      </x:c>
      <x:c r="N63" s="68" t="n">
        <x:v>0.03</x:v>
      </x:c>
      <x:c r="O63" s="39" t="str">
        <x:v>岗位名称完全一致，但职业分类存在冲突；优先核对并修正分类，再合并标准岗位，来源产业关系必须保留。</x:v>
      </x:c>
    </x:row>
    <x:row r="64" ht="44" customHeight="1">
      <x:c r="A64" s="65" t="n">
        <x:v>63</x:v>
      </x:c>
      <x:c r="B64" s="39" t="str">
        <x:v>包装设计</x:v>
      </x:c>
      <x:c r="C64" s="42" t="n">
        <x:v>2</x:v>
      </x:c>
      <x:c r="D64" s="42" t="n">
        <x:f>C64-1</x:f>
        <x:v>1</x:v>
      </x:c>
      <x:c r="E64" s="42" t="n">
        <x:f>IF(F64="需拆分后合并",0,C64-1)</x:f>
        <x:v>1</x:v>
      </x:c>
      <x:c r="F64" s="39" t="str">
        <x:v>条件合并（先修分类）</x:v>
      </x:c>
      <x:c r="G64" s="39" t="str">
        <x:v>包装设计</x:v>
      </x:c>
      <x:c r="H64" s="39" t="str">
        <x:v>6-23-01-01；2-09-06-01</x:v>
      </x:c>
      <x:c r="I64" s="39" t="str">
        <x:v>铁路机车制修工；视觉传达设计人员</x:v>
      </x:c>
      <x:c r="J64" s="39" t="str">
        <x:v>生产制造 &gt; 印刷包装 &gt; 包装设计；设计 &gt; 工业设计 &gt; 包装设计</x:v>
      </x:c>
      <x:c r="K64" s="39" t="str">
        <x:v>IC-L3-773；IC-L3-1120</x:v>
      </x:c>
      <x:c r="L64" s="39" t="str">
        <x:v>622；969</x:v>
      </x:c>
      <x:c r="M64" s="68" t="n">
        <x:v>0.083</x:v>
      </x:c>
      <x:c r="N64" s="68" t="n">
        <x:v>0.061</x:v>
      </x:c>
      <x:c r="O64" s="39" t="str">
        <x:v>岗位名称完全一致，但职业分类存在冲突；优先核对并修正分类，再合并标准岗位，来源产业关系必须保留。</x:v>
      </x:c>
    </x:row>
    <x:row r="65" ht="44" customHeight="1">
      <x:c r="A65" s="65" t="n">
        <x:v>64</x:v>
      </x:c>
      <x:c r="B65" s="39" t="str">
        <x:v>编辑</x:v>
      </x:c>
      <x:c r="C65" s="42" t="n">
        <x:v>2</x:v>
      </x:c>
      <x:c r="D65" s="42" t="n">
        <x:f>C65-1</x:f>
        <x:v>1</x:v>
      </x:c>
      <x:c r="E65" s="42" t="n">
        <x:f>IF(F65="需拆分后合并",0,C65-1)</x:f>
        <x:v>1</x:v>
      </x:c>
      <x:c r="F65" s="39" t="str">
        <x:v>可直接合并</x:v>
      </x:c>
      <x:c r="G65" s="39" t="str">
        <x:v>编辑</x:v>
      </x:c>
      <x:c r="H65" s="39" t="str">
        <x:v>2-09-06-01</x:v>
      </x:c>
      <x:c r="I65" s="39" t="str">
        <x:v>视觉传达设计人员</x:v>
      </x:c>
      <x:c r="J65" s="39" t="str">
        <x:v>文化/传媒 &gt; 影视/媒体 &gt; 编辑；文化/传媒 &gt; 编辑/出版 &gt; 编辑</x:v>
      </x:c>
      <x:c r="K65" s="39" t="str">
        <x:v>IC-L3-678；IC-L3-697</x:v>
      </x:c>
      <x:c r="L65" s="39" t="str">
        <x:v>527；546</x:v>
      </x:c>
      <x:c r="M65" s="68" t="n">
        <x:v>0.066</x:v>
      </x:c>
      <x:c r="N65" s="68" t="n">
        <x:v>0.033</x:v>
      </x:c>
      <x:c r="O65" s="39" t="str">
        <x:v>岗位名称完全一致且职业分类一致；建议保留一个标准岗位，原记录转为来源/产业关联。</x:v>
      </x:c>
    </x:row>
    <x:row r="66" ht="44" customHeight="1">
      <x:c r="A66" s="65" t="n">
        <x:v>65</x:v>
      </x:c>
      <x:c r="B66" s="39" t="str">
        <x:v>编剧</x:v>
      </x:c>
      <x:c r="C66" s="42" t="n">
        <x:v>2</x:v>
      </x:c>
      <x:c r="D66" s="42" t="n">
        <x:f>C66-1</x:f>
        <x:v>1</x:v>
      </x:c>
      <x:c r="E66" s="42" t="n">
        <x:f>IF(F66="需拆分后合并",0,C66-1)</x:f>
        <x:v>1</x:v>
      </x:c>
      <x:c r="F66" s="39" t="str">
        <x:v>可直接合并</x:v>
      </x:c>
      <x:c r="G66" s="39" t="str">
        <x:v>编剧</x:v>
      </x:c>
      <x:c r="H66" s="39" t="str">
        <x:v>2-09-06-01</x:v>
      </x:c>
      <x:c r="I66" s="39" t="str">
        <x:v>视觉传达设计人员</x:v>
      </x:c>
      <x:c r="J66" s="39" t="str">
        <x:v>文化/传媒 &gt; 影视/媒体 &gt; 编剧；文化/传媒 &gt; 编辑/出版 &gt; 编剧</x:v>
      </x:c>
      <x:c r="K66" s="39" t="str">
        <x:v>IC-L3-672；IC-L3-703</x:v>
      </x:c>
      <x:c r="L66" s="39" t="str">
        <x:v>521；552</x:v>
      </x:c>
      <x:c r="M66" s="68" t="n">
        <x:v>0.056</x:v>
      </x:c>
      <x:c r="N66" s="68" t="n">
        <x:v>0.036</x:v>
      </x:c>
      <x:c r="O66" s="39" t="str">
        <x:v>岗位名称完全一致且职业分类一致；建议保留一个标准岗位，原记录转为来源/产业关联。</x:v>
      </x:c>
    </x:row>
    <x:row r="67" ht="44" customHeight="1">
      <x:c r="A67" s="65" t="n">
        <x:v>66</x:v>
      </x:c>
      <x:c r="B67" s="39" t="str">
        <x:v>病理研究员</x:v>
      </x:c>
      <x:c r="C67" s="42" t="n">
        <x:v>2</x:v>
      </x:c>
      <x:c r="D67" s="42" t="n">
        <x:f>C67-1</x:f>
        <x:v>1</x:v>
      </x:c>
      <x:c r="E67" s="42" t="n">
        <x:f>IF(F67="需拆分后合并",0,C67-1)</x:f>
        <x:v>1</x:v>
      </x:c>
      <x:c r="F67" s="39" t="str">
        <x:v>可直接合并</x:v>
      </x:c>
      <x:c r="G67" s="39" t="str">
        <x:v>病理研究员</x:v>
      </x:c>
      <x:c r="H67" s="39" t="str">
        <x:v>2-01-06-03</x:v>
      </x:c>
      <x:c r="I67" s="39" t="str">
        <x:v>化学研究人员</x:v>
      </x:c>
      <x:c r="J67" s="39" t="str">
        <x:v>医药/医疗 &gt; 医生/医技 &gt; 病理研究员；医药/医疗 &gt; 生物制药 &gt; 病理研究员</x:v>
      </x:c>
      <x:c r="K67" s="39" t="str">
        <x:v>IC-L3-343；IC-L3-388</x:v>
      </x:c>
      <x:c r="L67" s="39" t="str">
        <x:v>192；237</x:v>
      </x:c>
      <x:c r="M67" s="68" t="n">
        <x:v>0.078</x:v>
      </x:c>
      <x:c r="N67" s="68" t="n">
        <x:v>0.098</x:v>
      </x:c>
      <x:c r="O67" s="39" t="str">
        <x:v>岗位名称完全一致且职业分类一致；建议保留一个标准岗位，原记录转为来源/产业关联。</x:v>
      </x:c>
    </x:row>
    <x:row r="68" ht="44" customHeight="1">
      <x:c r="A68" s="65" t="n">
        <x:v>67</x:v>
      </x:c>
      <x:c r="B68" s="39" t="str">
        <x:v>材料员</x:v>
      </x:c>
      <x:c r="C68" s="42" t="n">
        <x:v>2</x:v>
      </x:c>
      <x:c r="D68" s="42" t="n">
        <x:f>C68-1</x:f>
        <x:v>1</x:v>
      </x:c>
      <x:c r="E68" s="42" t="n">
        <x:f>IF(F68="需拆分后合并",0,C68-1)</x:f>
        <x:v>1</x:v>
      </x:c>
      <x:c r="F68" s="39" t="str">
        <x:v>条件合并（先修分类）</x:v>
      </x:c>
      <x:c r="G68" s="39" t="str">
        <x:v>材料员</x:v>
      </x:c>
      <x:c r="H68" s="39" t="str">
        <x:v>6-29-01-01；2-02-18-01</x:v>
      </x:c>
      <x:c r="I68" s="39" t="str">
        <x:v>砌筑工；建筑和市政设计工程技术人员</x:v>
      </x:c>
      <x:c r="J68" s="39" t="str">
        <x:v>建筑/房地产 &gt; 建筑/装修工人 &gt; 材料员；建筑/房地产 &gt; 建筑工程 &gt; 材料员</x:v>
      </x:c>
      <x:c r="K68" s="39" t="str">
        <x:v>IC-L3-575；IC-L3-595</x:v>
      </x:c>
      <x:c r="L68" s="39" t="str">
        <x:v>424；444</x:v>
      </x:c>
      <x:c r="M68" s="68" t="n">
        <x:v>0.063</x:v>
      </x:c>
      <x:c r="N68" s="68" t="n">
        <x:v>0.044</x:v>
      </x:c>
      <x:c r="O68" s="39" t="str">
        <x:v>岗位名称完全一致，但职业分类存在冲突；优先核对并修正分类，再合并标准岗位，来源产业关系必须保留。</x:v>
      </x:c>
    </x:row>
    <x:row r="69" ht="44" customHeight="1">
      <x:c r="A69" s="65" t="n">
        <x:v>68</x:v>
      </x:c>
      <x:c r="B69" s="39" t="str">
        <x:v>测试经理</x:v>
      </x:c>
      <x:c r="C69" s="42" t="n">
        <x:v>2</x:v>
      </x:c>
      <x:c r="D69" s="42" t="n">
        <x:f>C69-1</x:f>
        <x:v>1</x:v>
      </x:c>
      <x:c r="E69" s="42" t="n">
        <x:f>IF(F69="需拆分后合并",0,C69-1)</x:f>
        <x:v>1</x:v>
      </x:c>
      <x:c r="F69" s="39" t="str">
        <x:v>条件合并（先修分类）</x:v>
      </x:c>
      <x:c r="G69" s="39" t="str">
        <x:v>测试经理</x:v>
      </x:c>
      <x:c r="H69" s="39" t="str">
        <x:v>2-02-10-03；4-04-05-02</x:v>
      </x:c>
      <x:c r="I69" s="39" t="str">
        <x:v>计算机软件工程技术人员；计算机软件测试员</x:v>
      </x:c>
      <x:c r="J69" s="39" t="str">
        <x:v>互联网技术 &gt; 技术管理 &gt; 测试经理；互联网技术 &gt; 测试 &gt; 测试经理</x:v>
      </x:c>
      <x:c r="K69" s="39" t="str">
        <x:v>IC-L3-186；IC-L3-211</x:v>
      </x:c>
      <x:c r="L69" s="39" t="str">
        <x:v>35；60</x:v>
      </x:c>
      <x:c r="M69" s="68" t="n">
        <x:v>0.209</x:v>
      </x:c>
      <x:c r="N69" s="68" t="n">
        <x:v>0.177</x:v>
      </x:c>
      <x:c r="O69" s="39" t="str">
        <x:v>岗位名称完全一致，但职业分类存在冲突；优先核对并修正分类，再合并标准岗位，来源产业关系必须保留。</x:v>
      </x:c>
    </x:row>
    <x:row r="70" ht="44" customHeight="1">
      <x:c r="A70" s="65" t="n">
        <x:v>69</x:v>
      </x:c>
      <x:c r="B70" s="39" t="str">
        <x:v>测试开发</x:v>
      </x:c>
      <x:c r="C70" s="42" t="n">
        <x:v>2</x:v>
      </x:c>
      <x:c r="D70" s="42" t="n">
        <x:f>C70-1</x:f>
        <x:v>1</x:v>
      </x:c>
      <x:c r="E70" s="42" t="n">
        <x:f>IF(F70="需拆分后合并",0,C70-1)</x:f>
        <x:v>1</x:v>
      </x:c>
      <x:c r="F70" s="39" t="str">
        <x:v>条件合并（先修分类）</x:v>
      </x:c>
      <x:c r="G70" s="39" t="str">
        <x:v>测试开发</x:v>
      </x:c>
      <x:c r="H70" s="39" t="str">
        <x:v>4-04-05-02；2-02-09-02</x:v>
      </x:c>
      <x:c r="I70" s="39" t="str">
        <x:v>计算机软件测试员；电子元器件工程技术人员</x:v>
      </x:c>
      <x:c r="J70" s="39" t="str">
        <x:v>互联网技术 &gt; 测试 &gt; 测试开发；通信/电子 &gt; 硬件开发 &gt; 测试开发</x:v>
      </x:c>
      <x:c r="K70" s="39" t="str">
        <x:v>IC-L3-210；IC-L3-1348</x:v>
      </x:c>
      <x:c r="L70" s="39" t="str">
        <x:v>59；1197</x:v>
      </x:c>
      <x:c r="M70" s="68" t="n">
        <x:v>0.089</x:v>
      </x:c>
      <x:c r="N70" s="68" t="n">
        <x:v>0.075</x:v>
      </x:c>
      <x:c r="O70" s="39" t="str">
        <x:v>岗位名称完全一致，但职业分类存在冲突；优先核对并修正分类，再合并标准岗位，来源产业关系必须保留。</x:v>
      </x:c>
    </x:row>
    <x:row r="71" ht="44" customHeight="1">
      <x:c r="A71" s="65" t="n">
        <x:v>70</x:v>
      </x:c>
      <x:c r="B71" s="39" t="str">
        <x:v>茶艺师</x:v>
      </x:c>
      <x:c r="C71" s="42" t="n">
        <x:v>2</x:v>
      </x:c>
      <x:c r="D71" s="42" t="n">
        <x:f>C71-1</x:f>
        <x:v>1</x:v>
      </x:c>
      <x:c r="E71" s="42" t="n">
        <x:f>IF(F71="需拆分后合并",0,C71-1)</x:f>
        <x:v>1</x:v>
      </x:c>
      <x:c r="F71" s="39" t="str">
        <x:v>条件合并（先修分类）</x:v>
      </x:c>
      <x:c r="G71" s="39" t="str">
        <x:v>茶艺师</x:v>
      </x:c>
      <x:c r="H71" s="39" t="str">
        <x:v>4-03-02-05；4-07-02-01</x:v>
      </x:c>
      <x:c r="I71" s="39" t="str">
        <x:v>餐厅服务员；风险管理师</x:v>
      </x:c>
      <x:c r="J71" s="39" t="str">
        <x:v>生活服务/零售 &gt; 服务员 &gt; 茶艺师；餐饮 &gt; 前厅 &gt; 茶艺师</x:v>
      </x:c>
      <x:c r="K71" s="39" t="str">
        <x:v>IC-L3-969；IC-L3-1485</x:v>
      </x:c>
      <x:c r="L71" s="39" t="str">
        <x:v>818；1334</x:v>
      </x:c>
      <x:c r="M71" s="68" t="n">
        <x:v>0.084</x:v>
      </x:c>
      <x:c r="N71" s="68" t="n">
        <x:v>0.051</x:v>
      </x:c>
      <x:c r="O71" s="39" t="str">
        <x:v>岗位名称完全一致，但职业分类存在冲突；优先核对并修正分类，再合并标准岗位，来源产业关系必须保留。</x:v>
      </x:c>
    </x:row>
    <x:row r="72" ht="44" customHeight="1">
      <x:c r="A72" s="65" t="n">
        <x:v>71</x:v>
      </x:c>
      <x:c r="B72" s="39" t="str">
        <x:v>产品运营</x:v>
      </x:c>
      <x:c r="C72" s="42" t="n">
        <x:v>2</x:v>
      </x:c>
      <x:c r="D72" s="42" t="n">
        <x:f>C72-1</x:f>
        <x:v>1</x:v>
      </x:c>
      <x:c r="E72" s="42" t="n">
        <x:f>IF(F72="需拆分后合并",0,C72-1)</x:f>
        <x:v>1</x:v>
      </x:c>
      <x:c r="F72" s="39" t="str">
        <x:v>条件合并（先修分类）</x:v>
      </x:c>
      <x:c r="G72" s="39" t="str">
        <x:v>产品运营</x:v>
      </x:c>
      <x:c r="H72" s="39" t="str">
        <x:v>4-04-05-01；2-02-09-02</x:v>
      </x:c>
      <x:c r="I72" s="39" t="str">
        <x:v>计算机程序设计员；电子元器件工程技术人员</x:v>
      </x:c>
      <x:c r="J72" s="39" t="str">
        <x:v>运营 &gt; 业务运营 &gt; 产品运营；通信/电子 &gt; 电子/电器/仪器仪表 &gt; 产品运营</x:v>
      </x:c>
      <x:c r="K72" s="39" t="str">
        <x:v>IC-L3-1233；IC-L3-1329</x:v>
      </x:c>
      <x:c r="L72" s="39" t="str">
        <x:v>1082；1178</x:v>
      </x:c>
      <x:c r="M72" s="68" t="n">
        <x:v>0.08</x:v>
      </x:c>
      <x:c r="N72" s="68" t="n">
        <x:v>0.116</x:v>
      </x:c>
      <x:c r="O72" s="39" t="str">
        <x:v>岗位名称完全一致，但职业分类存在冲突；优先核对并修正分类，再合并标准岗位，来源产业关系必须保留。</x:v>
      </x:c>
    </x:row>
    <x:row r="73" ht="44" customHeight="1">
      <x:c r="A73" s="65" t="n">
        <x:v>72</x:v>
      </x:c>
      <x:c r="B73" s="39" t="str">
        <x:v>产品助理</x:v>
      </x:c>
      <x:c r="C73" s="42" t="n">
        <x:v>2</x:v>
      </x:c>
      <x:c r="D73" s="42" t="n">
        <x:f>C73-1</x:f>
        <x:v>1</x:v>
      </x:c>
      <x:c r="E73" s="42" t="n">
        <x:f>IF(F73="需拆分后合并",0,C73-1)</x:f>
        <x:v>1</x:v>
      </x:c>
      <x:c r="F73" s="39" t="str">
        <x:v>可直接合并</x:v>
      </x:c>
      <x:c r="G73" s="39" t="str">
        <x:v>产品助理</x:v>
      </x:c>
      <x:c r="H73" s="39" t="str">
        <x:v>2-06-07-03</x:v>
      </x:c>
      <x:c r="I73" s="39" t="str">
        <x:v>商务策划专业人员</x:v>
      </x:c>
      <x:c r="J73" s="39" t="str">
        <x:v>产品 &gt; 互联网产品经理 &gt; 产品助理；产品 &gt; 其他产品经理 &gt; 产品助理</x:v>
      </x:c>
      <x:c r="K73" s="39" t="str">
        <x:v>IC-L3-248；IC-L3-264</x:v>
      </x:c>
      <x:c r="L73" s="39" t="str">
        <x:v>97；113</x:v>
      </x:c>
      <x:c r="M73" s="68" t="n">
        <x:v>0.102</x:v>
      </x:c>
      <x:c r="N73" s="68" t="n">
        <x:v>0.072</x:v>
      </x:c>
      <x:c r="O73" s="39" t="str">
        <x:v>岗位名称完全一致且职业分类一致；建议保留一个标准岗位，原记录转为来源/产业关联。</x:v>
      </x:c>
    </x:row>
    <x:row r="74" ht="44" customHeight="1">
      <x:c r="A74" s="65" t="n">
        <x:v>73</x:v>
      </x:c>
      <x:c r="B74" s="39" t="str">
        <x:v>车工</x:v>
      </x:c>
      <x:c r="C74" s="42" t="n">
        <x:v>2</x:v>
      </x:c>
      <x:c r="D74" s="42" t="n">
        <x:f>C74-1</x:f>
        <x:v>1</x:v>
      </x:c>
      <x:c r="E74" s="42" t="n">
        <x:f>IF(F74="需拆分后合并",0,C74-1)</x:f>
        <x:v>1</x:v>
      </x:c>
      <x:c r="F74" s="39" t="str">
        <x:v>可直接合并</x:v>
      </x:c>
      <x:c r="G74" s="39" t="str">
        <x:v>车工</x:v>
      </x:c>
      <x:c r="H74" s="39" t="str">
        <x:v>2-02-07-11</x:v>
      </x:c>
      <x:c r="I74" s="39" t="str">
        <x:v>汽车工程技术人员</x:v>
      </x:c>
      <x:c r="J74" s="39" t="str">
        <x:v>汽车 &gt; 汽车制造 &gt; 车工；生产制造 &gt; 机械加工 &gt; 车工</x:v>
      </x:c>
      <x:c r="K74" s="39" t="str">
        <x:v>IC-L3-723；IC-L3-857</x:v>
      </x:c>
      <x:c r="L74" s="39" t="str">
        <x:v>572；706</x:v>
      </x:c>
      <x:c r="M74" s="68" t="n">
        <x:v>0.097</x:v>
      </x:c>
      <x:c r="N74" s="68" t="n">
        <x:v>0.082</x:v>
      </x:c>
      <x:c r="O74" s="39" t="str">
        <x:v>岗位名称完全一致且职业分类一致；建议保留一个标准岗位，原记录转为来源/产业关联。</x:v>
      </x:c>
    </x:row>
    <x:row r="75" ht="44" customHeight="1">
      <x:c r="A75" s="65" t="n">
        <x:v>74</x:v>
      </x:c>
      <x:c r="B75" s="39" t="str">
        <x:v>车联网工程师</x:v>
      </x:c>
      <x:c r="C75" s="42" t="n">
        <x:v>2</x:v>
      </x:c>
      <x:c r="D75" s="42" t="n">
        <x:f>C75-1</x:f>
        <x:v>1</x:v>
      </x:c>
      <x:c r="E75" s="42" t="n">
        <x:f>IF(F75="需拆分后合并",0,C75-1)</x:f>
        <x:v>1</x:v>
      </x:c>
      <x:c r="F75" s="39" t="str">
        <x:v>条件合并（先修分类）</x:v>
      </x:c>
      <x:c r="G75" s="39" t="str">
        <x:v>车联网工程师</x:v>
      </x:c>
      <x:c r="H75" s="39" t="str">
        <x:v>6-25-01-01；2-02-07-11</x:v>
      </x:c>
      <x:c r="I75" s="39" t="str">
        <x:v>电容器制造工；汽车工程技术人员</x:v>
      </x:c>
      <x:c r="J75" s="39" t="str">
        <x:v>汽车 &gt; 汽车制造 &gt; 车联网工程师；汽车 &gt; 汽车研发设计 &gt; 车联网工程师</x:v>
      </x:c>
      <x:c r="K75" s="39" t="str">
        <x:v>IC-L3-722；IC-L3-744</x:v>
      </x:c>
      <x:c r="L75" s="39" t="str">
        <x:v>571；593</x:v>
      </x:c>
      <x:c r="M75" s="68" t="n">
        <x:v>0.077</x:v>
      </x:c>
      <x:c r="N75" s="68" t="n">
        <x:v>0.053</x:v>
      </x:c>
      <x:c r="O75" s="39" t="str">
        <x:v>岗位名称完全一致，但职业分类存在冲突；优先核对并修正分类，再合并标准岗位，来源产业关系必须保留。</x:v>
      </x:c>
    </x:row>
    <x:row r="76" ht="44" customHeight="1">
      <x:c r="A76" s="65" t="n">
        <x:v>75</x:v>
      </x:c>
      <x:c r="B76" s="39" t="str">
        <x:v>车身/造型设计</x:v>
      </x:c>
      <x:c r="C76" s="42" t="n">
        <x:v>2</x:v>
      </x:c>
      <x:c r="D76" s="42" t="n">
        <x:f>C76-1</x:f>
        <x:v>1</x:v>
      </x:c>
      <x:c r="E76" s="42" t="n">
        <x:f>IF(F76="需拆分后合并",0,C76-1)</x:f>
        <x:v>1</x:v>
      </x:c>
      <x:c r="F76" s="39" t="str">
        <x:v>条件合并（先修分类）</x:v>
      </x:c>
      <x:c r="G76" s="39" t="str">
        <x:v>车身/造型设计</x:v>
      </x:c>
      <x:c r="H76" s="39" t="str">
        <x:v>2-02-07-11；4-02-04-01</x:v>
      </x:c>
      <x:c r="I76" s="39" t="str">
        <x:v>汽车工程技术人员；民航乘务员</x:v>
      </x:c>
      <x:c r="J76" s="39" t="str">
        <x:v>汽车 &gt; 汽车研发设计 &gt; 车身/造型设计；生活服务/零售 &gt; 交通运输服务 &gt; 车身/造型设计</x:v>
      </x:c>
      <x:c r="K76" s="39" t="str">
        <x:v>IC-L3-745；IC-L3-940</x:v>
      </x:c>
      <x:c r="L76" s="39" t="str">
        <x:v>594；789</x:v>
      </x:c>
      <x:c r="M76" s="68" t="n">
        <x:v>0.116</x:v>
      </x:c>
      <x:c r="N76" s="68" t="n">
        <x:v>0.047</x:v>
      </x:c>
      <x:c r="O76" s="39" t="str">
        <x:v>岗位名称完全一致，但职业分类存在冲突；优先核对并修正分类，再合并标准岗位，来源产业关系必须保留。</x:v>
      </x:c>
    </x:row>
    <x:row r="77" ht="44" customHeight="1">
      <x:c r="A77" s="65" t="n">
        <x:v>76</x:v>
      </x:c>
      <x:c r="B77" s="39" t="str">
        <x:v>陈列设计</x:v>
      </x:c>
      <x:c r="C77" s="42" t="n">
        <x:v>2</x:v>
      </x:c>
      <x:c r="D77" s="42" t="n">
        <x:f>C77-1</x:f>
        <x:v>1</x:v>
      </x:c>
      <x:c r="E77" s="42" t="n">
        <x:f>IF(F77="需拆分后合并",0,C77-1)</x:f>
        <x:v>1</x:v>
      </x:c>
      <x:c r="F77" s="39" t="str">
        <x:v>可直接合并</x:v>
      </x:c>
      <x:c r="G77" s="39" t="str">
        <x:v>陈列设计</x:v>
      </x:c>
      <x:c r="H77" s="39" t="str">
        <x:v>4-01-02-03</x:v>
      </x:c>
      <x:c r="I77" s="39" t="str">
        <x:v>商品营业员</x:v>
      </x:c>
      <x:c r="J77" s="39" t="str">
        <x:v>设计 &gt; 工业设计 &gt; 陈列设计；设计 &gt; 建筑/室内设计 &gt; 陈列设计</x:v>
      </x:c>
      <x:c r="K77" s="39" t="str">
        <x:v>IC-L3-1128；IC-L3-1165</x:v>
      </x:c>
      <x:c r="L77" s="39" t="str">
        <x:v>977；1014</x:v>
      </x:c>
      <x:c r="M77" s="68" t="n">
        <x:v>0.23</x:v>
      </x:c>
      <x:c r="N77" s="68" t="n">
        <x:v>0.066</x:v>
      </x:c>
      <x:c r="O77" s="39" t="str">
        <x:v>岗位名称完全一致且职业分类一致；建议保留一个标准岗位，原记录转为来源/产业关联。</x:v>
      </x:c>
    </x:row>
    <x:row r="78" ht="44" customHeight="1">
      <x:c r="A78" s="65" t="n">
        <x:v>77</x:v>
      </x:c>
      <x:c r="B78" s="39" t="str">
        <x:v>成本管理员</x:v>
      </x:c>
      <x:c r="C78" s="42" t="n">
        <x:v>2</x:v>
      </x:c>
      <x:c r="D78" s="42" t="n">
        <x:f>C78-1</x:f>
        <x:v>1</x:v>
      </x:c>
      <x:c r="E78" s="42" t="n">
        <x:f>IF(F78="需拆分后合并",0,C78-1)</x:f>
        <x:v>1</x:v>
      </x:c>
      <x:c r="F78" s="39" t="str">
        <x:v>可直接合并</x:v>
      </x:c>
      <x:c r="G78" s="39" t="str">
        <x:v>成本管理员</x:v>
      </x:c>
      <x:c r="H78" s="39" t="str">
        <x:v>2-06-03-00</x:v>
      </x:c>
      <x:c r="I78" s="39" t="str">
        <x:v>会计专业人员</x:v>
      </x:c>
      <x:c r="J78" s="39" t="str">
        <x:v>财务/税务/法务 &gt; 财务 &gt; 成本管理员；财务/税务/法务 &gt; 高级财务管理 &gt; 成本管理员</x:v>
      </x:c>
      <x:c r="K78" s="39" t="str">
        <x:v>IC-L3-1216；IC-L3-1232</x:v>
      </x:c>
      <x:c r="L78" s="39" t="str">
        <x:v>1065；1081</x:v>
      </x:c>
      <x:c r="M78" s="68" t="n">
        <x:v>0.106</x:v>
      </x:c>
      <x:c r="N78" s="68" t="n">
        <x:v>0.087</x:v>
      </x:c>
      <x:c r="O78" s="39" t="str">
        <x:v>岗位名称完全一致且职业分类一致；建议保留一个标准岗位，原记录转为来源/产业关联。</x:v>
      </x:c>
    </x:row>
    <x:row r="79" ht="44" customHeight="1">
      <x:c r="A79" s="65" t="n">
        <x:v>78</x:v>
      </x:c>
      <x:c r="B79" s="39" t="str">
        <x:v>城市管理网格员</x:v>
      </x:c>
      <x:c r="C79" s="42" t="n">
        <x:v>2</x:v>
      </x:c>
      <x:c r="D79" s="42" t="n">
        <x:f>C79-1</x:f>
        <x:v>1</x:v>
      </x:c>
      <x:c r="E79" s="42" t="n">
        <x:f>IF(F79="需拆分后合并",0,C79-1)</x:f>
        <x:v>1</x:v>
      </x:c>
      <x:c r="F79" s="39" t="str">
        <x:v>条件合并（先修分类）</x:v>
      </x:c>
      <x:c r="G79" s="39" t="str">
        <x:v>城市管理网格员</x:v>
      </x:c>
      <x:c r="H79" s="39" t="str">
        <x:v>3-01-02-01；3-01-01-02</x:v>
      </x:c>
      <x:c r="I79" s="39" t="str">
        <x:v>机要员；政务服务办事员</x:v>
      </x:c>
      <x:c r="J79" s="39" t="str">
        <x:v>人事/行政 &gt; 行政/后勤 &gt; 城市管理网格员；政府机构/农业 &gt; 政府/非盈利机构 &gt; 城市管理网格员</x:v>
      </x:c>
      <x:c r="K79" s="39" t="str">
        <x:v>IC-L3-307；IC-L3-660</x:v>
      </x:c>
      <x:c r="L79" s="39" t="str">
        <x:v>156；509</x:v>
      </x:c>
      <x:c r="M79" s="68" t="n">
        <x:v>0.106</x:v>
      </x:c>
      <x:c r="N79" s="68" t="n">
        <x:v>0.052</x:v>
      </x:c>
      <x:c r="O79" s="39" t="str">
        <x:v>岗位名称完全一致，但职业分类存在冲突；优先核对并修正分类，再合并标准岗位，来源产业关系必须保留。</x:v>
      </x:c>
    </x:row>
    <x:row r="80" ht="44" customHeight="1">
      <x:c r="A80" s="65" t="n">
        <x:v>79</x:v>
      </x:c>
      <x:c r="B80" s="39" t="str">
        <x:v>城市规划设计</x:v>
      </x:c>
      <x:c r="C80" s="42" t="n">
        <x:v>2</x:v>
      </x:c>
      <x:c r="D80" s="42" t="n">
        <x:f>C80-1</x:f>
        <x:v>1</x:v>
      </x:c>
      <x:c r="E80" s="42" t="n">
        <x:f>IF(F80="需拆分后合并",0,C80-1)</x:f>
        <x:v>1</x:v>
      </x:c>
      <x:c r="F80" s="39" t="str">
        <x:v>条件合并（先修分类）</x:v>
      </x:c>
      <x:c r="G80" s="39" t="str">
        <x:v>城市规划设计</x:v>
      </x:c>
      <x:c r="H80" s="39" t="str">
        <x:v>2-02-18-01；2-09-06-01</x:v>
      </x:c>
      <x:c r="I80" s="39" t="str">
        <x:v>建筑和市政设计工程技术人员；视觉传达设计人员</x:v>
      </x:c>
      <x:c r="J80" s="39" t="str">
        <x:v>建筑/房地产 &gt; 建筑规划与设计 &gt; 城市规划设计；设计 &gt; 建筑/室内设计 &gt; 城市规划设计</x:v>
      </x:c>
      <x:c r="K80" s="39" t="str">
        <x:v>IC-L3-608；IC-L3-1147</x:v>
      </x:c>
      <x:c r="L80" s="39" t="str">
        <x:v>457；996</x:v>
      </x:c>
      <x:c r="M80" s="68" t="n">
        <x:v>0.179</x:v>
      </x:c>
      <x:c r="N80" s="68" t="n">
        <x:v>0.143</x:v>
      </x:c>
      <x:c r="O80" s="39" t="str">
        <x:v>岗位名称完全一致，但职业分类存在冲突；优先核对并修正分类，再合并标准岗位，来源产业关系必须保留。</x:v>
      </x:c>
    </x:row>
    <x:row r="81" ht="44" customHeight="1">
      <x:c r="A81" s="65" t="n">
        <x:v>80</x:v>
      </x:c>
      <x:c r="B81" s="39" t="str">
        <x:v>冲压工程师</x:v>
      </x:c>
      <x:c r="C81" s="42" t="n">
        <x:v>2</x:v>
      </x:c>
      <x:c r="D81" s="42" t="n">
        <x:f>C81-1</x:f>
        <x:v>1</x:v>
      </x:c>
      <x:c r="E81" s="42" t="n">
        <x:f>IF(F81="需拆分后合并",0,C81-1)</x:f>
        <x:v>1</x:v>
      </x:c>
      <x:c r="F81" s="39" t="str">
        <x:v>条件合并（先修分类）</x:v>
      </x:c>
      <x:c r="G81" s="39" t="str">
        <x:v>冲压工程师</x:v>
      </x:c>
      <x:c r="H81" s="39" t="str">
        <x:v>2-02-07-01；6-31-01-01</x:v>
      </x:c>
      <x:c r="I81" s="39" t="str">
        <x:v>机械设计工程技术人员；设备点检员</x:v>
      </x:c>
      <x:c r="J81" s="39" t="str">
        <x:v>生产制造 &gt; 工程/机械 &gt; 冲压工程师；生产制造 &gt; 技工 &gt; 冲压工程师</x:v>
      </x:c>
      <x:c r="K81" s="39" t="str">
        <x:v>IC-L3-777；IC-L3-827</x:v>
      </x:c>
      <x:c r="L81" s="39" t="str">
        <x:v>626；676</x:v>
      </x:c>
      <x:c r="M81" s="68" t="n">
        <x:v>0.092</x:v>
      </x:c>
      <x:c r="N81" s="68" t="n">
        <x:v>0.064</x:v>
      </x:c>
      <x:c r="O81" s="39" t="str">
        <x:v>岗位名称完全一致，但职业分类存在冲突；优先核对并修正分类，再合并标准岗位，来源产业关系必须保留。</x:v>
      </x:c>
    </x:row>
    <x:row r="82" ht="44" customHeight="1">
      <x:c r="A82" s="65" t="n">
        <x:v>81</x:v>
      </x:c>
      <x:c r="B82" s="39" t="str">
        <x:v>厨师助理/学徒</x:v>
      </x:c>
      <x:c r="C82" s="42" t="n">
        <x:v>2</x:v>
      </x:c>
      <x:c r="D82" s="42" t="n">
        <x:f>C82-1</x:f>
        <x:v>1</x:v>
      </x:c>
      <x:c r="E82" s="42" t="n">
        <x:f>IF(F82="需拆分后合并",0,C82-1)</x:f>
        <x:v>1</x:v>
      </x:c>
      <x:c r="F82" s="39" t="str">
        <x:v>可直接合并</x:v>
      </x:c>
      <x:c r="G82" s="39" t="str">
        <x:v>厨师助理/学徒</x:v>
      </x:c>
      <x:c r="H82" s="39" t="str">
        <x:v>4-07-03-01</x:v>
      </x:c>
      <x:c r="I82" s="39" t="str">
        <x:v>职业指导师</x:v>
      </x:c>
      <x:c r="J82" s="39" t="str">
        <x:v>生活服务/零售 &gt; 服务员 &gt; 厨师助理/学徒；餐饮 &gt; 后厨 &gt; 厨师助理/学徒</x:v>
      </x:c>
      <x:c r="K82" s="39" t="str">
        <x:v>IC-L3-967；IC-L3-1491</x:v>
      </x:c>
      <x:c r="L82" s="39" t="str">
        <x:v>816；1340</x:v>
      </x:c>
      <x:c r="M82" s="68" t="n">
        <x:v>0.093</x:v>
      </x:c>
      <x:c r="N82" s="68" t="n">
        <x:v>0.064</x:v>
      </x:c>
      <x:c r="O82" s="39" t="str">
        <x:v>岗位名称完全一致且职业分类一致；建议保留一个标准岗位，原记录转为来源/产业关联。</x:v>
      </x:c>
    </x:row>
    <x:row r="83" ht="44" customHeight="1">
      <x:c r="A83" s="65" t="n">
        <x:v>82</x:v>
      </x:c>
      <x:c r="B83" s="39" t="str">
        <x:v>畜牧师</x:v>
      </x:c>
      <x:c r="C83" s="42" t="n">
        <x:v>2</x:v>
      </x:c>
      <x:c r="D83" s="42" t="n">
        <x:f>C83-1</x:f>
        <x:v>1</x:v>
      </x:c>
      <x:c r="E83" s="42" t="n">
        <x:f>IF(F83="需拆分后合并",0,C83-1)</x:f>
        <x:v>1</x:v>
      </x:c>
      <x:c r="F83" s="39" t="str">
        <x:v>条件合并（先修分类）</x:v>
      </x:c>
      <x:c r="G83" s="39" t="str">
        <x:v>畜牧师</x:v>
      </x:c>
      <x:c r="H83" s="39" t="str">
        <x:v>5-05-01-01；2-02-27-06</x:v>
      </x:c>
      <x:c r="I83" s="39" t="str">
        <x:v>农业技术员；健康安全环境工程技术人员</x:v>
      </x:c>
      <x:c r="J83" s="39" t="str">
        <x:v>政府机构/农业 &gt; 农林牧渔 &gt; 畜牧师；能源/环保/化工 &gt; 环保 &gt; 畜牧师</x:v>
      </x:c>
      <x:c r="K83" s="39" t="str">
        <x:v>IC-L3-656；IC-L3-1089</x:v>
      </x:c>
      <x:c r="L83" s="39" t="str">
        <x:v>505；938</x:v>
      </x:c>
      <x:c r="M83" s="68" t="n">
        <x:v>0.08</x:v>
      </x:c>
      <x:c r="N83" s="68" t="n">
        <x:v>0.036</x:v>
      </x:c>
      <x:c r="O83" s="39" t="str">
        <x:v>岗位名称完全一致，但职业分类存在冲突；优先核对并修正分类，再合并标准岗位，来源产业关系必须保留。</x:v>
      </x:c>
    </x:row>
    <x:row r="84" ht="44" customHeight="1">
      <x:c r="A84" s="65" t="n">
        <x:v>83</x:v>
      </x:c>
      <x:c r="B84" s="39" t="str">
        <x:v>船员</x:v>
      </x:c>
      <x:c r="C84" s="42" t="n">
        <x:v>2</x:v>
      </x:c>
      <x:c r="D84" s="42" t="n">
        <x:f>C84-1</x:f>
        <x:v>1</x:v>
      </x:c>
      <x:c r="E84" s="42" t="n">
        <x:f>IF(F84="需拆分后合并",0,C84-1)</x:f>
        <x:v>1</x:v>
      </x:c>
      <x:c r="F84" s="39" t="str">
        <x:v>条件合并（先修分类）</x:v>
      </x:c>
      <x:c r="G84" s="39" t="str">
        <x:v>船员</x:v>
      </x:c>
      <x:c r="H84" s="39" t="str">
        <x:v>4-02-06-03；4-02-04-01</x:v>
      </x:c>
      <x:c r="I84" s="39" t="str">
        <x:v>物流服务师；民航乘务员</x:v>
      </x:c>
      <x:c r="J84" s="39" t="str">
        <x:v>物流/供应链 &gt; 物流/运输 &gt; 船员；生活服务/零售 &gt; 交通运输服务 &gt; 船员</x:v>
      </x:c>
      <x:c r="K84" s="39" t="str">
        <x:v>IC-L3-923；IC-L3-935</x:v>
      </x:c>
      <x:c r="L84" s="39" t="str">
        <x:v>772；784</x:v>
      </x:c>
      <x:c r="M84" s="68" t="n">
        <x:v>0.076</x:v>
      </x:c>
      <x:c r="N84" s="68" t="n">
        <x:v>0.064</x:v>
      </x:c>
      <x:c r="O84" s="39" t="str">
        <x:v>岗位名称完全一致，但职业分类存在冲突；优先核对并修正分类，再合并标准岗位，来源产业关系必须保留。</x:v>
      </x:c>
    </x:row>
    <x:row r="85" ht="44" customHeight="1">
      <x:c r="A85" s="65" t="n">
        <x:v>84</x:v>
      </x:c>
      <x:c r="B85" s="39" t="str">
        <x:v>促销员/导购员</x:v>
      </x:c>
      <x:c r="C85" s="42" t="n">
        <x:v>2</x:v>
      </x:c>
      <x:c r="D85" s="42" t="n">
        <x:f>C85-1</x:f>
        <x:v>1</x:v>
      </x:c>
      <x:c r="E85" s="42" t="n">
        <x:f>IF(F85="需拆分后合并",0,C85-1)</x:f>
        <x:v>1</x:v>
      </x:c>
      <x:c r="F85" s="39" t="str">
        <x:v>可直接合并</x:v>
      </x:c>
      <x:c r="G85" s="39" t="str">
        <x:v>促销员/导购员</x:v>
      </x:c>
      <x:c r="H85" s="39" t="str">
        <x:v>4-01-02-03</x:v>
      </x:c>
      <x:c r="I85" s="39" t="str">
        <x:v>商品营业员</x:v>
      </x:c>
      <x:c r="J85" s="39" t="str">
        <x:v>销售/客服 &gt; 服务业销售 &gt; 促销员/导购员；生活服务/零售 &gt; 零售 &gt; 促销员/导购员</x:v>
      </x:c>
      <x:c r="K85" s="39" t="str">
        <x:v>IC-L3-424；IC-L3-1002</x:v>
      </x:c>
      <x:c r="L85" s="39" t="str">
        <x:v>273；851</x:v>
      </x:c>
      <x:c r="M85" s="68" t="n">
        <x:v>0.211</x:v>
      </x:c>
      <x:c r="N85" s="68" t="n">
        <x:v>0.116</x:v>
      </x:c>
      <x:c r="O85" s="39" t="str">
        <x:v>岗位名称完全一致且职业分类一致；建议保留一个标准岗位，原记录转为来源/产业关联。</x:v>
      </x:c>
    </x:row>
    <x:row r="86" ht="44" customHeight="1">
      <x:c r="A86" s="65" t="n">
        <x:v>85</x:v>
      </x:c>
      <x:c r="B86" s="39" t="str">
        <x:v>促销主管/督导/巡店</x:v>
      </x:c>
      <x:c r="C86" s="42" t="n">
        <x:v>2</x:v>
      </x:c>
      <x:c r="D86" s="42" t="n">
        <x:f>C86-1</x:f>
        <x:v>1</x:v>
      </x:c>
      <x:c r="E86" s="42" t="n">
        <x:f>IF(F86="需拆分后合并",0,C86-1)</x:f>
        <x:v>1</x:v>
      </x:c>
      <x:c r="F86" s="39" t="str">
        <x:v>可直接合并</x:v>
      </x:c>
      <x:c r="G86" s="39" t="str">
        <x:v>促销主管/督导/巡店</x:v>
      </x:c>
      <x:c r="H86" s="39" t="str">
        <x:v>4-01-02-03</x:v>
      </x:c>
      <x:c r="I86" s="39" t="str">
        <x:v>商品营业员</x:v>
      </x:c>
      <x:c r="J86" s="39" t="str">
        <x:v>销售/客服 &gt; 服务业销售 &gt; 促销主管/督导/巡店；生活服务/零售 &gt; 零售 &gt; 促销主管/督导/巡店</x:v>
      </x:c>
      <x:c r="K86" s="39" t="str">
        <x:v>IC-L3-423；IC-L3-1001</x:v>
      </x:c>
      <x:c r="L86" s="39" t="str">
        <x:v>272；850</x:v>
      </x:c>
      <x:c r="M86" s="68" t="n">
        <x:v>0.174</x:v>
      </x:c>
      <x:c r="N86" s="68" t="n">
        <x:v>0.137</x:v>
      </x:c>
      <x:c r="O86" s="39" t="str">
        <x:v>岗位名称完全一致且职业分类一致；建议保留一个标准岗位，原记录转为来源/产业关联。</x:v>
      </x:c>
    </x:row>
    <x:row r="87" ht="44" customHeight="1">
      <x:c r="A87" s="65" t="n">
        <x:v>86</x:v>
      </x:c>
      <x:c r="B87" s="39" t="str">
        <x:v>大客户销售</x:v>
      </x:c>
      <x:c r="C87" s="42" t="n">
        <x:v>2</x:v>
      </x:c>
      <x:c r="D87" s="42" t="n">
        <x:f>C87-1</x:f>
        <x:v>1</x:v>
      </x:c>
      <x:c r="E87" s="42" t="n">
        <x:f>IF(F87="需拆分后合并",0,C87-1)</x:f>
        <x:v>1</x:v>
      </x:c>
      <x:c r="F87" s="39" t="str">
        <x:v>可直接合并</x:v>
      </x:c>
      <x:c r="G87" s="39" t="str">
        <x:v>大客户销售</x:v>
      </x:c>
      <x:c r="H87" s="39" t="str">
        <x:v>4-01-02-01</x:v>
      </x:c>
      <x:c r="I87" s="39" t="str">
        <x:v>营销员</x:v>
      </x:c>
      <x:c r="J87" s="39" t="str">
        <x:v>销售/客服 &gt; 销售人员 &gt; 大客户销售；销售/客服 &gt; 销售高级管理 &gt; 大客户销售</x:v>
      </x:c>
      <x:c r="K87" s="39" t="str">
        <x:v>IC-L3-438；IC-L3-484</x:v>
      </x:c>
      <x:c r="L87" s="39" t="str">
        <x:v>287；333</x:v>
      </x:c>
      <x:c r="M87" s="68" t="n">
        <x:v>0.112</x:v>
      </x:c>
      <x:c r="N87" s="68" t="n">
        <x:v>0.107</x:v>
      </x:c>
      <x:c r="O87" s="39" t="str">
        <x:v>岗位名称完全一致且职业分类一致；建议保留一个标准岗位，原记录转为来源/产业关联。</x:v>
      </x:c>
    </x:row>
    <x:row r="88" ht="44" customHeight="1">
      <x:c r="A88" s="65" t="n">
        <x:v>87</x:v>
      </x:c>
      <x:c r="B88" s="39" t="str">
        <x:v>导购管理</x:v>
      </x:c>
      <x:c r="C88" s="42" t="n">
        <x:v>2</x:v>
      </x:c>
      <x:c r="D88" s="42" t="n">
        <x:f>C88-1</x:f>
        <x:v>1</x:v>
      </x:c>
      <x:c r="E88" s="42" t="n">
        <x:f>IF(F88="需拆分后合并",0,C88-1)</x:f>
        <x:v>1</x:v>
      </x:c>
      <x:c r="F88" s="39" t="str">
        <x:v>可直接合并</x:v>
      </x:c>
      <x:c r="G88" s="39" t="str">
        <x:v>导购管理</x:v>
      </x:c>
      <x:c r="H88" s="39" t="str">
        <x:v>4-01-02-03</x:v>
      </x:c>
      <x:c r="I88" s="39" t="str">
        <x:v>商品营业员</x:v>
      </x:c>
      <x:c r="J88" s="39" t="str">
        <x:v>销售/客服 &gt; 服务业销售 &gt; 导购管理；生活服务/零售 &gt; 零售 &gt; 导购管理</x:v>
      </x:c>
      <x:c r="K88" s="39" t="str">
        <x:v>IC-L3-428；IC-L3-1008</x:v>
      </x:c>
      <x:c r="L88" s="39" t="str">
        <x:v>277；857</x:v>
      </x:c>
      <x:c r="M88" s="68" t="n">
        <x:v>0.192</x:v>
      </x:c>
      <x:c r="N88" s="68" t="n">
        <x:v>0.153</x:v>
      </x:c>
      <x:c r="O88" s="39" t="str">
        <x:v>岗位名称完全一致且职业分类一致；建议保留一个标准岗位，原记录转为来源/产业关联。</x:v>
      </x:c>
    </x:row>
    <x:row r="89" ht="44" customHeight="1">
      <x:c r="A89" s="65" t="n">
        <x:v>88</x:v>
      </x:c>
      <x:c r="B89" s="39" t="str">
        <x:v>底盘工程师</x:v>
      </x:c>
      <x:c r="C89" s="42" t="n">
        <x:v>2</x:v>
      </x:c>
      <x:c r="D89" s="42" t="n">
        <x:f>C89-1</x:f>
        <x:v>1</x:v>
      </x:c>
      <x:c r="E89" s="42" t="n">
        <x:f>IF(F89="需拆分后合并",0,C89-1)</x:f>
        <x:v>1</x:v>
      </x:c>
      <x:c r="F89" s="39" t="str">
        <x:v>条件合并（先修分类）</x:v>
      </x:c>
      <x:c r="G89" s="39" t="str">
        <x:v>底盘工程师</x:v>
      </x:c>
      <x:c r="H89" s="39" t="str">
        <x:v>2-02-07-11；4-02-02-01</x:v>
      </x:c>
      <x:c r="I89" s="39" t="str">
        <x:v>汽车工程技术人员；客运车辆驾驶员</x:v>
      </x:c>
      <x:c r="J89" s="39" t="str">
        <x:v>汽车 &gt; 汽车研发设计 &gt; 底盘工程师；汽车 &gt; 汽车销售与服务 &gt; 底盘工程师</x:v>
      </x:c>
      <x:c r="K89" s="39" t="str">
        <x:v>IC-L3-728；IC-L3-765</x:v>
      </x:c>
      <x:c r="L89" s="39" t="str">
        <x:v>577；614</x:v>
      </x:c>
      <x:c r="M89" s="68" t="n">
        <x:v>0.054</x:v>
      </x:c>
      <x:c r="N89" s="68" t="n">
        <x:v>0.035</x:v>
      </x:c>
      <x:c r="O89" s="39" t="str">
        <x:v>岗位名称完全一致，但职业分类存在冲突；优先核对并修正分类，再合并标准岗位，来源产业关系必须保留。</x:v>
      </x:c>
    </x:row>
    <x:row r="90" ht="44" customHeight="1">
      <x:c r="A90" s="65" t="n">
        <x:v>89</x:v>
      </x:c>
      <x:c r="B90" s="39" t="str">
        <x:v>电池/电源开发</x:v>
      </x:c>
      <x:c r="C90" s="42" t="n">
        <x:v>2</x:v>
      </x:c>
      <x:c r="D90" s="42" t="n">
        <x:f>C90-1</x:f>
        <x:v>1</x:v>
      </x:c>
      <x:c r="E90" s="42" t="n">
        <x:f>IF(F90="需拆分后合并",0,C90-1)</x:f>
        <x:v>1</x:v>
      </x:c>
      <x:c r="F90" s="39" t="str">
        <x:v>可直接合并</x:v>
      </x:c>
      <x:c r="G90" s="39" t="str">
        <x:v>电池/电源开发</x:v>
      </x:c>
      <x:c r="H90" s="39" t="str">
        <x:v>2-02-09-02</x:v>
      </x:c>
      <x:c r="I90" s="39" t="str">
        <x:v>电子元器件工程技术人员</x:v>
      </x:c>
      <x:c r="J90" s="39" t="str">
        <x:v>通信/电子 &gt; 半导体/芯片 &gt; 电池/电源开发；通信/电子 &gt; 电子/电器/仪器仪表 &gt; 电池/电源开发</x:v>
      </x:c>
      <x:c r="K90" s="39" t="str">
        <x:v>IC-L3-1285；IC-L3-1322</x:v>
      </x:c>
      <x:c r="L90" s="39" t="str">
        <x:v>1134；1171</x:v>
      </x:c>
      <x:c r="M90" s="68" t="n">
        <x:v>0.087</x:v>
      </x:c>
      <x:c r="N90" s="68" t="n">
        <x:v>0.073</x:v>
      </x:c>
      <x:c r="O90" s="39" t="str">
        <x:v>岗位名称完全一致且职业分类一致；建议保留一个标准岗位，原记录转为来源/产业关联。</x:v>
      </x:c>
    </x:row>
    <x:row r="91" ht="44" customHeight="1">
      <x:c r="A91" s="65" t="n">
        <x:v>90</x:v>
      </x:c>
      <x:c r="B91" s="39" t="str">
        <x:v>电力工程师</x:v>
      </x:c>
      <x:c r="C91" s="42" t="n">
        <x:v>2</x:v>
      </x:c>
      <x:c r="D91" s="42" t="n">
        <x:f>C91-1</x:f>
        <x:v>1</x:v>
      </x:c>
      <x:c r="E91" s="42" t="n">
        <x:f>IF(F91="需拆分后合并",0,C91-1)</x:f>
        <x:v>1</x:v>
      </x:c>
      <x:c r="F91" s="39" t="str">
        <x:v>条件合并（先修分类）</x:v>
      </x:c>
      <x:c r="G91" s="39" t="str">
        <x:v>电力工程师</x:v>
      </x:c>
      <x:c r="H91" s="39" t="str">
        <x:v>6-29-01-01；2-02-38-05</x:v>
      </x:c>
      <x:c r="I91" s="39" t="str">
        <x:v>砌筑工；智能制造工程技术人员</x:v>
      </x:c>
      <x:c r="J91" s="39" t="str">
        <x:v>建筑/房地产 &gt; 建筑/装修工人 &gt; 电力工程师；能源/环保/化工 &gt; 能源 &gt; 电力工程师</x:v>
      </x:c>
      <x:c r="K91" s="39" t="str">
        <x:v>IC-L3-577；IC-L3-1098</x:v>
      </x:c>
      <x:c r="L91" s="39" t="str">
        <x:v>426；947</x:v>
      </x:c>
      <x:c r="M91" s="68" t="n">
        <x:v>0.097</x:v>
      </x:c>
      <x:c r="N91" s="68" t="n">
        <x:v>0.068</x:v>
      </x:c>
      <x:c r="O91" s="39" t="str">
        <x:v>岗位名称完全一致，但职业分类存在冲突；优先核对并修正分类，再合并标准岗位，来源产业关系必须保留。</x:v>
      </x:c>
    </x:row>
    <x:row r="92" ht="44" customHeight="1">
      <x:c r="A92" s="65" t="n">
        <x:v>91</x:v>
      </x:c>
      <x:c r="B92" s="39" t="str">
        <x:v>电梯工</x:v>
      </x:c>
      <x:c r="C92" s="42" t="n">
        <x:v>2</x:v>
      </x:c>
      <x:c r="D92" s="42" t="n">
        <x:f>C92-1</x:f>
        <x:v>1</x:v>
      </x:c>
      <x:c r="E92" s="42" t="n">
        <x:f>IF(F92="需拆分后合并",0,C92-1)</x:f>
        <x:v>1</x:v>
      </x:c>
      <x:c r="F92" s="39" t="str">
        <x:v>条件合并（先修分类）</x:v>
      </x:c>
      <x:c r="G92" s="39" t="str">
        <x:v>电梯工</x:v>
      </x:c>
      <x:c r="H92" s="39" t="str">
        <x:v>6-29-01-01；6-31-01-01</x:v>
      </x:c>
      <x:c r="I92" s="39" t="str">
        <x:v>砌筑工；设备点检员</x:v>
      </x:c>
      <x:c r="J92" s="39" t="str">
        <x:v>建筑/房地产 &gt; 建筑/装修工人 &gt; 电梯工；生产制造 &gt; 技工 &gt; 电梯工</x:v>
      </x:c>
      <x:c r="K92" s="39" t="str">
        <x:v>IC-L3-573；IC-L3-822</x:v>
      </x:c>
      <x:c r="L92" s="39" t="str">
        <x:v>422；671</x:v>
      </x:c>
      <x:c r="M92" s="68" t="n">
        <x:v>0.261</x:v>
      </x:c>
      <x:c r="N92" s="68" t="n">
        <x:v>0.18</x:v>
      </x:c>
      <x:c r="O92" s="39" t="str">
        <x:v>岗位名称完全一致，但职业分类存在冲突；优先核对并修正分类，再合并标准岗位，来源产业关系必须保留。</x:v>
      </x:c>
    </x:row>
    <x:row r="93" ht="44" customHeight="1">
      <x:c r="A93" s="65" t="n">
        <x:v>92</x:v>
      </x:c>
      <x:c r="B93" s="39" t="str">
        <x:v>电子产品经理/产品工程师</x:v>
      </x:c>
      <x:c r="C93" s="42" t="n">
        <x:v>2</x:v>
      </x:c>
      <x:c r="D93" s="42" t="n">
        <x:f>C93-1</x:f>
        <x:v>1</x:v>
      </x:c>
      <x:c r="E93" s="42" t="n">
        <x:f>IF(F93="需拆分后合并",0,C93-1)</x:f>
        <x:v>1</x:v>
      </x:c>
      <x:c r="F93" s="39" t="str">
        <x:v>可直接合并</x:v>
      </x:c>
      <x:c r="G93" s="39" t="str">
        <x:v>电子产品经理/产品工程师</x:v>
      </x:c>
      <x:c r="H93" s="39" t="str">
        <x:v>2-02-09-02</x:v>
      </x:c>
      <x:c r="I93" s="39" t="str">
        <x:v>电子元器件工程技术人员</x:v>
      </x:c>
      <x:c r="J93" s="39" t="str">
        <x:v>产品 &gt; 其他产品经理 &gt; 电子产品经理/产品工程师；通信/电子 &gt; 电子/电器/仪器仪表 &gt; 电子产品经理/产品工程师</x:v>
      </x:c>
      <x:c r="K93" s="39" t="str">
        <x:v>IC-L3-262；IC-L3-1313</x:v>
      </x:c>
      <x:c r="L93" s="39" t="str">
        <x:v>111；1162</x:v>
      </x:c>
      <x:c r="M93" s="68" t="n">
        <x:v>0.185</x:v>
      </x:c>
      <x:c r="N93" s="68" t="n">
        <x:v>0.205</x:v>
      </x:c>
      <x:c r="O93" s="39" t="str">
        <x:v>岗位名称完全一致且职业分类一致；建议保留一个标准岗位，原记录转为来源/产业关联。</x:v>
      </x:c>
    </x:row>
    <x:row r="94" ht="44" customHeight="1">
      <x:c r="A94" s="65" t="n">
        <x:v>93</x:v>
      </x:c>
      <x:c r="B94" s="39" t="str">
        <x:v>店员/营业员</x:v>
      </x:c>
      <x:c r="C94" s="42" t="n">
        <x:v>2</x:v>
      </x:c>
      <x:c r="D94" s="42" t="n">
        <x:f>C94-1</x:f>
        <x:v>1</x:v>
      </x:c>
      <x:c r="E94" s="42" t="n">
        <x:f>IF(F94="需拆分后合并",0,C94-1)</x:f>
        <x:v>1</x:v>
      </x:c>
      <x:c r="F94" s="39" t="str">
        <x:v>条件合并（先修分类）</x:v>
      </x:c>
      <x:c r="G94" s="39" t="str">
        <x:v>店员/营业员</x:v>
      </x:c>
      <x:c r="H94" s="39" t="str">
        <x:v>4-03-02-05；4-01-02-03</x:v>
      </x:c>
      <x:c r="I94" s="39" t="str">
        <x:v>餐厅服务员；商品营业员</x:v>
      </x:c>
      <x:c r="J94" s="39" t="str">
        <x:v>生活服务/零售 &gt; 服务员 &gt; 店员/营业员；生活服务/零售 &gt; 零售 &gt; 店员/营业员</x:v>
      </x:c>
      <x:c r="K94" s="39" t="str">
        <x:v>IC-L3-971；IC-L3-1009</x:v>
      </x:c>
      <x:c r="L94" s="39" t="str">
        <x:v>820；858</x:v>
      </x:c>
      <x:c r="M94" s="68" t="n">
        <x:v>0.093</x:v>
      </x:c>
      <x:c r="N94" s="68" t="n">
        <x:v>0.054</x:v>
      </x:c>
      <x:c r="O94" s="39" t="str">
        <x:v>岗位名称完全一致，但职业分类存在冲突；优先核对并修正分类，再合并标准岗位，来源产业关系必须保留。</x:v>
      </x:c>
    </x:row>
    <x:row r="95" ht="44" customHeight="1">
      <x:c r="A95" s="65" t="n">
        <x:v>94</x:v>
      </x:c>
      <x:c r="B95" s="39" t="str">
        <x:v>调酒师/侍酒师/吧台员</x:v>
      </x:c>
      <x:c r="C95" s="42" t="n">
        <x:v>2</x:v>
      </x:c>
      <x:c r="D95" s="42" t="n">
        <x:f>C95-1</x:f>
        <x:v>1</x:v>
      </x:c>
      <x:c r="E95" s="42" t="n">
        <x:f>IF(F95="需拆分后合并",0,C95-1)</x:f>
        <x:v>1</x:v>
      </x:c>
      <x:c r="F95" s="39" t="str">
        <x:v>条件合并（先修分类）</x:v>
      </x:c>
      <x:c r="G95" s="39" t="str">
        <x:v>调酒师/侍酒师/吧台员</x:v>
      </x:c>
      <x:c r="H95" s="39" t="str">
        <x:v>4-03-02-05；4-07-02-01</x:v>
      </x:c>
      <x:c r="I95" s="39" t="str">
        <x:v>餐厅服务员；风险管理师</x:v>
      </x:c>
      <x:c r="J95" s="39" t="str">
        <x:v>生活服务/零售 &gt; 服务员 &gt; 调酒师/侍酒师/吧台员；餐饮 &gt; 前厅 &gt; 调酒师/侍酒师/吧台员</x:v>
      </x:c>
      <x:c r="K95" s="39" t="str">
        <x:v>IC-L3-968；IC-L3-1486</x:v>
      </x:c>
      <x:c r="L95" s="39" t="str">
        <x:v>817；1335</x:v>
      </x:c>
      <x:c r="M95" s="68" t="n">
        <x:v>0.084</x:v>
      </x:c>
      <x:c r="N95" s="68" t="n">
        <x:v>0.083</x:v>
      </x:c>
      <x:c r="O95" s="39" t="str">
        <x:v>岗位名称完全一致，但职业分类存在冲突；优先核对并修正分类，再合并标准岗位，来源产业关系必须保留。</x:v>
      </x:c>
    </x:row>
    <x:row r="96" ht="44" customHeight="1">
      <x:c r="A96" s="65" t="n">
        <x:v>95</x:v>
      </x:c>
      <x:c r="B96" s="39" t="str">
        <x:v>调饮师</x:v>
      </x:c>
      <x:c r="C96" s="42" t="n">
        <x:v>2</x:v>
      </x:c>
      <x:c r="D96" s="42" t="n">
        <x:f>C96-1</x:f>
        <x:v>1</x:v>
      </x:c>
      <x:c r="E96" s="42" t="n">
        <x:f>IF(F96="需拆分后合并",0,C96-1)</x:f>
        <x:v>1</x:v>
      </x:c>
      <x:c r="F96" s="39" t="str">
        <x:v>条件合并（先修分类）</x:v>
      </x:c>
      <x:c r="G96" s="39" t="str">
        <x:v>调饮师</x:v>
      </x:c>
      <x:c r="H96" s="39" t="str">
        <x:v>4-03-02-05；4-07-02-01</x:v>
      </x:c>
      <x:c r="I96" s="39" t="str">
        <x:v>餐厅服务员；风险管理师</x:v>
      </x:c>
      <x:c r="J96" s="39" t="str">
        <x:v>生活服务/零售 &gt; 服务员 &gt; 调饮师；餐饮 &gt; 前厅 &gt; 调饮师</x:v>
      </x:c>
      <x:c r="K96" s="39" t="str">
        <x:v>IC-L3-983；IC-L3-1487</x:v>
      </x:c>
      <x:c r="L96" s="39" t="str">
        <x:v>832；1336</x:v>
      </x:c>
      <x:c r="M96" s="68" t="n">
        <x:v>0.071</x:v>
      </x:c>
      <x:c r="N96" s="68" t="n">
        <x:v>0.064</x:v>
      </x:c>
      <x:c r="O96" s="39" t="str">
        <x:v>岗位名称完全一致，但职业分类存在冲突；优先核对并修正分类，再合并标准岗位，来源产业关系必须保留。</x:v>
      </x:c>
    </x:row>
    <x:row r="97" ht="44" customHeight="1">
      <x:c r="A97" s="65" t="n">
        <x:v>96</x:v>
      </x:c>
      <x:c r="B97" s="39" t="str">
        <x:v>儿科医生</x:v>
      </x:c>
      <x:c r="C97" s="42" t="n">
        <x:v>2</x:v>
      </x:c>
      <x:c r="D97" s="42" t="n">
        <x:f>C97-1</x:f>
        <x:v>1</x:v>
      </x:c>
      <x:c r="E97" s="42" t="n">
        <x:f>IF(F97="需拆分后合并",0,C97-1)</x:f>
        <x:v>1</x:v>
      </x:c>
      <x:c r="F97" s="39" t="str">
        <x:v>可直接合并</x:v>
      </x:c>
      <x:c r="G97" s="39" t="str">
        <x:v>儿科医生</x:v>
      </x:c>
      <x:c r="H97" s="39" t="str">
        <x:v>2-05-01-19</x:v>
      </x:c>
      <x:c r="I97" s="39" t="str">
        <x:v>全科医师</x:v>
      </x:c>
      <x:c r="J97" s="39" t="str">
        <x:v>医药/医疗 &gt; 医生/医技 &gt; 儿科医生；医药/医疗 &gt; 护理/护士 &gt; 儿科医生</x:v>
      </x:c>
      <x:c r="K97" s="39" t="str">
        <x:v>IC-L3-317；IC-L3-366</x:v>
      </x:c>
      <x:c r="L97" s="39" t="str">
        <x:v>166；215</x:v>
      </x:c>
      <x:c r="M97" s="68" t="n">
        <x:v>0.108</x:v>
      </x:c>
      <x:c r="N97" s="68" t="n">
        <x:v>0.035</x:v>
      </x:c>
      <x:c r="O97" s="39" t="str">
        <x:v>岗位名称完全一致且职业分类一致；建议保留一个标准岗位，原记录转为来源/产业关联。</x:v>
      </x:c>
    </x:row>
    <x:row r="98" ht="44" customHeight="1">
      <x:c r="A98" s="65" t="n">
        <x:v>97</x:v>
      </x:c>
      <x:c r="B98" s="39" t="str">
        <x:v>发动机工程师</x:v>
      </x:c>
      <x:c r="C98" s="42" t="n">
        <x:v>2</x:v>
      </x:c>
      <x:c r="D98" s="42" t="n">
        <x:f>C98-1</x:f>
        <x:v>1</x:v>
      </x:c>
      <x:c r="E98" s="42" t="n">
        <x:f>IF(F98="需拆分后合并",0,C98-1)</x:f>
        <x:v>1</x:v>
      </x:c>
      <x:c r="F98" s="39" t="str">
        <x:v>条件合并（先修分类）</x:v>
      </x:c>
      <x:c r="G98" s="39" t="str">
        <x:v>发动机工程师</x:v>
      </x:c>
      <x:c r="H98" s="39" t="str">
        <x:v>2-02-07-11；2-02-07-01</x:v>
      </x:c>
      <x:c r="I98" s="39" t="str">
        <x:v>汽车工程技术人员；机械设计工程技术人员</x:v>
      </x:c>
      <x:c r="J98" s="39" t="str">
        <x:v>汽车 &gt; 汽车研发设计 &gt; 发动机工程师；生产制造 &gt; 工程/机械 &gt; 发动机工程师</x:v>
      </x:c>
      <x:c r="K98" s="39" t="str">
        <x:v>IC-L3-727；IC-L3-812</x:v>
      </x:c>
      <x:c r="L98" s="39" t="str">
        <x:v>576；661</x:v>
      </x:c>
      <x:c r="M98" s="68" t="n">
        <x:v>0.077</x:v>
      </x:c>
      <x:c r="N98" s="68" t="n">
        <x:v>0.041</x:v>
      </x:c>
      <x:c r="O98" s="39" t="str">
        <x:v>岗位名称完全一致，但职业分类存在冲突；优先核对并修正分类，再合并标准岗位，来源产业关系必须保留。</x:v>
      </x:c>
    </x:row>
    <x:row r="99" ht="44" customHeight="1">
      <x:c r="A99" s="65" t="n">
        <x:v>98</x:v>
      </x:c>
      <x:c r="B99" s="39" t="str">
        <x:v>防损员/内保</x:v>
      </x:c>
      <x:c r="C99" s="42" t="n">
        <x:v>2</x:v>
      </x:c>
      <x:c r="D99" s="42" t="n">
        <x:f>C99-1</x:f>
        <x:v>1</x:v>
      </x:c>
      <x:c r="E99" s="42" t="n">
        <x:f>IF(F99="需拆分后合并",0,C99-1)</x:f>
        <x:v>1</x:v>
      </x:c>
      <x:c r="F99" s="39" t="str">
        <x:v>条件合并（先修分类）</x:v>
      </x:c>
      <x:c r="G99" s="39" t="str">
        <x:v>防损员/内保</x:v>
      </x:c>
      <x:c r="H99" s="39" t="str">
        <x:v>4-03-02-05；4-01-02-03</x:v>
      </x:c>
      <x:c r="I99" s="39" t="str">
        <x:v>餐厅服务员；商品营业员</x:v>
      </x:c>
      <x:c r="J99" s="39" t="str">
        <x:v>生活服务/零售 &gt; 服务员 &gt; 防损员/内保；生活服务/零售 &gt; 零售 &gt; 防损员/内保</x:v>
      </x:c>
      <x:c r="K99" s="39" t="str">
        <x:v>IC-L3-972；IC-L3-1016</x:v>
      </x:c>
      <x:c r="L99" s="39" t="str">
        <x:v>821；865</x:v>
      </x:c>
      <x:c r="M99" s="68" t="n">
        <x:v>0.068</x:v>
      </x:c>
      <x:c r="N99" s="68" t="n">
        <x:v>0.06</x:v>
      </x:c>
      <x:c r="O99" s="39" t="str">
        <x:v>岗位名称完全一致，但职业分类存在冲突；优先核对并修正分类，再合并标准岗位，来源产业关系必须保留。</x:v>
      </x:c>
    </x:row>
    <x:row r="100" ht="44" customHeight="1">
      <x:c r="A100" s="65" t="n">
        <x:v>99</x:v>
      </x:c>
      <x:c r="B100" s="39" t="str">
        <x:v>房地产店长/经理</x:v>
      </x:c>
      <x:c r="C100" s="42" t="n">
        <x:v>2</x:v>
      </x:c>
      <x:c r="D100" s="42" t="n">
        <x:f>C100-1</x:f>
        <x:v>1</x:v>
      </x:c>
      <x:c r="E100" s="42" t="n">
        <x:f>IF(F100="需拆分后合并",0,C100-1)</x:f>
        <x:v>1</x:v>
      </x:c>
      <x:c r="F100" s="39" t="str">
        <x:v>可直接合并</x:v>
      </x:c>
      <x:c r="G100" s="39" t="str">
        <x:v>房地产店长/经理</x:v>
      </x:c>
      <x:c r="H100" s="39" t="str">
        <x:v>4-01-02-03</x:v>
      </x:c>
      <x:c r="I100" s="39" t="str">
        <x:v>商品营业员</x:v>
      </x:c>
      <x:c r="J100" s="39" t="str">
        <x:v>销售/客服 &gt; 房地产销售 &gt; 房地产店长/经理；建筑/房地产 &gt; 房地产销售与中介 &gt; 房地产店长/经理</x:v>
      </x:c>
      <x:c r="K100" s="39" t="str">
        <x:v>IC-L3-416；IC-L3-634</x:v>
      </x:c>
      <x:c r="L100" s="39" t="str">
        <x:v>265；483</x:v>
      </x:c>
      <x:c r="M100" s="68" t="n">
        <x:v>0.233</x:v>
      </x:c>
      <x:c r="N100" s="68" t="n">
        <x:v>0.166</x:v>
      </x:c>
      <x:c r="O100" s="39" t="str">
        <x:v>岗位名称完全一致且职业分类一致；建议保留一个标准岗位，原记录转为来源/产业关联。</x:v>
      </x:c>
    </x:row>
    <x:row r="101" ht="44" customHeight="1">
      <x:c r="A101" s="65" t="n">
        <x:v>100</x:v>
      </x:c>
      <x:c r="B101" s="39" t="str">
        <x:v>房地产客服</x:v>
      </x:c>
      <x:c r="C101" s="42" t="n">
        <x:v>2</x:v>
      </x:c>
      <x:c r="D101" s="42" t="n">
        <x:f>C101-1</x:f>
        <x:v>1</x:v>
      </x:c>
      <x:c r="E101" s="42" t="n">
        <x:f>IF(F101="需拆分后合并",0,C101-1)</x:f>
        <x:v>1</x:v>
      </x:c>
      <x:c r="F101" s="39" t="str">
        <x:v>可直接合并</x:v>
      </x:c>
      <x:c r="G101" s="39" t="str">
        <x:v>房地产客服</x:v>
      </x:c>
      <x:c r="H101" s="39" t="str">
        <x:v>4-04-05-01</x:v>
      </x:c>
      <x:c r="I101" s="39" t="str">
        <x:v>计算机程序设计员</x:v>
      </x:c>
      <x:c r="J101" s="39" t="str">
        <x:v>销售/客服 &gt; 客服 &gt; 房地产客服；建筑/房地产 &gt; 房地产销售与中介 &gt; 房地产客服</x:v>
      </x:c>
      <x:c r="K101" s="39" t="str">
        <x:v>IC-L3-412；IC-L3-633</x:v>
      </x:c>
      <x:c r="L101" s="39" t="str">
        <x:v>261；482</x:v>
      </x:c>
      <x:c r="M101" s="68" t="n">
        <x:v>0.119</x:v>
      </x:c>
      <x:c r="N101" s="68" t="n">
        <x:v>0.12</x:v>
      </x:c>
      <x:c r="O101" s="39" t="str">
        <x:v>岗位名称完全一致且职业分类一致；建议保留一个标准岗位，原记录转为来源/产业关联。</x:v>
      </x:c>
    </x:row>
    <x:row r="102" ht="44" customHeight="1">
      <x:c r="A102" s="65" t="n">
        <x:v>101</x:v>
      </x:c>
      <x:c r="B102" s="39" t="str">
        <x:v>房地产销售专员</x:v>
      </x:c>
      <x:c r="C102" s="42" t="n">
        <x:v>2</x:v>
      </x:c>
      <x:c r="D102" s="42" t="n">
        <x:f>C102-1</x:f>
        <x:v>1</x:v>
      </x:c>
      <x:c r="E102" s="42" t="n">
        <x:f>IF(F102="需拆分后合并",0,C102-1)</x:f>
        <x:v>1</x:v>
      </x:c>
      <x:c r="F102" s="39" t="str">
        <x:v>可直接合并</x:v>
      </x:c>
      <x:c r="G102" s="39" t="str">
        <x:v>房地产销售专员</x:v>
      </x:c>
      <x:c r="H102" s="39" t="str">
        <x:v>4-01-02-01</x:v>
      </x:c>
      <x:c r="I102" s="39" t="str">
        <x:v>营销员</x:v>
      </x:c>
      <x:c r="J102" s="39" t="str">
        <x:v>销售/客服 &gt; 房地产销售 &gt; 房地产销售专员；建筑/房地产 &gt; 房地产销售与中介 &gt; 房地产销售专员</x:v>
      </x:c>
      <x:c r="K102" s="39" t="str">
        <x:v>IC-L3-417；IC-L3-636</x:v>
      </x:c>
      <x:c r="L102" s="39" t="str">
        <x:v>266；485</x:v>
      </x:c>
      <x:c r="M102" s="68" t="n">
        <x:v>0.246</x:v>
      </x:c>
      <x:c r="N102" s="68" t="n">
        <x:v>0.161</x:v>
      </x:c>
      <x:c r="O102" s="39" t="str">
        <x:v>岗位名称完全一致且职业分类一致；建议保留一个标准岗位，原记录转为来源/产业关联。</x:v>
      </x:c>
    </x:row>
    <x:row r="103" ht="44" customHeight="1">
      <x:c r="A103" s="65" t="n">
        <x:v>102</x:v>
      </x:c>
      <x:c r="B103" s="39" t="str">
        <x:v>房地产中介/置业顾问</x:v>
      </x:c>
      <x:c r="C103" s="42" t="n">
        <x:v>2</x:v>
      </x:c>
      <x:c r="D103" s="42" t="n">
        <x:f>C103-1</x:f>
        <x:v>1</x:v>
      </x:c>
      <x:c r="E103" s="42" t="n">
        <x:f>IF(F103="需拆分后合并",0,C103-1)</x:f>
        <x:v>1</x:v>
      </x:c>
      <x:c r="F103" s="39" t="str">
        <x:v>可直接合并</x:v>
      </x:c>
      <x:c r="G103" s="39" t="str">
        <x:v>房地产中介/置业顾问</x:v>
      </x:c>
      <x:c r="H103" s="39" t="str">
        <x:v>4-01-02-01</x:v>
      </x:c>
      <x:c r="I103" s="39" t="str">
        <x:v>营销员</x:v>
      </x:c>
      <x:c r="J103" s="39" t="str">
        <x:v>销售/客服 &gt; 房地产销售 &gt; 房地产中介/置业顾问；建筑/房地产 &gt; 房地产销售与中介 &gt; 房地产中介/置业顾问</x:v>
      </x:c>
      <x:c r="K103" s="39" t="str">
        <x:v>IC-L3-415；IC-L3-632</x:v>
      </x:c>
      <x:c r="L103" s="39" t="str">
        <x:v>264；481</x:v>
      </x:c>
      <x:c r="M103" s="68" t="n">
        <x:v>0.158</x:v>
      </x:c>
      <x:c r="N103" s="68" t="n">
        <x:v>0.143</x:v>
      </x:c>
      <x:c r="O103" s="39" t="str">
        <x:v>岗位名称完全一致且职业分类一致；建议保留一个标准岗位，原记录转为来源/产业关联。</x:v>
      </x:c>
    </x:row>
    <x:row r="104" ht="44" customHeight="1">
      <x:c r="A104" s="65" t="n">
        <x:v>103</x:v>
      </x:c>
      <x:c r="B104" s="39" t="str">
        <x:v>封装工程师</x:v>
      </x:c>
      <x:c r="C104" s="42" t="n">
        <x:v>2</x:v>
      </x:c>
      <x:c r="D104" s="42" t="n">
        <x:f>C104-1</x:f>
        <x:v>1</x:v>
      </x:c>
      <x:c r="E104" s="42" t="n">
        <x:f>IF(F104="需拆分后合并",0,C104-1)</x:f>
        <x:v>1</x:v>
      </x:c>
      <x:c r="F104" s="39" t="str">
        <x:v>可直接合并</x:v>
      </x:c>
      <x:c r="G104" s="39" t="str">
        <x:v>封装工程师</x:v>
      </x:c>
      <x:c r="H104" s="39" t="str">
        <x:v>2-02-09-02</x:v>
      </x:c>
      <x:c r="I104" s="39" t="str">
        <x:v>电子元器件工程技术人员</x:v>
      </x:c>
      <x:c r="J104" s="39" t="str">
        <x:v>通信/电子 &gt; 半导体/芯片 &gt; 封装工程师；通信/电子 &gt; 硬件开发 &gt; 封装工程师</x:v>
      </x:c>
      <x:c r="K104" s="39" t="str">
        <x:v>IC-L3-1276；IC-L3-1351</x:v>
      </x:c>
      <x:c r="L104" s="39" t="str">
        <x:v>1125；1200</x:v>
      </x:c>
      <x:c r="M104" s="68" t="n">
        <x:v>0.1</x:v>
      </x:c>
      <x:c r="N104" s="68" t="n">
        <x:v>0.059</x:v>
      </x:c>
      <x:c r="O104" s="39" t="str">
        <x:v>岗位名称完全一致且职业分类一致；建议保留一个标准岗位，原记录转为来源/产业关联。</x:v>
      </x:c>
    </x:row>
    <x:row r="105" ht="44" customHeight="1">
      <x:c r="A105" s="65" t="n">
        <x:v>104</x:v>
      </x:c>
      <x:c r="B105" s="39" t="str">
        <x:v>服装/纺织/皮革跟单</x:v>
      </x:c>
      <x:c r="C105" s="42" t="n">
        <x:v>2</x:v>
      </x:c>
      <x:c r="D105" s="42" t="n">
        <x:f>C105-1</x:f>
        <x:v>1</x:v>
      </x:c>
      <x:c r="E105" s="42" t="n">
        <x:f>IF(F105="需拆分后合并",0,C105-1)</x:f>
        <x:v>1</x:v>
      </x:c>
      <x:c r="F105" s="39" t="str">
        <x:v>条件合并（先修分类）</x:v>
      </x:c>
      <x:c r="G105" s="39" t="str">
        <x:v>服装/纺织/皮革跟单</x:v>
      </x:c>
      <x:c r="H105" s="39" t="str">
        <x:v>6-23-01-01；4-01-02-01</x:v>
      </x:c>
      <x:c r="I105" s="39" t="str">
        <x:v>铁路机车制修工；营销员</x:v>
      </x:c>
      <x:c r="J105" s="39" t="str">
        <x:v>生产制造 &gt; 服装/纺织/皮革 &gt; 服装/纺织/皮革跟单；采购/贸易 &gt; 贸易 &gt; 服装/纺织/皮革跟单</x:v>
      </x:c>
      <x:c r="K105" s="39" t="str">
        <x:v>IC-L3-837；IC-L3-1388</x:v>
      </x:c>
      <x:c r="L105" s="39" t="str">
        <x:v>686；1237</x:v>
      </x:c>
      <x:c r="M105" s="68" t="n">
        <x:v>0.277</x:v>
      </x:c>
      <x:c r="N105" s="68" t="n">
        <x:v>0.123</x:v>
      </x:c>
      <x:c r="O105" s="39" t="str">
        <x:v>岗位名称完全一致，但职业分类存在冲突；优先核对并修正分类，再合并标准岗位，来源产业关系必须保留。</x:v>
      </x:c>
    </x:row>
    <x:row r="106" ht="44" customHeight="1">
      <x:c r="A106" s="65" t="n">
        <x:v>105</x:v>
      </x:c>
      <x:c r="B106" s="39" t="str">
        <x:v>服装/纺织/皮革工艺师</x:v>
      </x:c>
      <x:c r="C106" s="42" t="n">
        <x:v>2</x:v>
      </x:c>
      <x:c r="D106" s="42" t="n">
        <x:f>C106-1</x:f>
        <x:v>1</x:v>
      </x:c>
      <x:c r="E106" s="42" t="n">
        <x:f>IF(F106="需拆分后合并",0,C106-1)</x:f>
        <x:v>1</x:v>
      </x:c>
      <x:c r="F106" s="39" t="str">
        <x:v>条件合并（先修分类）</x:v>
      </x:c>
      <x:c r="G106" s="39" t="str">
        <x:v>服装/纺织/皮革工艺师</x:v>
      </x:c>
      <x:c r="H106" s="39" t="str">
        <x:v>6-23-01-01；2-09-06-01</x:v>
      </x:c>
      <x:c r="I106" s="39" t="str">
        <x:v>铁路机车制修工；视觉传达设计人员</x:v>
      </x:c>
      <x:c r="J106" s="39" t="str">
        <x:v>生产制造 &gt; 服装/纺织/皮革 &gt; 服装/纺织/皮革工艺师；设计 &gt; 服装设计 &gt; 服装/纺织/皮革工艺师</x:v>
      </x:c>
      <x:c r="K106" s="39" t="str">
        <x:v>IC-L3-836；IC-L3-1167</x:v>
      </x:c>
      <x:c r="L106" s="39" t="str">
        <x:v>685；1016</x:v>
      </x:c>
      <x:c r="M106" s="68" t="n">
        <x:v>0.221</x:v>
      </x:c>
      <x:c r="N106" s="68" t="n">
        <x:v>0.097</x:v>
      </x:c>
      <x:c r="O106" s="39" t="str">
        <x:v>岗位名称完全一致，但职业分类存在冲突；优先核对并修正分类，再合并标准岗位，来源产业关系必须保留。</x:v>
      </x:c>
    </x:row>
    <x:row r="107" ht="44" customHeight="1">
      <x:c r="A107" s="65" t="n">
        <x:v>106</x:v>
      </x:c>
      <x:c r="B107" s="39" t="str">
        <x:v>服装/纺织设计</x:v>
      </x:c>
      <x:c r="C107" s="42" t="n">
        <x:v>2</x:v>
      </x:c>
      <x:c r="D107" s="42" t="n">
        <x:f>C107-1</x:f>
        <x:v>1</x:v>
      </x:c>
      <x:c r="E107" s="42" t="n">
        <x:f>IF(F107="需拆分后合并",0,C107-1)</x:f>
        <x:v>1</x:v>
      </x:c>
      <x:c r="F107" s="39" t="str">
        <x:v>条件合并（先修分类）</x:v>
      </x:c>
      <x:c r="G107" s="39" t="str">
        <x:v>服装/纺织设计</x:v>
      </x:c>
      <x:c r="H107" s="39" t="str">
        <x:v>6-23-01-01；2-09-06-01</x:v>
      </x:c>
      <x:c r="I107" s="39" t="str">
        <x:v>铁路机车制修工；视觉传达设计人员</x:v>
      </x:c>
      <x:c r="J107" s="39" t="str">
        <x:v>生产制造 &gt; 服装/纺织/皮革 &gt; 服装/纺织设计；设计 &gt; 服装设计 &gt; 服装/纺织设计</x:v>
      </x:c>
      <x:c r="K107" s="39" t="str">
        <x:v>IC-L3-838；IC-L3-1168</x:v>
      </x:c>
      <x:c r="L107" s="39" t="str">
        <x:v>687；1017</x:v>
      </x:c>
      <x:c r="M107" s="68" t="n">
        <x:v>0.149</x:v>
      </x:c>
      <x:c r="N107" s="68" t="n">
        <x:v>0.13</x:v>
      </x:c>
      <x:c r="O107" s="39" t="str">
        <x:v>岗位名称完全一致，但职业分类存在冲突；优先核对并修正分类，再合并标准岗位，来源产业关系必须保留。</x:v>
      </x:c>
    </x:row>
    <x:row r="108" ht="44" customHeight="1">
      <x:c r="A108" s="65" t="n">
        <x:v>107</x:v>
      </x:c>
      <x:c r="B108" s="39" t="str">
        <x:v>服装纺织质检员</x:v>
      </x:c>
      <x:c r="C108" s="42" t="n">
        <x:v>2</x:v>
      </x:c>
      <x:c r="D108" s="42" t="n">
        <x:f>C108-1</x:f>
        <x:v>1</x:v>
      </x:c>
      <x:c r="E108" s="42" t="n">
        <x:f>IF(F108="需拆分后合并",0,C108-1)</x:f>
        <x:v>1</x:v>
      </x:c>
      <x:c r="F108" s="39" t="str">
        <x:v>条件合并（先修分类）</x:v>
      </x:c>
      <x:c r="G108" s="39" t="str">
        <x:v>服装纺织质检员</x:v>
      </x:c>
      <x:c r="H108" s="39" t="str">
        <x:v>6-23-01-01；2-02-29-03</x:v>
      </x:c>
      <x:c r="I108" s="39" t="str">
        <x:v>铁路机车制修工；质量管理工程技术人员</x:v>
      </x:c>
      <x:c r="J108" s="39" t="str">
        <x:v>生产制造 &gt; 服装/纺织/皮革 &gt; 服装纺织质检员；生产制造 &gt; 质量管理 &gt; 服装纺织质检员</x:v>
      </x:c>
      <x:c r="K108" s="39" t="str">
        <x:v>IC-L3-840；IC-L3-892</x:v>
      </x:c>
      <x:c r="L108" s="39" t="str">
        <x:v>689；741</x:v>
      </x:c>
      <x:c r="M108" s="68" t="n">
        <x:v>0.182</x:v>
      </x:c>
      <x:c r="N108" s="68" t="n">
        <x:v>0.153</x:v>
      </x:c>
      <x:c r="O108" s="39" t="str">
        <x:v>岗位名称完全一致，但职业分类存在冲突；优先核对并修正分类，再合并标准岗位，来源产业关系必须保留。</x:v>
      </x:c>
    </x:row>
    <x:row r="109" ht="44" customHeight="1">
      <x:c r="A109" s="65" t="n">
        <x:v>108</x:v>
      </x:c>
      <x:c r="B109" s="39" t="str">
        <x:v>妇产科医生</x:v>
      </x:c>
      <x:c r="C109" s="42" t="n">
        <x:v>2</x:v>
      </x:c>
      <x:c r="D109" s="42" t="n">
        <x:f>C109-1</x:f>
        <x:v>1</x:v>
      </x:c>
      <x:c r="E109" s="42" t="n">
        <x:f>IF(F109="需拆分后合并",0,C109-1)</x:f>
        <x:v>1</x:v>
      </x:c>
      <x:c r="F109" s="39" t="str">
        <x:v>可直接合并</x:v>
      </x:c>
      <x:c r="G109" s="39" t="str">
        <x:v>妇产科医生</x:v>
      </x:c>
      <x:c r="H109" s="39" t="str">
        <x:v>2-05-01-19</x:v>
      </x:c>
      <x:c r="I109" s="39" t="str">
        <x:v>全科医师</x:v>
      </x:c>
      <x:c r="J109" s="39" t="str">
        <x:v>医药/医疗 &gt; 医生/医技 &gt; 妇产科医生；医药/医疗 &gt; 护理/护士 &gt; 妇产科医生</x:v>
      </x:c>
      <x:c r="K109" s="39" t="str">
        <x:v>IC-L3-323；IC-L3-367</x:v>
      </x:c>
      <x:c r="L109" s="39" t="str">
        <x:v>172；216</x:v>
      </x:c>
      <x:c r="M109" s="68" t="n">
        <x:v>0.112</x:v>
      </x:c>
      <x:c r="N109" s="68" t="n">
        <x:v>0.028</x:v>
      </x:c>
      <x:c r="O109" s="39" t="str">
        <x:v>岗位名称完全一致且职业分类一致；建议保留一个标准岗位，原记录转为来源/产业关联。</x:v>
      </x:c>
    </x:row>
    <x:row r="110" ht="44" customHeight="1">
      <x:c r="A110" s="65" t="n">
        <x:v>109</x:v>
      </x:c>
      <x:c r="B110" s="39" t="str">
        <x:v>钢结构设计</x:v>
      </x:c>
      <x:c r="C110" s="42" t="n">
        <x:v>2</x:v>
      </x:c>
      <x:c r="D110" s="42" t="n">
        <x:f>C110-1</x:f>
        <x:v>1</x:v>
      </x:c>
      <x:c r="E110" s="42" t="n">
        <x:f>IF(F110="需拆分后合并",0,C110-1)</x:f>
        <x:v>1</x:v>
      </x:c>
      <x:c r="F110" s="39" t="str">
        <x:v>条件合并（先修分类）</x:v>
      </x:c>
      <x:c r="G110" s="39" t="str">
        <x:v>钢结构设计</x:v>
      </x:c>
      <x:c r="H110" s="39" t="str">
        <x:v>2-02-18-01；2-09-06-01</x:v>
      </x:c>
      <x:c r="I110" s="39" t="str">
        <x:v>建筑和市政设计工程技术人员；视觉传达设计人员</x:v>
      </x:c>
      <x:c r="J110" s="39" t="str">
        <x:v>建筑/房地产 &gt; 建筑规划与设计 &gt; 钢结构设计；设计 &gt; 建筑/室内设计 &gt; 钢结构设计</x:v>
      </x:c>
      <x:c r="K110" s="39" t="str">
        <x:v>IC-L3-623；IC-L3-1164</x:v>
      </x:c>
      <x:c r="L110" s="39" t="str">
        <x:v>472；1013</x:v>
      </x:c>
      <x:c r="M110" s="68" t="n">
        <x:v>0.178</x:v>
      </x:c>
      <x:c r="N110" s="68" t="n">
        <x:v>0.26</x:v>
      </x:c>
      <x:c r="O110" s="39" t="str">
        <x:v>岗位名称完全一致，但职业分类存在冲突；优先核对并修正分类，再合并标准岗位，来源产业关系必须保留。</x:v>
      </x:c>
    </x:row>
    <x:row r="111" ht="44" customHeight="1">
      <x:c r="A111" s="65" t="n">
        <x:v>110</x:v>
      </x:c>
      <x:c r="B111" s="39" t="str">
        <x:v>高级财务总监/财务总监</x:v>
      </x:c>
      <x:c r="C111" s="42" t="n">
        <x:v>2</x:v>
      </x:c>
      <x:c r="D111" s="42" t="n">
        <x:f>C111-1</x:f>
        <x:v>1</x:v>
      </x:c>
      <x:c r="E111" s="42" t="n">
        <x:f>IF(F111="需拆分后合并",0,C111-1)</x:f>
        <x:v>1</x:v>
      </x:c>
      <x:c r="F111" s="39" t="str">
        <x:v>可直接合并</x:v>
      </x:c>
      <x:c r="G111" s="39" t="str">
        <x:v>高级财务总监/财务总监</x:v>
      </x:c>
      <x:c r="H111" s="39" t="str">
        <x:v>2-06-03-00</x:v>
      </x:c>
      <x:c r="I111" s="39" t="str">
        <x:v>会计专业人员</x:v>
      </x:c>
      <x:c r="J111" s="39" t="str">
        <x:v>财务/税务/法务 &gt; 财务 &gt; 高级财务总监/财务总监；财务/税务/法务 &gt; 高级财务管理 &gt; 高级财务总监/财务总监</x:v>
      </x:c>
      <x:c r="K111" s="39" t="str">
        <x:v>IC-L3-1228；IC-L3-1230</x:v>
      </x:c>
      <x:c r="L111" s="39" t="str">
        <x:v>1077；1079</x:v>
      </x:c>
      <x:c r="M111" s="68" t="n">
        <x:v>0.151</x:v>
      </x:c>
      <x:c r="N111" s="68" t="n">
        <x:v>0.161</x:v>
      </x:c>
      <x:c r="O111" s="39" t="str">
        <x:v>岗位名称完全一致且职业分类一致；建议保留一个标准岗位，原记录转为来源/产业关联。</x:v>
      </x:c>
    </x:row>
    <x:row r="112" ht="44" customHeight="1">
      <x:c r="A112" s="65" t="n">
        <x:v>111</x:v>
      </x:c>
      <x:c r="B112" s="39" t="str">
        <x:v>高级硬件工程师</x:v>
      </x:c>
      <x:c r="C112" s="42" t="n">
        <x:v>2</x:v>
      </x:c>
      <x:c r="D112" s="42" t="n">
        <x:f>C112-1</x:f>
        <x:v>1</x:v>
      </x:c>
      <x:c r="E112" s="42" t="n">
        <x:f>IF(F112="需拆分后合并",0,C112-1)</x:f>
        <x:v>1</x:v>
      </x:c>
      <x:c r="F112" s="39" t="str">
        <x:v>可直接合并</x:v>
      </x:c>
      <x:c r="G112" s="39" t="str">
        <x:v>高级硬件工程师</x:v>
      </x:c>
      <x:c r="H112" s="39" t="str">
        <x:v>2-02-09-02</x:v>
      </x:c>
      <x:c r="I112" s="39" t="str">
        <x:v>电子元器件工程技术人员</x:v>
      </x:c>
      <x:c r="J112" s="39" t="str">
        <x:v>通信/电子 &gt; 电子/电器/仪器仪表 &gt; 高级硬件工程师；通信/电子 &gt; 硬件开发 &gt; 高级硬件工程师</x:v>
      </x:c>
      <x:c r="K112" s="39" t="str">
        <x:v>IC-L3-1328；IC-L3-1335</x:v>
      </x:c>
      <x:c r="L112" s="39" t="str">
        <x:v>1177；1184</x:v>
      </x:c>
      <x:c r="M112" s="68" t="n">
        <x:v>0.196</x:v>
      </x:c>
      <x:c r="N112" s="68" t="n">
        <x:v>0.256</x:v>
      </x:c>
      <x:c r="O112" s="39" t="str">
        <x:v>岗位名称完全一致且职业分类一致；建议保留一个标准岗位，原记录转为来源/产业关联。</x:v>
      </x:c>
    </x:row>
    <x:row r="113" ht="44" customHeight="1">
      <x:c r="A113" s="65" t="n">
        <x:v>112</x:v>
      </x:c>
      <x:c r="B113" s="39" t="str">
        <x:v>个人业务部门经理/主管</x:v>
      </x:c>
      <x:c r="C113" s="42" t="n">
        <x:v>2</x:v>
      </x:c>
      <x:c r="D113" s="42" t="n">
        <x:f>C113-1</x:f>
        <x:v>1</x:v>
      </x:c>
      <x:c r="E113" s="42" t="n">
        <x:f>IF(F113="需拆分后合并",0,C113-1)</x:f>
        <x:v>1</x:v>
      </x:c>
      <x:c r="F113" s="39" t="str">
        <x:v>条件合并（先修分类）</x:v>
      </x:c>
      <x:c r="G113" s="39" t="str">
        <x:v>个人业务部门经理/主管</x:v>
      </x:c>
      <x:c r="H113" s="39" t="str">
        <x:v>2-06-11-04；2-06-11-01</x:v>
      </x:c>
      <x:c r="I113" s="39" t="str">
        <x:v>金融产品销售专业人员；证券保荐承销专业人员</x:v>
      </x:c>
      <x:c r="J113" s="39" t="str">
        <x:v>销售/客服 &gt; 金融销售 &gt; 个人业务部门经理/主管；金融 &gt; 银行 &gt; 个人业务部门经理/主管</x:v>
      </x:c>
      <x:c r="K113" s="39" t="str">
        <x:v>IC-L3-409；IC-L3-1450</x:v>
      </x:c>
      <x:c r="L113" s="39" t="str">
        <x:v>258；1299</x:v>
      </x:c>
      <x:c r="M113" s="68" t="n">
        <x:v>0.098</x:v>
      </x:c>
      <x:c r="N113" s="68" t="n">
        <x:v>0.073</x:v>
      </x:c>
      <x:c r="O113" s="39" t="str">
        <x:v>岗位名称完全一致，但职业分类存在冲突；优先核对并修正分类，再合并标准岗位，来源产业关系必须保留。</x:v>
      </x:c>
    </x:row>
    <x:row r="114" ht="44" customHeight="1">
      <x:c r="A114" s="65" t="n">
        <x:v>113</x:v>
      </x:c>
      <x:c r="B114" s="39" t="str">
        <x:v>工长</x:v>
      </x:c>
      <x:c r="C114" s="42" t="n">
        <x:v>2</x:v>
      </x:c>
      <x:c r="D114" s="42" t="n">
        <x:f>C114-1</x:f>
        <x:v>1</x:v>
      </x:c>
      <x:c r="E114" s="42" t="n">
        <x:f>IF(F114="需拆分后合并",0,C114-1)</x:f>
        <x:v>1</x:v>
      </x:c>
      <x:c r="F114" s="39" t="str">
        <x:v>条件合并（先修分类）</x:v>
      </x:c>
      <x:c r="G114" s="39" t="str">
        <x:v>工长</x:v>
      </x:c>
      <x:c r="H114" s="39" t="str">
        <x:v>2-02-18-01；2-02-30-04</x:v>
      </x:c>
      <x:c r="I114" s="39" t="str">
        <x:v>建筑和市政设计工程技术人员；项目管理工程技术人员</x:v>
      </x:c>
      <x:c r="J114" s="39" t="str">
        <x:v>建筑/房地产 &gt; 建筑工程 &gt; 工长；项目经理/管理 &gt; 项目经理/管理 &gt; 工长</x:v>
      </x:c>
      <x:c r="K114" s="39" t="str">
        <x:v>IC-L3-585；IC-L3-1481</x:v>
      </x:c>
      <x:c r="L114" s="39" t="str">
        <x:v>434；1330</x:v>
      </x:c>
      <x:c r="M114" s="68" t="n">
        <x:v>0.071</x:v>
      </x:c>
      <x:c r="N114" s="68" t="n">
        <x:v>0.075</x:v>
      </x:c>
      <x:c r="O114" s="39" t="str">
        <x:v>岗位名称完全一致，但职业分类存在冲突；优先核对并修正分类，再合并标准岗位，来源产业关系必须保留。</x:v>
      </x:c>
    </x:row>
    <x:row r="115" ht="44" customHeight="1">
      <x:c r="A115" s="65" t="n">
        <x:v>114</x:v>
      </x:c>
      <x:c r="B115" s="39" t="str">
        <x:v>公共卫生/疾病控制</x:v>
      </x:c>
      <x:c r="C115" s="42" t="n">
        <x:v>2</x:v>
      </x:c>
      <x:c r="D115" s="42" t="n">
        <x:f>C115-1</x:f>
        <x:v>1</x:v>
      </x:c>
      <x:c r="E115" s="42" t="n">
        <x:f>IF(F115="需拆分后合并",0,C115-1)</x:f>
        <x:v>1</x:v>
      </x:c>
      <x:c r="F115" s="39" t="str">
        <x:v>条件合并（先修分类）</x:v>
      </x:c>
      <x:c r="G115" s="39" t="str">
        <x:v>公共卫生/疾病控制</x:v>
      </x:c>
      <x:c r="H115" s="39" t="str">
        <x:v>2-05-01-19；2-05-08-01</x:v>
      </x:c>
      <x:c r="I115" s="39" t="str">
        <x:v>全科医师；内科护士</x:v>
      </x:c>
      <x:c r="J115" s="39" t="str">
        <x:v>医药/医疗 &gt; 医生/医技 &gt; 公共卫生/疾病控制；医药/医疗 &gt; 护理/护士 &gt; 公共卫生/疾病控制</x:v>
      </x:c>
      <x:c r="K115" s="39" t="str">
        <x:v>IC-L3-318；IC-L3-375</x:v>
      </x:c>
      <x:c r="L115" s="39" t="str">
        <x:v>167；224</x:v>
      </x:c>
      <x:c r="M115" s="68" t="n">
        <x:v>0.101</x:v>
      </x:c>
      <x:c r="N115" s="68" t="n">
        <x:v>0.041</x:v>
      </x:c>
      <x:c r="O115" s="39" t="str">
        <x:v>岗位名称完全一致，但职业分类存在冲突；优先核对并修正分类，再合并标准岗位，来源产业关系必须保留。</x:v>
      </x:c>
    </x:row>
    <x:row r="116" ht="44" customHeight="1">
      <x:c r="A116" s="65" t="n">
        <x:v>115</x:v>
      </x:c>
      <x:c r="B116" s="39" t="str">
        <x:v>公关总监</x:v>
      </x:c>
      <x:c r="C116" s="42" t="n">
        <x:v>2</x:v>
      </x:c>
      <x:c r="D116" s="42" t="n">
        <x:f>C116-1</x:f>
        <x:v>1</x:v>
      </x:c>
      <x:c r="E116" s="42" t="n">
        <x:f>IF(F116="需拆分后合并",0,C116-1)</x:f>
        <x:v>1</x:v>
      </x:c>
      <x:c r="F116" s="39" t="str">
        <x:v>条件合并（先修分类）</x:v>
      </x:c>
      <x:c r="G116" s="39" t="str">
        <x:v>公关总监</x:v>
      </x:c>
      <x:c r="H116" s="39" t="str">
        <x:v>3-01-02-03；2-09-06-01</x:v>
      </x:c>
      <x:c r="I116" s="39" t="str">
        <x:v>公关员；视觉传达设计人员</x:v>
      </x:c>
      <x:c r="J116" s="39" t="str">
        <x:v>市场/公关 &gt; 公关/媒介 &gt; 公关总监；市场/公关 &gt; 广告 &gt; 公关总监</x:v>
      </x:c>
      <x:c r="K116" s="39" t="str">
        <x:v>IC-L3-525；IC-L3-570</x:v>
      </x:c>
      <x:c r="L116" s="39" t="str">
        <x:v>374；419</x:v>
      </x:c>
      <x:c r="M116" s="68" t="n">
        <x:v>0.062</x:v>
      </x:c>
      <x:c r="N116" s="68" t="n">
        <x:v>0.073</x:v>
      </x:c>
      <x:c r="O116" s="39" t="str">
        <x:v>岗位名称完全一致，但职业分类存在冲突；优先核对并修正分类，再合并标准岗位，来源产业关系必须保留。</x:v>
      </x:c>
    </x:row>
    <x:row r="117" ht="44" customHeight="1">
      <x:c r="A117" s="65" t="n">
        <x:v>116</x:v>
      </x:c>
      <x:c r="B117" s="39" t="str">
        <x:v>公司金融顾问</x:v>
      </x:c>
      <x:c r="C117" s="42" t="n">
        <x:v>2</x:v>
      </x:c>
      <x:c r="D117" s="42" t="n">
        <x:f>C117-1</x:f>
        <x:v>1</x:v>
      </x:c>
      <x:c r="E117" s="42" t="n">
        <x:f>IF(F117="需拆分后合并",0,C117-1)</x:f>
        <x:v>1</x:v>
      </x:c>
      <x:c r="F117" s="39" t="str">
        <x:v>可直接合并</x:v>
      </x:c>
      <x:c r="G117" s="39" t="str">
        <x:v>公司金融顾问</x:v>
      </x:c>
      <x:c r="H117" s="39" t="str">
        <x:v>2-06-11-04</x:v>
      </x:c>
      <x:c r="I117" s="39" t="str">
        <x:v>金融产品销售专业人员</x:v>
      </x:c>
      <x:c r="J117" s="39" t="str">
        <x:v>金融 &gt; 金融 &gt; 公司金融顾问；金融 &gt; 银行 &gt; 公司金融顾问</x:v>
      </x:c>
      <x:c r="K117" s="39" t="str">
        <x:v>IC-L3-1441；IC-L3-1454</x:v>
      </x:c>
      <x:c r="L117" s="39" t="str">
        <x:v>1290；1303</x:v>
      </x:c>
      <x:c r="M117" s="68" t="n">
        <x:v>0.199</x:v>
      </x:c>
      <x:c r="N117" s="68" t="n">
        <x:v>0.073</x:v>
      </x:c>
      <x:c r="O117" s="39" t="str">
        <x:v>岗位名称完全一致且职业分类一致；建议保留一个标准岗位，原记录转为来源/产业关联。</x:v>
      </x:c>
    </x:row>
    <x:row r="118" ht="44" customHeight="1">
      <x:c r="A118" s="65" t="n">
        <x:v>117</x:v>
      </x:c>
      <x:c r="B118" s="39" t="str">
        <x:v>公司业务部门经理/主管</x:v>
      </x:c>
      <x:c r="C118" s="42" t="n">
        <x:v>2</x:v>
      </x:c>
      <x:c r="D118" s="42" t="n">
        <x:f>C118-1</x:f>
        <x:v>1</x:v>
      </x:c>
      <x:c r="E118" s="42" t="n">
        <x:f>IF(F118="需拆分后合并",0,C118-1)</x:f>
        <x:v>1</x:v>
      </x:c>
      <x:c r="F118" s="39" t="str">
        <x:v>条件合并（先修分类）</x:v>
      </x:c>
      <x:c r="G118" s="39" t="str">
        <x:v>公司业务部门经理/主管</x:v>
      </x:c>
      <x:c r="H118" s="39" t="str">
        <x:v>2-06-11-04；2-06-11-01</x:v>
      </x:c>
      <x:c r="I118" s="39" t="str">
        <x:v>金融产品销售专业人员；证券保荐承销专业人员</x:v>
      </x:c>
      <x:c r="J118" s="39" t="str">
        <x:v>销售/客服 &gt; 金融销售 &gt; 公司业务部门经理/主管；金融 &gt; 银行 &gt; 公司业务部门经理/主管</x:v>
      </x:c>
      <x:c r="K118" s="39" t="str">
        <x:v>IC-L3-408；IC-L3-1453</x:v>
      </x:c>
      <x:c r="L118" s="39" t="str">
        <x:v>257；1302</x:v>
      </x:c>
      <x:c r="M118" s="68" t="n">
        <x:v>0.125</x:v>
      </x:c>
      <x:c r="N118" s="68" t="n">
        <x:v>0.051</x:v>
      </x:c>
      <x:c r="O118" s="39" t="str">
        <x:v>岗位名称完全一致，但职业分类存在冲突；优先核对并修正分类，再合并标准岗位，来源产业关系必须保留。</x:v>
      </x:c>
    </x:row>
    <x:row r="119" ht="44" customHeight="1">
      <x:c r="A119" s="65" t="n">
        <x:v>118</x:v>
      </x:c>
      <x:c r="B119" s="39" t="str">
        <x:v>股票/期货操盘手</x:v>
      </x:c>
      <x:c r="C119" s="42" t="n">
        <x:v>2</x:v>
      </x:c>
      <x:c r="D119" s="42" t="n">
        <x:f>C119-1</x:f>
        <x:v>1</x:v>
      </x:c>
      <x:c r="E119" s="42" t="n">
        <x:f>IF(F119="需拆分后合并",0,C119-1)</x:f>
        <x:v>1</x:v>
      </x:c>
      <x:c r="F119" s="39" t="str">
        <x:v>可直接合并</x:v>
      </x:c>
      <x:c r="G119" s="39" t="str">
        <x:v>股票/期货操盘手</x:v>
      </x:c>
      <x:c r="H119" s="39" t="str">
        <x:v>2-06-11-02</x:v>
      </x:c>
      <x:c r="I119" s="39" t="str">
        <x:v>证券交易专业人员</x:v>
      </x:c>
      <x:c r="J119" s="39" t="str">
        <x:v>金融 &gt; 期货 &gt; 股票/期货操盘手；金融 &gt; 证券 &gt; 股票/期货操盘手</x:v>
      </x:c>
      <x:c r="K119" s="39" t="str">
        <x:v>IC-L3-1425；IC-L3-1430</x:v>
      </x:c>
      <x:c r="L119" s="39" t="str">
        <x:v>1274；1279</x:v>
      </x:c>
      <x:c r="M119" s="68" t="n">
        <x:v>0.228</x:v>
      </x:c>
      <x:c r="N119" s="68" t="n">
        <x:v>0.211</x:v>
      </x:c>
      <x:c r="O119" s="39" t="str">
        <x:v>岗位名称完全一致且职业分类一致；建议保留一个标准岗位，原记录转为来源/产业关联。</x:v>
      </x:c>
    </x:row>
    <x:row r="120" ht="44" customHeight="1">
      <x:c r="A120" s="65" t="n">
        <x:v>119</x:v>
      </x:c>
      <x:c r="B120" s="39" t="str">
        <x:v>广告创意/设计主管</x:v>
      </x:c>
      <x:c r="C120" s="42" t="n">
        <x:v>2</x:v>
      </x:c>
      <x:c r="D120" s="42" t="n">
        <x:f>C120-1</x:f>
        <x:v>1</x:v>
      </x:c>
      <x:c r="E120" s="42" t="n">
        <x:f>IF(F120="需拆分后合并",0,C120-1)</x:f>
        <x:v>1</x:v>
      </x:c>
      <x:c r="F120" s="39" t="str">
        <x:v>可直接合并</x:v>
      </x:c>
      <x:c r="G120" s="39" t="str">
        <x:v>广告创意/设计主管</x:v>
      </x:c>
      <x:c r="H120" s="39" t="str">
        <x:v>2-09-06-01</x:v>
      </x:c>
      <x:c r="I120" s="39" t="str">
        <x:v>视觉传达设计人员</x:v>
      </x:c>
      <x:c r="J120" s="39" t="str">
        <x:v>市场/公关 &gt; 广告 &gt; 广告创意/设计主管；设计 &gt; 广告设计 &gt; 广告创意/设计主管</x:v>
      </x:c>
      <x:c r="K120" s="39" t="str">
        <x:v>IC-L3-557；IC-L3-1141</x:v>
      </x:c>
      <x:c r="L120" s="39" t="str">
        <x:v>406；990</x:v>
      </x:c>
      <x:c r="M120" s="68" t="n">
        <x:v>0.154</x:v>
      </x:c>
      <x:c r="N120" s="68" t="n">
        <x:v>0.164</x:v>
      </x:c>
      <x:c r="O120" s="39" t="str">
        <x:v>岗位名称完全一致且职业分类一致；建议保留一个标准岗位，原记录转为来源/产业关联。</x:v>
      </x:c>
    </x:row>
    <x:row r="121" ht="44" customHeight="1">
      <x:c r="A121" s="65" t="n">
        <x:v>120</x:v>
      </x:c>
      <x:c r="B121" s="39" t="str">
        <x:v>广告创意/设计专员</x:v>
      </x:c>
      <x:c r="C121" s="42" t="n">
        <x:v>2</x:v>
      </x:c>
      <x:c r="D121" s="42" t="n">
        <x:f>C121-1</x:f>
        <x:v>1</x:v>
      </x:c>
      <x:c r="E121" s="42" t="n">
        <x:f>IF(F121="需拆分后合并",0,C121-1)</x:f>
        <x:v>1</x:v>
      </x:c>
      <x:c r="F121" s="39" t="str">
        <x:v>可直接合并</x:v>
      </x:c>
      <x:c r="G121" s="39" t="str">
        <x:v>广告创意/设计专员</x:v>
      </x:c>
      <x:c r="H121" s="39" t="str">
        <x:v>2-09-06-01</x:v>
      </x:c>
      <x:c r="I121" s="39" t="str">
        <x:v>视觉传达设计人员</x:v>
      </x:c>
      <x:c r="J121" s="39" t="str">
        <x:v>市场/公关 &gt; 广告 &gt; 广告创意/设计专员；设计 &gt; 广告设计 &gt; 广告创意/设计专员</x:v>
      </x:c>
      <x:c r="K121" s="39" t="str">
        <x:v>IC-L3-556；IC-L3-1140</x:v>
      </x:c>
      <x:c r="L121" s="39" t="str">
        <x:v>405；989</x:v>
      </x:c>
      <x:c r="M121" s="68" t="n">
        <x:v>0.218</x:v>
      </x:c>
      <x:c r="N121" s="68" t="n">
        <x:v>0.132</x:v>
      </x:c>
      <x:c r="O121" s="39" t="str">
        <x:v>岗位名称完全一致且职业分类一致；建议保留一个标准岗位，原记录转为来源/产业关联。</x:v>
      </x:c>
    </x:row>
    <x:row r="122" ht="44" customHeight="1">
      <x:c r="A122" s="65" t="n">
        <x:v>121</x:v>
      </x:c>
      <x:c r="B122" s="39" t="str">
        <x:v>广告创意总监</x:v>
      </x:c>
      <x:c r="C122" s="42" t="n">
        <x:v>2</x:v>
      </x:c>
      <x:c r="D122" s="42" t="n">
        <x:f>C122-1</x:f>
        <x:v>1</x:v>
      </x:c>
      <x:c r="E122" s="42" t="n">
        <x:f>IF(F122="需拆分后合并",0,C122-1)</x:f>
        <x:v>1</x:v>
      </x:c>
      <x:c r="F122" s="39" t="str">
        <x:v>条件合并（先修分类）</x:v>
      </x:c>
      <x:c r="G122" s="39" t="str">
        <x:v>广告创意总监</x:v>
      </x:c>
      <x:c r="H122" s="39" t="str">
        <x:v>2-09-06-01；2-06-07-01</x:v>
      </x:c>
      <x:c r="I122" s="39" t="str">
        <x:v>视觉传达设计人员；国际商务专业人员</x:v>
      </x:c>
      <x:c r="J122" s="39" t="str">
        <x:v>市场/公关 &gt; 广告 &gt; 广告创意总监；设计 &gt; 高级设计管理 &gt; 广告创意总监</x:v>
      </x:c>
      <x:c r="K122" s="39" t="str">
        <x:v>IC-L3-559；IC-L3-1188</x:v>
      </x:c>
      <x:c r="L122" s="39" t="str">
        <x:v>408；1037</x:v>
      </x:c>
      <x:c r="M122" s="68" t="n">
        <x:v>0.172</x:v>
      </x:c>
      <x:c r="N122" s="68" t="n">
        <x:v>0.143</x:v>
      </x:c>
      <x:c r="O122" s="39" t="str">
        <x:v>岗位名称完全一致，但职业分类存在冲突；优先核对并修正分类，再合并标准岗位，来源产业关系必须保留。</x:v>
      </x:c>
    </x:row>
    <x:row r="123" ht="44" customHeight="1">
      <x:c r="A123" s="65" t="n">
        <x:v>122</x:v>
      </x:c>
      <x:c r="B123" s="39" t="str">
        <x:v>规划与设计</x:v>
      </x:c>
      <x:c r="C123" s="42" t="n">
        <x:v>2</x:v>
      </x:c>
      <x:c r="D123" s="42" t="n">
        <x:f>C123-1</x:f>
        <x:v>1</x:v>
      </x:c>
      <x:c r="E123" s="42" t="n">
        <x:f>IF(F123="需拆分后合并",0,C123-1)</x:f>
        <x:v>1</x:v>
      </x:c>
      <x:c r="F123" s="39" t="str">
        <x:v>条件合并（先修分类）</x:v>
      </x:c>
      <x:c r="G123" s="39" t="str">
        <x:v>规划与设计</x:v>
      </x:c>
      <x:c r="H123" s="39" t="str">
        <x:v>2-02-18-01；2-09-06-01</x:v>
      </x:c>
      <x:c r="I123" s="39" t="str">
        <x:v>建筑和市政设计工程技术人员；视觉传达设计人员</x:v>
      </x:c>
      <x:c r="J123" s="39" t="str">
        <x:v>建筑/房地产 &gt; 建筑规划与设计 &gt; 规划与设计；设计 &gt; 建筑/室内设计 &gt; 规划与设计</x:v>
      </x:c>
      <x:c r="K123" s="39" t="str">
        <x:v>IC-L3-621；IC-L3-1162</x:v>
      </x:c>
      <x:c r="L123" s="39" t="str">
        <x:v>470；1011</x:v>
      </x:c>
      <x:c r="M123" s="68" t="n">
        <x:v>0.155</x:v>
      </x:c>
      <x:c r="N123" s="68" t="n">
        <x:v>0.156</x:v>
      </x:c>
      <x:c r="O123" s="39" t="str">
        <x:v>岗位名称完全一致，但职业分类存在冲突；优先核对并修正分类，再合并标准岗位，来源产业关系必须保留。</x:v>
      </x:c>
    </x:row>
    <x:row r="124" ht="44" customHeight="1">
      <x:c r="A124" s="65" t="n">
        <x:v>123</x:v>
      </x:c>
      <x:c r="B124" s="39" t="str">
        <x:v>过程质量工程师</x:v>
      </x:c>
      <x:c r="C124" s="42" t="n">
        <x:v>2</x:v>
      </x:c>
      <x:c r="D124" s="42" t="n">
        <x:f>C124-1</x:f>
        <x:v>1</x:v>
      </x:c>
      <x:c r="E124" s="42" t="n">
        <x:f>IF(F124="需拆分后合并",0,C124-1)</x:f>
        <x:v>1</x:v>
      </x:c>
      <x:c r="F124" s="39" t="str">
        <x:v>可直接合并</x:v>
      </x:c>
      <x:c r="G124" s="39" t="str">
        <x:v>过程质量工程师</x:v>
      </x:c>
      <x:c r="H124" s="39" t="str">
        <x:v>2-02-29-03</x:v>
      </x:c>
      <x:c r="I124" s="39" t="str">
        <x:v>质量管理工程技术人员</x:v>
      </x:c>
      <x:c r="J124" s="39" t="str">
        <x:v>汽车 &gt; 汽车制造 &gt; 过程质量工程师；生产制造 &gt; 质量管理 &gt; 过程质量工程师</x:v>
      </x:c>
      <x:c r="K124" s="39" t="str">
        <x:v>IC-L3-717；IC-L3-901</x:v>
      </x:c>
      <x:c r="L124" s="39" t="str">
        <x:v>566；750</x:v>
      </x:c>
      <x:c r="M124" s="68" t="n">
        <x:v>0.236</x:v>
      </x:c>
      <x:c r="N124" s="68" t="n">
        <x:v>0.168</x:v>
      </x:c>
      <x:c r="O124" s="39" t="str">
        <x:v>岗位名称完全一致且职业分类一致；建议保留一个标准岗位，原记录转为来源/产业关联。</x:v>
      </x:c>
    </x:row>
    <x:row r="125" ht="44" customHeight="1">
      <x:c r="A125" s="65" t="n">
        <x:v>124</x:v>
      </x:c>
      <x:c r="B125" s="39" t="str">
        <x:v>焊工</x:v>
      </x:c>
      <x:c r="C125" s="42" t="n">
        <x:v>2</x:v>
      </x:c>
      <x:c r="D125" s="42" t="n">
        <x:f>C125-1</x:f>
        <x:v>1</x:v>
      </x:c>
      <x:c r="E125" s="42" t="n">
        <x:f>IF(F125="需拆分后合并",0,C125-1)</x:f>
        <x:v>1</x:v>
      </x:c>
      <x:c r="F125" s="39" t="str">
        <x:v>可直接合并</x:v>
      </x:c>
      <x:c r="G125" s="39" t="str">
        <x:v>焊工</x:v>
      </x:c>
      <x:c r="H125" s="39" t="str">
        <x:v>6-31-01-01</x:v>
      </x:c>
      <x:c r="I125" s="39" t="str">
        <x:v>设备点检员</x:v>
      </x:c>
      <x:c r="J125" s="39" t="str">
        <x:v>生产制造 &gt; 技工 &gt; 焊工；生产制造 &gt; 机械加工 &gt; 焊工</x:v>
      </x:c>
      <x:c r="K125" s="39" t="str">
        <x:v>IC-L3-824；IC-L3-856</x:v>
      </x:c>
      <x:c r="L125" s="39" t="str">
        <x:v>673；705</x:v>
      </x:c>
      <x:c r="M125" s="68" t="n">
        <x:v>0.069</x:v>
      </x:c>
      <x:c r="N125" s="68" t="n">
        <x:v>0.064</x:v>
      </x:c>
      <x:c r="O125" s="39" t="str">
        <x:v>岗位名称完全一致且职业分类一致；建议保留一个标准岗位，原记录转为来源/产业关联。</x:v>
      </x:c>
    </x:row>
    <x:row r="126" ht="44" customHeight="1">
      <x:c r="A126" s="65" t="n">
        <x:v>125</x:v>
      </x:c>
      <x:c r="B126" s="39" t="str">
        <x:v>后期制作</x:v>
      </x:c>
      <x:c r="C126" s="42" t="n">
        <x:v>2</x:v>
      </x:c>
      <x:c r="D126" s="42" t="n">
        <x:f>C126-1</x:f>
        <x:v>1</x:v>
      </x:c>
      <x:c r="E126" s="42" t="n">
        <x:f>IF(F126="需拆分后合并",0,C126-1)</x:f>
        <x:v>1</x:v>
      </x:c>
      <x:c r="F126" s="39" t="str">
        <x:v>条件合并（先修分类）</x:v>
      </x:c>
      <x:c r="G126" s="39" t="str">
        <x:v>后期制作</x:v>
      </x:c>
      <x:c r="H126" s="39" t="str">
        <x:v>2-02-18-01；2-09-06-01</x:v>
      </x:c>
      <x:c r="I126" s="39" t="str">
        <x:v>建筑和市政设计工程技术人员；视觉传达设计人员</x:v>
      </x:c>
      <x:c r="J126" s="39" t="str">
        <x:v>建筑/房地产 &gt; 建筑工程 &gt; 后期制作；文化/传媒 &gt; 影视/媒体 &gt; 后期制作</x:v>
      </x:c>
      <x:c r="K126" s="39" t="str">
        <x:v>IC-L3-604；IC-L3-663</x:v>
      </x:c>
      <x:c r="L126" s="39" t="str">
        <x:v>453；512</x:v>
      </x:c>
      <x:c r="M126" s="68" t="n">
        <x:v>0.043</x:v>
      </x:c>
      <x:c r="N126" s="68" t="n">
        <x:v>0.022</x:v>
      </x:c>
      <x:c r="O126" s="39" t="str">
        <x:v>岗位名称完全一致，但职业分类存在冲突；优先核对并修正分类，再合并标准岗位，来源产业关系必须保留。</x:v>
      </x:c>
    </x:row>
    <x:row r="127" ht="44" customHeight="1">
      <x:c r="A127" s="65" t="n">
        <x:v>126</x:v>
      </x:c>
      <x:c r="B127" s="39" t="str">
        <x:v>互联网设计经理/主管</x:v>
      </x:c>
      <x:c r="C127" s="42" t="n">
        <x:v>2</x:v>
      </x:c>
      <x:c r="D127" s="42" t="n">
        <x:f>C127-1</x:f>
        <x:v>1</x:v>
      </x:c>
      <x:c r="E127" s="42" t="n">
        <x:f>IF(F127="需拆分后合并",0,C127-1)</x:f>
        <x:v>1</x:v>
      </x:c>
      <x:c r="F127" s="39" t="str">
        <x:v>可直接合并</x:v>
      </x:c>
      <x:c r="G127" s="39" t="str">
        <x:v>互联网设计经理/主管</x:v>
      </x:c>
      <x:c r="H127" s="39" t="str">
        <x:v>2-02-10-03</x:v>
      </x:c>
      <x:c r="I127" s="39" t="str">
        <x:v>计算机软件工程技术人员</x:v>
      </x:c>
      <x:c r="J127" s="39" t="str">
        <x:v>设计 &gt; 互联网设计 &gt; 互联网设计经理/主管；设计 &gt; 高级设计管理 &gt; 互联网设计经理/主管</x:v>
      </x:c>
      <x:c r="K127" s="39" t="str">
        <x:v>IC-L3-1106；IC-L3-1182</x:v>
      </x:c>
      <x:c r="L127" s="39" t="str">
        <x:v>955；1031</x:v>
      </x:c>
      <x:c r="M127" s="68" t="n">
        <x:v>0.236</x:v>
      </x:c>
      <x:c r="N127" s="68" t="n">
        <x:v>0.235</x:v>
      </x:c>
      <x:c r="O127" s="39" t="str">
        <x:v>岗位名称完全一致且职业分类一致；建议保留一个标准岗位，原记录转为来源/产业关联。</x:v>
      </x:c>
    </x:row>
    <x:row r="128" ht="44" customHeight="1">
      <x:c r="A128" s="65" t="n">
        <x:v>127</x:v>
      </x:c>
      <x:c r="B128" s="39" t="str">
        <x:v>互联网设计总监</x:v>
      </x:c>
      <x:c r="C128" s="42" t="n">
        <x:v>2</x:v>
      </x:c>
      <x:c r="D128" s="42" t="n">
        <x:f>C128-1</x:f>
        <x:v>1</x:v>
      </x:c>
      <x:c r="E128" s="42" t="n">
        <x:f>IF(F128="需拆分后合并",0,C128-1)</x:f>
        <x:v>1</x:v>
      </x:c>
      <x:c r="F128" s="39" t="str">
        <x:v>可直接合并</x:v>
      </x:c>
      <x:c r="G128" s="39" t="str">
        <x:v>互联网设计总监</x:v>
      </x:c>
      <x:c r="H128" s="39" t="str">
        <x:v>2-02-10-03</x:v>
      </x:c>
      <x:c r="I128" s="39" t="str">
        <x:v>计算机软件工程技术人员</x:v>
      </x:c>
      <x:c r="J128" s="39" t="str">
        <x:v>设计 &gt; 互联网设计 &gt; 互联网设计总监；设计 &gt; 高级设计管理 &gt; 互联网设计总监</x:v>
      </x:c>
      <x:c r="K128" s="39" t="str">
        <x:v>IC-L3-1105；IC-L3-1181</x:v>
      </x:c>
      <x:c r="L128" s="39" t="str">
        <x:v>954；1030</x:v>
      </x:c>
      <x:c r="M128" s="68" t="n">
        <x:v>0.205</x:v>
      </x:c>
      <x:c r="N128" s="68" t="n">
        <x:v>0.191</x:v>
      </x:c>
      <x:c r="O128" s="39" t="str">
        <x:v>岗位名称完全一致且职业分类一致；建议保留一个标准岗位，原记录转为来源/产业关联。</x:v>
      </x:c>
    </x:row>
    <x:row r="129" ht="44" customHeight="1">
      <x:c r="A129" s="65" t="n">
        <x:v>128</x:v>
      </x:c>
      <x:c r="B129" s="39" t="str">
        <x:v>护工</x:v>
      </x:c>
      <x:c r="C129" s="42" t="n">
        <x:v>2</x:v>
      </x:c>
      <x:c r="D129" s="42" t="n">
        <x:f>C129-1</x:f>
        <x:v>1</x:v>
      </x:c>
      <x:c r="E129" s="42" t="n">
        <x:f>IF(F129="需拆分后合并",0,C129-1)</x:f>
        <x:v>1</x:v>
      </x:c>
      <x:c r="F129" s="39" t="str">
        <x:v>条件合并（先修分类）</x:v>
      </x:c>
      <x:c r="G129" s="39" t="str">
        <x:v>护工</x:v>
      </x:c>
      <x:c r="H129" s="39" t="str">
        <x:v>2-05-08-01；4-10-01-06</x:v>
      </x:c>
      <x:c r="I129" s="39" t="str">
        <x:v>内科护士；家政服务员</x:v>
      </x:c>
      <x:c r="J129" s="39" t="str">
        <x:v>医药/医疗 &gt; 护理/护士 &gt; 护工；生活服务/零售 &gt; 家政服务 &gt; 护工</x:v>
      </x:c>
      <x:c r="K129" s="39" t="str">
        <x:v>IC-L3-364；IC-L3-959</x:v>
      </x:c>
      <x:c r="L129" s="39" t="str">
        <x:v>213；808</x:v>
      </x:c>
      <x:c r="M129" s="68" t="n">
        <x:v>0.052</x:v>
      </x:c>
      <x:c r="N129" s="68" t="n">
        <x:v>0.042</x:v>
      </x:c>
      <x:c r="O129" s="39" t="str">
        <x:v>岗位名称完全一致，但职业分类存在冲突；优先核对并修正分类，再合并标准岗位，来源产业关系必须保留。</x:v>
      </x:c>
    </x:row>
    <x:row r="130" ht="44" customHeight="1">
      <x:c r="A130" s="65" t="n">
        <x:v>129</x:v>
      </x:c>
      <x:c r="B130" s="39" t="str">
        <x:v>化学分析测试员</x:v>
      </x:c>
      <x:c r="C130" s="42" t="n">
        <x:v>2</x:v>
      </x:c>
      <x:c r="D130" s="42" t="n">
        <x:f>C130-1</x:f>
        <x:v>1</x:v>
      </x:c>
      <x:c r="E130" s="42" t="n">
        <x:f>IF(F130="需拆分后合并",0,C130-1)</x:f>
        <x:v>1</x:v>
      </x:c>
      <x:c r="F130" s="39" t="str">
        <x:v>条件合并（先修分类）</x:v>
      </x:c>
      <x:c r="G130" s="39" t="str">
        <x:v>化学分析测试员</x:v>
      </x:c>
      <x:c r="H130" s="39" t="str">
        <x:v>2-05-07-01；2-02-29-03</x:v>
      </x:c>
      <x:c r="I130" s="39" t="str">
        <x:v>影像技师；质量管理工程技术人员</x:v>
      </x:c>
      <x:c r="J130" s="39" t="str">
        <x:v>医药/医疗 &gt; 生物制药 &gt; 化学分析测试员；生产制造 &gt; 质量管理 &gt; 化学分析测试员</x:v>
      </x:c>
      <x:c r="K130" s="39" t="str">
        <x:v>IC-L3-381；IC-L3-887</x:v>
      </x:c>
      <x:c r="L130" s="39" t="str">
        <x:v>230；736</x:v>
      </x:c>
      <x:c r="M130" s="68" t="n">
        <x:v>0.254</x:v>
      </x:c>
      <x:c r="N130" s="68" t="n">
        <x:v>0.106</x:v>
      </x:c>
      <x:c r="O130" s="39" t="str">
        <x:v>岗位名称完全一致，但职业分类存在冲突；优先核对并修正分类，再合并标准岗位，来源产业关系必须保留。</x:v>
      </x:c>
    </x:row>
    <x:row r="131" ht="44" customHeight="1">
      <x:c r="A131" s="65" t="n">
        <x:v>130</x:v>
      </x:c>
      <x:c r="B131" s="39" t="str">
        <x:v>化验员</x:v>
      </x:c>
      <x:c r="C131" s="42" t="n">
        <x:v>2</x:v>
      </x:c>
      <x:c r="D131" s="42" t="n">
        <x:f>C131-1</x:f>
        <x:v>1</x:v>
      </x:c>
      <x:c r="E131" s="42" t="n">
        <x:f>IF(F131="需拆分后合并",0,C131-1)</x:f>
        <x:v>1</x:v>
      </x:c>
      <x:c r="F131" s="39" t="str">
        <x:v>条件合并（先修分类）</x:v>
      </x:c>
      <x:c r="G131" s="39" t="str">
        <x:v>化验员</x:v>
      </x:c>
      <x:c r="H131" s="39" t="str">
        <x:v>2-05-07-01；6-31-01-01</x:v>
      </x:c>
      <x:c r="I131" s="39" t="str">
        <x:v>影像技师；设备点检员</x:v>
      </x:c>
      <x:c r="J131" s="39" t="str">
        <x:v>医药/医疗 &gt; 临床试验 &gt; 化验员；生产制造 &gt; 生产/营运 &gt; 化验员</x:v>
      </x:c>
      <x:c r="K131" s="39" t="str">
        <x:v>IC-L3-312；IC-L3-861</x:v>
      </x:c>
      <x:c r="L131" s="39" t="str">
        <x:v>161；710</x:v>
      </x:c>
      <x:c r="M131" s="68" t="n">
        <x:v>0.07</x:v>
      </x:c>
      <x:c r="N131" s="68" t="n">
        <x:v>0.067</x:v>
      </x:c>
      <x:c r="O131" s="39" t="str">
        <x:v>岗位名称完全一致，但职业分类存在冲突；优先核对并修正分类，再合并标准岗位，来源产业关系必须保留。</x:v>
      </x:c>
    </x:row>
    <x:row r="132" ht="44" customHeight="1">
      <x:c r="A132" s="65" t="n">
        <x:v>131</x:v>
      </x:c>
      <x:c r="B132" s="39" t="str">
        <x:v>化妆品研发</x:v>
      </x:c>
      <x:c r="C132" s="42" t="n">
        <x:v>2</x:v>
      </x:c>
      <x:c r="D132" s="42" t="n">
        <x:f>C132-1</x:f>
        <x:v>1</x:v>
      </x:c>
      <x:c r="E132" s="42" t="n">
        <x:f>IF(F132="需拆分后合并",0,C132-1)</x:f>
        <x:v>1</x:v>
      </x:c>
      <x:c r="F132" s="39" t="str">
        <x:v>可直接合并</x:v>
      </x:c>
      <x:c r="G132" s="39" t="str">
        <x:v>化妆品研发</x:v>
      </x:c>
      <x:c r="H132" s="39" t="str">
        <x:v>6-11-10-03</x:v>
      </x:c>
      <x:c r="I132" s="39" t="str">
        <x:v>化妆品配方师</x:v>
      </x:c>
      <x:c r="J132" s="39" t="str">
        <x:v>医药/医疗 &gt; 生物制药 &gt; 化妆品研发；能源/环保/化工 &gt; 化工 &gt; 化妆品研发</x:v>
      </x:c>
      <x:c r="K132" s="39" t="str">
        <x:v>IC-L3-403；IC-L3-1070</x:v>
      </x:c>
      <x:c r="L132" s="39" t="str">
        <x:v>252；919</x:v>
      </x:c>
      <x:c r="M132" s="68" t="n">
        <x:v>0.086</x:v>
      </x:c>
      <x:c r="N132" s="68" t="n">
        <x:v>0.069</x:v>
      </x:c>
      <x:c r="O132" s="39" t="str">
        <x:v>岗位名称完全一致且职业分类一致；建议保留一个标准岗位，原记录转为来源/产业关联。</x:v>
      </x:c>
    </x:row>
    <x:row r="133" ht="44" customHeight="1">
      <x:c r="A133" s="65" t="n">
        <x:v>132</x:v>
      </x:c>
      <x:c r="B133" s="39" t="str">
        <x:v>活动策划</x:v>
      </x:c>
      <x:c r="C133" s="42" t="n">
        <x:v>2</x:v>
      </x:c>
      <x:c r="D133" s="42" t="n">
        <x:f>C133-1</x:f>
        <x:v>1</x:v>
      </x:c>
      <x:c r="E133" s="42" t="n">
        <x:f>IF(F133="需拆分后合并",0,C133-1)</x:f>
        <x:v>1</x:v>
      </x:c>
      <x:c r="F133" s="39" t="str">
        <x:v>可直接合并</x:v>
      </x:c>
      <x:c r="G133" s="39" t="str">
        <x:v>活动策划</x:v>
      </x:c>
      <x:c r="H133" s="39" t="str">
        <x:v>2-06-07-03</x:v>
      </x:c>
      <x:c r="I133" s="39" t="str">
        <x:v>商务策划专业人员</x:v>
      </x:c>
      <x:c r="J133" s="39" t="str">
        <x:v>市场/公关 &gt; 公关/媒介 &gt; 活动策划；市场/公关 &gt; 市场/营销 &gt; 活动策划</x:v>
      </x:c>
      <x:c r="K133" s="39" t="str">
        <x:v>IC-L3-532；IC-L3-550</x:v>
      </x:c>
      <x:c r="L133" s="39" t="str">
        <x:v>381；399</x:v>
      </x:c>
      <x:c r="M133" s="68" t="n">
        <x:v>0.067</x:v>
      </x:c>
      <x:c r="N133" s="68" t="n">
        <x:v>0.116</x:v>
      </x:c>
      <x:c r="O133" s="39" t="str">
        <x:v>岗位名称完全一致且职业分类一致；建议保留一个标准岗位，原记录转为来源/产业关联。</x:v>
      </x:c>
    </x:row>
    <x:row r="134" ht="44" customHeight="1">
      <x:c r="A134" s="65" t="n">
        <x:v>133</x:v>
      </x:c>
      <x:c r="B134" s="39" t="str">
        <x:v>货运代理</x:v>
      </x:c>
      <x:c r="C134" s="42" t="n">
        <x:v>2</x:v>
      </x:c>
      <x:c r="D134" s="42" t="n">
        <x:f>C134-1</x:f>
        <x:v>1</x:v>
      </x:c>
      <x:c r="E134" s="42" t="n">
        <x:f>IF(F134="需拆分后合并",0,C134-1)</x:f>
        <x:v>1</x:v>
      </x:c>
      <x:c r="F134" s="39" t="str">
        <x:v>条件合并（先修分类）</x:v>
      </x:c>
      <x:c r="G134" s="39" t="str">
        <x:v>货运代理</x:v>
      </x:c>
      <x:c r="H134" s="39" t="str">
        <x:v>4-02-06-01；4-02-06-03</x:v>
      </x:c>
      <x:c r="I134" s="39" t="str">
        <x:v>仓储管理员；物流服务师</x:v>
      </x:c>
      <x:c r="J134" s="39" t="str">
        <x:v>物流/供应链 &gt; 仓储 &gt; 货运代理；物流/供应链 &gt; 配送管理 &gt; 货运代理</x:v>
      </x:c>
      <x:c r="K134" s="39" t="str">
        <x:v>IC-L3-905；IC-L3-927</x:v>
      </x:c>
      <x:c r="L134" s="39" t="str">
        <x:v>754；776</x:v>
      </x:c>
      <x:c r="M134" s="68" t="n">
        <x:v>0.081</x:v>
      </x:c>
      <x:c r="N134" s="68" t="n">
        <x:v>0.039</x:v>
      </x:c>
      <x:c r="O134" s="39" t="str">
        <x:v>岗位名称完全一致，但职业分类存在冲突；优先核对并修正分类，再合并标准岗位，来源产业关系必须保留。</x:v>
      </x:c>
    </x:row>
    <x:row r="135" ht="44" customHeight="1">
      <x:c r="A135" s="65" t="n">
        <x:v>134</x:v>
      </x:c>
      <x:c r="B135" s="39" t="str">
        <x:v>货运司机</x:v>
      </x:c>
      <x:c r="C135" s="42" t="n">
        <x:v>2</x:v>
      </x:c>
      <x:c r="D135" s="42" t="n">
        <x:f>C135-1</x:f>
        <x:v>1</x:v>
      </x:c>
      <x:c r="E135" s="42" t="n">
        <x:f>IF(F135="需拆分后合并",0,C135-1)</x:f>
        <x:v>1</x:v>
      </x:c>
      <x:c r="F135" s="39" t="str">
        <x:v>可直接合并</x:v>
      </x:c>
      <x:c r="G135" s="39" t="str">
        <x:v>货运司机</x:v>
      </x:c>
      <x:c r="H135" s="39" t="str">
        <x:v>4-02-02-02</x:v>
      </x:c>
      <x:c r="I135" s="39" t="str">
        <x:v>道路货运汽车驾驶员</x:v>
      </x:c>
      <x:c r="J135" s="39" t="str">
        <x:v>物流/供应链 &gt; 物流/运输 &gt; 货运司机；生活服务/零售 &gt; 交通运输服务 &gt; 货运司机</x:v>
      </x:c>
      <x:c r="K135" s="39" t="str">
        <x:v>IC-L3-921；IC-L3-937</x:v>
      </x:c>
      <x:c r="L135" s="39" t="str">
        <x:v>770；786</x:v>
      </x:c>
      <x:c r="M135" s="68" t="n">
        <x:v>0.203</x:v>
      </x:c>
      <x:c r="N135" s="68" t="n">
        <x:v>0.184</x:v>
      </x:c>
      <x:c r="O135" s="39" t="str">
        <x:v>岗位名称完全一致且职业分类一致；建议保留一个标准岗位，原记录转为来源/产业关联。</x:v>
      </x:c>
    </x:row>
    <x:row r="136" ht="44" customHeight="1">
      <x:c r="A136" s="65" t="n">
        <x:v>135</x:v>
      </x:c>
      <x:c r="B136" s="39" t="str">
        <x:v>机场代表</x:v>
      </x:c>
      <x:c r="C136" s="42" t="n">
        <x:v>2</x:v>
      </x:c>
      <x:c r="D136" s="42" t="n">
        <x:f>C136-1</x:f>
        <x:v>1</x:v>
      </x:c>
      <x:c r="E136" s="42" t="n">
        <x:f>IF(F136="需拆分后合并",0,C136-1)</x:f>
        <x:v>1</x:v>
      </x:c>
      <x:c r="F136" s="39" t="str">
        <x:v>条件合并（先修分类）</x:v>
      </x:c>
      <x:c r="G136" s="39" t="str">
        <x:v>机场代表</x:v>
      </x:c>
      <x:c r="H136" s="39" t="str">
        <x:v>4-02-04-01；4-07-01-01</x:v>
      </x:c>
      <x:c r="I136" s="39" t="str">
        <x:v>民航乘务员；租赁业务员</x:v>
      </x:c>
      <x:c r="J136" s="39" t="str">
        <x:v>生活服务/零售 &gt; 交通运输服务 &gt; 机场代表；酒店/旅游 &gt; 旅游 &gt; 机场代表</x:v>
      </x:c>
      <x:c r="K136" s="39" t="str">
        <x:v>IC-L3-942；IC-L3-1369</x:v>
      </x:c>
      <x:c r="L136" s="39" t="str">
        <x:v>791；1218</x:v>
      </x:c>
      <x:c r="M136" s="68" t="n">
        <x:v>0.07</x:v>
      </x:c>
      <x:c r="N136" s="68" t="n">
        <x:v>0.037</x:v>
      </x:c>
      <x:c r="O136" s="39" t="str">
        <x:v>岗位名称完全一致，但职业分类存在冲突；优先核对并修正分类，再合并标准岗位，来源产业关系必须保留。</x:v>
      </x:c>
    </x:row>
    <x:row r="137" ht="44" customHeight="1">
      <x:c r="A137" s="65" t="n">
        <x:v>136</x:v>
      </x:c>
      <x:c r="B137" s="39" t="str">
        <x:v>机电工程师</x:v>
      </x:c>
      <x:c r="C137" s="42" t="n">
        <x:v>2</x:v>
      </x:c>
      <x:c r="D137" s="42" t="n">
        <x:f>C137-1</x:f>
        <x:v>1</x:v>
      </x:c>
      <x:c r="E137" s="42" t="n">
        <x:f>IF(F137="需拆分后合并",0,C137-1)</x:f>
        <x:v>1</x:v>
      </x:c>
      <x:c r="F137" s="39" t="str">
        <x:v>条件合并（先修分类）</x:v>
      </x:c>
      <x:c r="G137" s="39" t="str">
        <x:v>机电工程师</x:v>
      </x:c>
      <x:c r="H137" s="39" t="str">
        <x:v>6-29-01-01；2-02-07-01</x:v>
      </x:c>
      <x:c r="I137" s="39" t="str">
        <x:v>砌筑工；机械设计工程技术人员</x:v>
      </x:c>
      <x:c r="J137" s="39" t="str">
        <x:v>建筑/房地产 &gt; 建筑/装修工人 &gt; 机电工程师；生产制造 &gt; 工程/机械 &gt; 机电工程师</x:v>
      </x:c>
      <x:c r="K137" s="39" t="str">
        <x:v>IC-L3-578；IC-L3-794</x:v>
      </x:c>
      <x:c r="L137" s="39" t="str">
        <x:v>427；643</x:v>
      </x:c>
      <x:c r="M137" s="68" t="n">
        <x:v>0.059</x:v>
      </x:c>
      <x:c r="N137" s="68" t="n">
        <x:v>0.059</x:v>
      </x:c>
      <x:c r="O137" s="39" t="str">
        <x:v>岗位名称完全一致，但职业分类存在冲突；优先核对并修正分类，再合并标准岗位，来源产业关系必须保留。</x:v>
      </x:c>
    </x:row>
    <x:row r="138" ht="44" customHeight="1">
      <x:c r="A138" s="65" t="n">
        <x:v>137</x:v>
      </x:c>
      <x:c r="B138" s="39" t="str">
        <x:v>机构业务销售</x:v>
      </x:c>
      <x:c r="C138" s="42" t="n">
        <x:v>2</x:v>
      </x:c>
      <x:c r="D138" s="42" t="n">
        <x:f>C138-1</x:f>
        <x:v>1</x:v>
      </x:c>
      <x:c r="E138" s="42" t="n">
        <x:f>IF(F138="需拆分后合并",0,C138-1)</x:f>
        <x:v>1</x:v>
      </x:c>
      <x:c r="F138" s="39" t="str">
        <x:v>可直接合并</x:v>
      </x:c>
      <x:c r="G138" s="39" t="str">
        <x:v>机构业务销售</x:v>
      </x:c>
      <x:c r="H138" s="39" t="str">
        <x:v>4-01-02-01</x:v>
      </x:c>
      <x:c r="I138" s="39" t="str">
        <x:v>营销员</x:v>
      </x:c>
      <x:c r="J138" s="39" t="str">
        <x:v>销售/客服 &gt; 金融销售 &gt; 机构业务销售；金融 &gt; 金融 &gt; 机构业务销售</x:v>
      </x:c>
      <x:c r="K138" s="39" t="str">
        <x:v>IC-L3-405；IC-L3-1442</x:v>
      </x:c>
      <x:c r="L138" s="39" t="str">
        <x:v>254；1291</x:v>
      </x:c>
      <x:c r="M138" s="68" t="n">
        <x:v>0.293</x:v>
      </x:c>
      <x:c r="N138" s="68" t="n">
        <x:v>0.158</x:v>
      </x:c>
      <x:c r="O138" s="39" t="str">
        <x:v>岗位名称完全一致且职业分类一致；建议保留一个标准岗位，原记录转为来源/产业关联。</x:v>
      </x:c>
    </x:row>
    <x:row r="139" ht="44" customHeight="1">
      <x:c r="A139" s="65" t="n">
        <x:v>138</x:v>
      </x:c>
      <x:c r="B139" s="39" t="str">
        <x:v>机器人调试工程师</x:v>
      </x:c>
      <x:c r="C139" s="42" t="n">
        <x:v>2</x:v>
      </x:c>
      <x:c r="D139" s="42" t="n">
        <x:f>C139-1</x:f>
        <x:v>1</x:v>
      </x:c>
      <x:c r="E139" s="42" t="n">
        <x:f>IF(F139="需拆分后合并",0,C139-1)</x:f>
        <x:v>1</x:v>
      </x:c>
      <x:c r="F139" s="39" t="str">
        <x:v>条件合并（先修分类）</x:v>
      </x:c>
      <x:c r="G139" s="39" t="str">
        <x:v>机器人调试工程师</x:v>
      </x:c>
      <x:c r="H139" s="39" t="str">
        <x:v>2-02-07-01；2-02-09-02</x:v>
      </x:c>
      <x:c r="I139" s="39" t="str">
        <x:v>机械设计工程技术人员；电子元器件工程技术人员</x:v>
      </x:c>
      <x:c r="J139" s="39" t="str">
        <x:v>生产制造 &gt; 工程/机械 &gt; 机器人调试工程师；通信/电子 &gt; 电子/电器/仪器仪表 &gt; 机器人调试工程师</x:v>
      </x:c>
      <x:c r="K139" s="39" t="str">
        <x:v>IC-L3-815；IC-L3-1309</x:v>
      </x:c>
      <x:c r="L139" s="39" t="str">
        <x:v>664；1158</x:v>
      </x:c>
      <x:c r="M139" s="68" t="n">
        <x:v>0.094</x:v>
      </x:c>
      <x:c r="N139" s="68" t="n">
        <x:v>0.059</x:v>
      </x:c>
      <x:c r="O139" s="39" t="str">
        <x:v>岗位名称完全一致，但职业分类存在冲突；优先核对并修正分类，再合并标准岗位，来源产业关系必须保留。</x:v>
      </x:c>
    </x:row>
    <x:row r="140" ht="44" customHeight="1">
      <x:c r="A140" s="65" t="n">
        <x:v>139</x:v>
      </x:c>
      <x:c r="B140" s="39" t="str">
        <x:v>机械设计</x:v>
      </x:c>
      <x:c r="C140" s="42" t="n">
        <x:v>2</x:v>
      </x:c>
      <x:c r="D140" s="42" t="n">
        <x:f>C140-1</x:f>
        <x:v>1</x:v>
      </x:c>
      <x:c r="E140" s="42" t="n">
        <x:f>IF(F140="需拆分后合并",0,C140-1)</x:f>
        <x:v>1</x:v>
      </x:c>
      <x:c r="F140" s="39" t="str">
        <x:v>可直接合并</x:v>
      </x:c>
      <x:c r="G140" s="39" t="str">
        <x:v>机械设计</x:v>
      </x:c>
      <x:c r="H140" s="39" t="str">
        <x:v>2-02-07-01</x:v>
      </x:c>
      <x:c r="I140" s="39" t="str">
        <x:v>机械设计工程技术人员</x:v>
      </x:c>
      <x:c r="J140" s="39" t="str">
        <x:v>生产制造 &gt; 工程/机械 &gt; 机械设计；设计 &gt; 工业设计 &gt; 机械设计</x:v>
      </x:c>
      <x:c r="K140" s="39" t="str">
        <x:v>IC-L3-792；IC-L3-1130</x:v>
      </x:c>
      <x:c r="L140" s="39" t="str">
        <x:v>641；979</x:v>
      </x:c>
      <x:c r="M140" s="68" t="n">
        <x:v>0.069</x:v>
      </x:c>
      <x:c r="N140" s="68" t="n">
        <x:v>0.07</x:v>
      </x:c>
      <x:c r="O140" s="39" t="str">
        <x:v>岗位名称完全一致且职业分类一致；建议保留一个标准岗位，原记录转为来源/产业关联。</x:v>
      </x:c>
    </x:row>
    <x:row r="141" ht="44" customHeight="1">
      <x:c r="A141" s="65" t="n">
        <x:v>140</x:v>
      </x:c>
      <x:c r="B141" s="39" t="str">
        <x:v>基金经理</x:v>
      </x:c>
      <x:c r="C141" s="42" t="n">
        <x:v>2</x:v>
      </x:c>
      <x:c r="D141" s="42" t="n">
        <x:f>C141-1</x:f>
        <x:v>1</x:v>
      </x:c>
      <x:c r="E141" s="42" t="n">
        <x:f>IF(F141="需拆分后合并",0,C141-1)</x:f>
        <x:v>1</x:v>
      </x:c>
      <x:c r="F141" s="39" t="str">
        <x:v>可直接合并</x:v>
      </x:c>
      <x:c r="G141" s="39" t="str">
        <x:v>基金经理</x:v>
      </x:c>
      <x:c r="H141" s="39" t="str">
        <x:v>2-06-11-02</x:v>
      </x:c>
      <x:c r="I141" s="39" t="str">
        <x:v>证券交易专业人员</x:v>
      </x:c>
      <x:c r="J141" s="39" t="str">
        <x:v>金融 &gt; 期货 &gt; 基金经理；金融 &gt; 证券 &gt; 基金经理</x:v>
      </x:c>
      <x:c r="K141" s="39" t="str">
        <x:v>IC-L3-1428；IC-L3-1429</x:v>
      </x:c>
      <x:c r="L141" s="39" t="str">
        <x:v>1277；1278</x:v>
      </x:c>
      <x:c r="M141" s="68" t="n">
        <x:v>0.085</x:v>
      </x:c>
      <x:c r="N141" s="68" t="n">
        <x:v>0.045</x:v>
      </x:c>
      <x:c r="O141" s="39" t="str">
        <x:v>岗位名称完全一致且职业分类一致；建议保留一个标准岗位，原记录转为来源/产业关联。</x:v>
      </x:c>
    </x:row>
    <x:row r="142" ht="44" customHeight="1">
      <x:c r="A142" s="65" t="n">
        <x:v>141</x:v>
      </x:c>
      <x:c r="B142" s="39" t="str">
        <x:v>家教</x:v>
      </x:c>
      <x:c r="C142" s="42" t="n">
        <x:v>2</x:v>
      </x:c>
      <x:c r="D142" s="42" t="n">
        <x:f>C142-1</x:f>
        <x:v>1</x:v>
      </x:c>
      <x:c r="E142" s="42" t="n">
        <x:f>IF(F142="需拆分后合并",0,C142-1)</x:f>
        <x:v>1</x:v>
      </x:c>
      <x:c r="F142" s="39" t="str">
        <x:v>可直接合并</x:v>
      </x:c>
      <x:c r="G142" s="39" t="str">
        <x:v>家教</x:v>
      </x:c>
      <x:c r="H142" s="39" t="str">
        <x:v>2-08-03-00</x:v>
      </x:c>
      <x:c r="I142" s="39" t="str">
        <x:v>幼儿园教师</x:v>
      </x:c>
      <x:c r="J142" s="39" t="str">
        <x:v>科研/教育/培训 &gt; 教师 &gt; 家教；科研/教育/培训 &gt; 特长教育/培训 &gt; 家教</x:v>
      </x:c>
      <x:c r="K142" s="39" t="str">
        <x:v>IC-L3-1028；IC-L3-1066</x:v>
      </x:c>
      <x:c r="L142" s="39" t="str">
        <x:v>877；915</x:v>
      </x:c>
      <x:c r="M142" s="68" t="n">
        <x:v>0.066</x:v>
      </x:c>
      <x:c r="N142" s="68" t="n">
        <x:v>0.053</x:v>
      </x:c>
      <x:c r="O142" s="39" t="str">
        <x:v>岗位名称完全一致且职业分类一致；建议保留一个标准岗位，原记录转为来源/产业关联。</x:v>
      </x:c>
    </x:row>
    <x:row r="143" ht="44" customHeight="1">
      <x:c r="A143" s="65" t="n">
        <x:v>142</x:v>
      </x:c>
      <x:c r="B143" s="39" t="str">
        <x:v>家具设计</x:v>
      </x:c>
      <x:c r="C143" s="42" t="n">
        <x:v>2</x:v>
      </x:c>
      <x:c r="D143" s="42" t="n">
        <x:f>C143-1</x:f>
        <x:v>1</x:v>
      </x:c>
      <x:c r="E143" s="42" t="n">
        <x:f>IF(F143="需拆分后合并",0,C143-1)</x:f>
        <x:v>1</x:v>
      </x:c>
      <x:c r="F143" s="39" t="str">
        <x:v>可直接合并</x:v>
      </x:c>
      <x:c r="G143" s="39" t="str">
        <x:v>家具设计</x:v>
      </x:c>
      <x:c r="H143" s="39" t="str">
        <x:v>2-09-06-01</x:v>
      </x:c>
      <x:c r="I143" s="39" t="str">
        <x:v>视觉传达设计人员</x:v>
      </x:c>
      <x:c r="J143" s="39" t="str">
        <x:v>设计 &gt; 工业设计 &gt; 家具设计；设计 &gt; 建筑/室内设计 &gt; 家具设计</x:v>
      </x:c>
      <x:c r="K143" s="39" t="str">
        <x:v>IC-L3-1121；IC-L3-1166</x:v>
      </x:c>
      <x:c r="L143" s="39" t="str">
        <x:v>970；1015</x:v>
      </x:c>
      <x:c r="M143" s="68" t="n">
        <x:v>0.057</x:v>
      </x:c>
      <x:c r="N143" s="68" t="n">
        <x:v>0.056</x:v>
      </x:c>
      <x:c r="O143" s="39" t="str">
        <x:v>岗位名称完全一致且职业分类一致；建议保留一个标准岗位，原记录转为来源/产业关联。</x:v>
      </x:c>
    </x:row>
    <x:row r="144" ht="44" customHeight="1">
      <x:c r="A144" s="65" t="n">
        <x:v>143</x:v>
      </x:c>
      <x:c r="B144" s="39" t="str">
        <x:v>建筑工程管理/项目经理</x:v>
      </x:c>
      <x:c r="C144" s="42" t="n">
        <x:v>2</x:v>
      </x:c>
      <x:c r="D144" s="42" t="n">
        <x:f>C144-1</x:f>
        <x:v>1</x:v>
      </x:c>
      <x:c r="E144" s="42" t="n">
        <x:f>IF(F144="需拆分后合并",0,C144-1)</x:f>
        <x:v>1</x:v>
      </x:c>
      <x:c r="F144" s="39" t="str">
        <x:v>条件合并（先修分类）</x:v>
      </x:c>
      <x:c r="G144" s="39" t="str">
        <x:v>建筑工程管理/项目经理</x:v>
      </x:c>
      <x:c r="H144" s="39" t="str">
        <x:v>2-02-18-01；2-02-30-04</x:v>
      </x:c>
      <x:c r="I144" s="39" t="str">
        <x:v>建筑和市政设计工程技术人员；项目管理工程技术人员</x:v>
      </x:c>
      <x:c r="J144" s="39" t="str">
        <x:v>建筑/房地产 &gt; 建筑工程 &gt; 建筑工程管理/项目经理；项目经理/管理 &gt; 项目经理/管理 &gt; 建筑工程管理/项目经理</x:v>
      </x:c>
      <x:c r="K144" s="39" t="str">
        <x:v>IC-L3-588；IC-L3-1472</x:v>
      </x:c>
      <x:c r="L144" s="39" t="str">
        <x:v>437；1321</x:v>
      </x:c>
      <x:c r="M144" s="68" t="n">
        <x:v>0.227</x:v>
      </x:c>
      <x:c r="N144" s="68" t="n">
        <x:v>0.137</x:v>
      </x:c>
      <x:c r="O144" s="39" t="str">
        <x:v>岗位名称完全一致，但职业分类存在冲突；优先核对并修正分类，再合并标准岗位，来源产业关系必须保留。</x:v>
      </x:c>
    </x:row>
    <x:row r="145" ht="44" customHeight="1">
      <x:c r="A145" s="65" t="n">
        <x:v>144</x:v>
      </x:c>
      <x:c r="B145" s="39" t="str">
        <x:v>建筑机电设计</x:v>
      </x:c>
      <x:c r="C145" s="42" t="n">
        <x:v>2</x:v>
      </x:c>
      <x:c r="D145" s="42" t="n">
        <x:f>C145-1</x:f>
        <x:v>1</x:v>
      </x:c>
      <x:c r="E145" s="42" t="n">
        <x:f>IF(F145="需拆分后合并",0,C145-1)</x:f>
        <x:v>1</x:v>
      </x:c>
      <x:c r="F145" s="39" t="str">
        <x:v>条件合并（先修分类）</x:v>
      </x:c>
      <x:c r="G145" s="39" t="str">
        <x:v>建筑机电设计</x:v>
      </x:c>
      <x:c r="H145" s="39" t="str">
        <x:v>2-02-18-01；2-09-06-01</x:v>
      </x:c>
      <x:c r="I145" s="39" t="str">
        <x:v>建筑和市政设计工程技术人员；视觉传达设计人员</x:v>
      </x:c>
      <x:c r="J145" s="39" t="str">
        <x:v>建筑/房地产 &gt; 建筑规划与设计 &gt; 建筑机电设计；设计 &gt; 建筑/室内设计 &gt; 建筑机电设计</x:v>
      </x:c>
      <x:c r="K145" s="39" t="str">
        <x:v>IC-L3-616；IC-L3-1156</x:v>
      </x:c>
      <x:c r="L145" s="39" t="str">
        <x:v>465；1005</x:v>
      </x:c>
      <x:c r="M145" s="68" t="n">
        <x:v>0.211</x:v>
      </x:c>
      <x:c r="N145" s="68" t="n">
        <x:v>0.204</x:v>
      </x:c>
      <x:c r="O145" s="39" t="str">
        <x:v>岗位名称完全一致，但职业分类存在冲突；优先核对并修正分类，再合并标准岗位，来源产业关系必须保留。</x:v>
      </x:c>
    </x:row>
    <x:row r="146" ht="44" customHeight="1">
      <x:c r="A146" s="65" t="n">
        <x:v>145</x:v>
      </x:c>
      <x:c r="B146" s="39" t="str">
        <x:v>建筑结构设计</x:v>
      </x:c>
      <x:c r="C146" s="42" t="n">
        <x:v>2</x:v>
      </x:c>
      <x:c r="D146" s="42" t="n">
        <x:f>C146-1</x:f>
        <x:v>1</x:v>
      </x:c>
      <x:c r="E146" s="42" t="n">
        <x:f>IF(F146="需拆分后合并",0,C146-1)</x:f>
        <x:v>1</x:v>
      </x:c>
      <x:c r="F146" s="39" t="str">
        <x:v>条件合并（先修分类）</x:v>
      </x:c>
      <x:c r="G146" s="39" t="str">
        <x:v>建筑结构设计</x:v>
      </x:c>
      <x:c r="H146" s="39" t="str">
        <x:v>2-02-18-01；2-09-06-01</x:v>
      </x:c>
      <x:c r="I146" s="39" t="str">
        <x:v>建筑和市政设计工程技术人员；视觉传达设计人员</x:v>
      </x:c>
      <x:c r="J146" s="39" t="str">
        <x:v>建筑/房地产 &gt; 建筑规划与设计 &gt; 建筑结构设计；设计 &gt; 建筑/室内设计 &gt; 建筑结构设计</x:v>
      </x:c>
      <x:c r="K146" s="39" t="str">
        <x:v>IC-L3-617；IC-L3-1157</x:v>
      </x:c>
      <x:c r="L146" s="39" t="str">
        <x:v>466；1006</x:v>
      </x:c>
      <x:c r="M146" s="68" t="n">
        <x:v>0.246</x:v>
      </x:c>
      <x:c r="N146" s="68" t="n">
        <x:v>0.175</x:v>
      </x:c>
      <x:c r="O146" s="39" t="str">
        <x:v>岗位名称完全一致，但职业分类存在冲突；优先核对并修正分类，再合并标准岗位，来源产业关系必须保留。</x:v>
      </x:c>
    </x:row>
    <x:row r="147" ht="44" customHeight="1">
      <x:c r="A147" s="65" t="n">
        <x:v>146</x:v>
      </x:c>
      <x:c r="B147" s="39" t="str">
        <x:v>建筑设计师</x:v>
      </x:c>
      <x:c r="C147" s="42" t="n">
        <x:v>2</x:v>
      </x:c>
      <x:c r="D147" s="42" t="n">
        <x:f>C147-1</x:f>
        <x:v>1</x:v>
      </x:c>
      <x:c r="E147" s="42" t="n">
        <x:f>IF(F147="需拆分后合并",0,C147-1)</x:f>
        <x:v>1</x:v>
      </x:c>
      <x:c r="F147" s="39" t="str">
        <x:v>条件合并（先修分类）</x:v>
      </x:c>
      <x:c r="G147" s="39" t="str">
        <x:v>建筑设计师</x:v>
      </x:c>
      <x:c r="H147" s="39" t="str">
        <x:v>2-02-18-01；2-09-06-01</x:v>
      </x:c>
      <x:c r="I147" s="39" t="str">
        <x:v>建筑和市政设计工程技术人员；视觉传达设计人员</x:v>
      </x:c>
      <x:c r="J147" s="39" t="str">
        <x:v>建筑/房地产 &gt; 建筑规划与设计 &gt; 建筑设计师；设计 &gt; 建筑/室内设计 &gt; 建筑设计师</x:v>
      </x:c>
      <x:c r="K147" s="39" t="str">
        <x:v>IC-L3-618；IC-L3-1158</x:v>
      </x:c>
      <x:c r="L147" s="39" t="str">
        <x:v>467；1007</x:v>
      </x:c>
      <x:c r="M147" s="68" t="n">
        <x:v>0.191</x:v>
      </x:c>
      <x:c r="N147" s="68" t="n">
        <x:v>0.16</x:v>
      </x:c>
      <x:c r="O147" s="39" t="str">
        <x:v>岗位名称完全一致，但职业分类存在冲突；优先核对并修正分类，再合并标准岗位，来源产业关系必须保留。</x:v>
      </x:c>
    </x:row>
    <x:row r="148" ht="44" customHeight="1">
      <x:c r="A148" s="65" t="n">
        <x:v>147</x:v>
      </x:c>
      <x:c r="B148" s="39" t="str">
        <x:v>建筑制图/模型/渲染</x:v>
      </x:c>
      <x:c r="C148" s="42" t="n">
        <x:v>2</x:v>
      </x:c>
      <x:c r="D148" s="42" t="n">
        <x:f>C148-1</x:f>
        <x:v>1</x:v>
      </x:c>
      <x:c r="E148" s="42" t="n">
        <x:f>IF(F148="需拆分后合并",0,C148-1)</x:f>
        <x:v>1</x:v>
      </x:c>
      <x:c r="F148" s="39" t="str">
        <x:v>条件合并（先修分类）</x:v>
      </x:c>
      <x:c r="G148" s="39" t="str">
        <x:v>建筑制图/模型/渲染</x:v>
      </x:c>
      <x:c r="H148" s="39" t="str">
        <x:v>2-02-18-01；2-09-06-01</x:v>
      </x:c>
      <x:c r="I148" s="39" t="str">
        <x:v>建筑和市政设计工程技术人员；视觉传达设计人员</x:v>
      </x:c>
      <x:c r="J148" s="39" t="str">
        <x:v>建筑/房地产 &gt; 建筑规划与设计 &gt; 建筑制图/模型/渲染；设计 &gt; 建筑/室内设计 &gt; 建筑制图/模型/渲染</x:v>
      </x:c>
      <x:c r="K148" s="39" t="str">
        <x:v>IC-L3-615；IC-L3-1155</x:v>
      </x:c>
      <x:c r="L148" s="39" t="str">
        <x:v>464；1004</x:v>
      </x:c>
      <x:c r="M148" s="68" t="n">
        <x:v>0.219</x:v>
      </x:c>
      <x:c r="N148" s="68" t="n">
        <x:v>0.225</x:v>
      </x:c>
      <x:c r="O148" s="39" t="str">
        <x:v>岗位名称完全一致，但职业分类存在冲突；优先核对并修正分类，再合并标准岗位，来源产业关系必须保留。</x:v>
      </x:c>
    </x:row>
    <x:row r="149" ht="44" customHeight="1">
      <x:c r="A149" s="65" t="n">
        <x:v>148</x:v>
      </x:c>
      <x:c r="B149" s="39" t="str">
        <x:v>健康管理师</x:v>
      </x:c>
      <x:c r="C149" s="42" t="n">
        <x:v>2</x:v>
      </x:c>
      <x:c r="D149" s="42" t="n">
        <x:f>C149-1</x:f>
        <x:v>1</x:v>
      </x:c>
      <x:c r="E149" s="42" t="n">
        <x:f>IF(F149="需拆分后合并",0,C149-1)</x:f>
        <x:v>1</x:v>
      </x:c>
      <x:c r="F149" s="39" t="str">
        <x:v>条件合并（先修分类）</x:v>
      </x:c>
      <x:c r="G149" s="39" t="str">
        <x:v>健康管理师</x:v>
      </x:c>
      <x:c r="H149" s="39" t="str">
        <x:v>2-05-01-19；4-14-02-02</x:v>
      </x:c>
      <x:c r="I149" s="39" t="str">
        <x:v>全科医师；健康管理师</x:v>
      </x:c>
      <x:c r="J149" s="39" t="str">
        <x:v>医药/医疗 &gt; 医生/医技 &gt; 健康管理师；生活服务/零售 &gt; 保健理疗 &gt; 健康管理师</x:v>
      </x:c>
      <x:c r="K149" s="39" t="str">
        <x:v>IC-L3-316；IC-L3-946</x:v>
      </x:c>
      <x:c r="L149" s="39" t="str">
        <x:v>165；795</x:v>
      </x:c>
      <x:c r="M149" s="68" t="n">
        <x:v>0.102</x:v>
      </x:c>
      <x:c r="N149" s="68" t="n">
        <x:v>0.057</x:v>
      </x:c>
      <x:c r="O149" s="39" t="str">
        <x:v>岗位名称完全一致，但职业分类存在冲突；优先核对并修正分类，再合并标准岗位，来源产业关系必须保留。</x:v>
      </x:c>
    </x:row>
    <x:row r="150" ht="44" customHeight="1">
      <x:c r="A150" s="65" t="n">
        <x:v>149</x:v>
      </x:c>
      <x:c r="B150" s="39" t="str">
        <x:v>健身顾问</x:v>
      </x:c>
      <x:c r="C150" s="42" t="n">
        <x:v>2</x:v>
      </x:c>
      <x:c r="D150" s="42" t="n">
        <x:f>C150-1</x:f>
        <x:v>1</x:v>
      </x:c>
      <x:c r="E150" s="42" t="n">
        <x:f>IF(F150="需拆分后合并",0,C150-1)</x:f>
        <x:v>1</x:v>
      </x:c>
      <x:c r="F150" s="39" t="str">
        <x:v>条件合并（先修分类）</x:v>
      </x:c>
      <x:c r="G150" s="39" t="str">
        <x:v>健身顾问</x:v>
      </x:c>
      <x:c r="H150" s="39" t="str">
        <x:v>4-01-02-01；2-09-07-01</x:v>
      </x:c>
      <x:c r="I150" s="39" t="str">
        <x:v>营销员；教练员</x:v>
      </x:c>
      <x:c r="J150" s="39" t="str">
        <x:v>销售/客服 &gt; 服务业销售 &gt; 健身顾问；生活服务/零售 &gt; 运动健身 &gt; 健身顾问</x:v>
      </x:c>
      <x:c r="K150" s="39" t="str">
        <x:v>IC-L3-426；IC-L3-995</x:v>
      </x:c>
      <x:c r="L150" s="39" t="str">
        <x:v>275；844</x:v>
      </x:c>
      <x:c r="M150" s="68" t="n">
        <x:v>0.215</x:v>
      </x:c>
      <x:c r="N150" s="68" t="n">
        <x:v>0.166</x:v>
      </x:c>
      <x:c r="O150" s="39" t="str">
        <x:v>岗位名称完全一致，但职业分类存在冲突；优先核对并修正分类，再合并标准岗位，来源产业关系必须保留。</x:v>
      </x:c>
    </x:row>
    <x:row r="151" ht="44" customHeight="1">
      <x:c r="A151" s="65" t="n">
        <x:v>150</x:v>
      </x:c>
      <x:c r="B151" s="39" t="str">
        <x:v>交互设计师</x:v>
      </x:c>
      <x:c r="C151" s="42" t="n">
        <x:v>2</x:v>
      </x:c>
      <x:c r="D151" s="42" t="n">
        <x:f>C151-1</x:f>
        <x:v>1</x:v>
      </x:c>
      <x:c r="E151" s="42" t="n">
        <x:f>IF(F151="需拆分后合并",0,C151-1)</x:f>
        <x:v>1</x:v>
      </x:c>
      <x:c r="F151" s="39" t="str">
        <x:v>可直接合并</x:v>
      </x:c>
      <x:c r="G151" s="39" t="str">
        <x:v>交互设计师</x:v>
      </x:c>
      <x:c r="H151" s="39" t="str">
        <x:v>2-09-06-01</x:v>
      </x:c>
      <x:c r="I151" s="39" t="str">
        <x:v>视觉传达设计人员</x:v>
      </x:c>
      <x:c r="J151" s="39" t="str">
        <x:v>设计 &gt; 互联网设计 &gt; 交互设计师；设计 &gt; 平面设计 &gt; 交互设计师</x:v>
      </x:c>
      <x:c r="K151" s="39" t="str">
        <x:v>IC-L3-1107；IC-L3-1137</x:v>
      </x:c>
      <x:c r="L151" s="39" t="str">
        <x:v>956；986</x:v>
      </x:c>
      <x:c r="M151" s="68" t="n">
        <x:v>0.093</x:v>
      </x:c>
      <x:c r="N151" s="68" t="n">
        <x:v>0.047</x:v>
      </x:c>
      <x:c r="O151" s="39" t="str">
        <x:v>岗位名称完全一致且职业分类一致；建议保留一个标准岗位，原记录转为来源/产业关联。</x:v>
      </x:c>
    </x:row>
    <x:row r="152" ht="44" customHeight="1">
      <x:c r="A152" s="65" t="n">
        <x:v>151</x:v>
      </x:c>
      <x:c r="B152" s="39" t="str">
        <x:v>教研员</x:v>
      </x:c>
      <x:c r="C152" s="42" t="n">
        <x:v>2</x:v>
      </x:c>
      <x:c r="D152" s="42" t="n">
        <x:f>C152-1</x:f>
        <x:v>1</x:v>
      </x:c>
      <x:c r="E152" s="42" t="n">
        <x:f>IF(F152="需拆分后合并",0,C152-1)</x:f>
        <x:v>1</x:v>
      </x:c>
      <x:c r="F152" s="39" t="str">
        <x:v>可直接合并</x:v>
      </x:c>
      <x:c r="G152" s="39" t="str">
        <x:v>教研员</x:v>
      </x:c>
      <x:c r="H152" s="39" t="str">
        <x:v>2-08-01-01</x:v>
      </x:c>
      <x:c r="I152" s="39" t="str">
        <x:v>普通高等学校教师</x:v>
      </x:c>
      <x:c r="J152" s="39" t="str">
        <x:v>生活服务/零售 &gt; 服务员 &gt; 教研员；科研/教育/培训 &gt; 教育管理 &gt; 教研员</x:v>
      </x:c>
      <x:c r="K152" s="39" t="str">
        <x:v>IC-L3-976；IC-L3-1055</x:v>
      </x:c>
      <x:c r="L152" s="39" t="str">
        <x:v>825；904</x:v>
      </x:c>
      <x:c r="M152" s="68" t="n">
        <x:v>0.096</x:v>
      </x:c>
      <x:c r="N152" s="68" t="n">
        <x:v>0.043</x:v>
      </x:c>
      <x:c r="O152" s="39" t="str">
        <x:v>岗位名称完全一致且职业分类一致；建议保留一个标准岗位，原记录转为来源/产业关联。</x:v>
      </x:c>
    </x:row>
    <x:row r="153" ht="44" customHeight="1">
      <x:c r="A153" s="65" t="n">
        <x:v>152</x:v>
      </x:c>
      <x:c r="B153" s="39" t="str">
        <x:v>金融产品经理</x:v>
      </x:c>
      <x:c r="C153" s="42" t="n">
        <x:v>2</x:v>
      </x:c>
      <x:c r="D153" s="42" t="n">
        <x:f>C153-1</x:f>
        <x:v>1</x:v>
      </x:c>
      <x:c r="E153" s="42" t="n">
        <x:f>IF(F153="需拆分后合并",0,C153-1)</x:f>
        <x:v>1</x:v>
      </x:c>
      <x:c r="F153" s="39" t="str">
        <x:v>可直接合并</x:v>
      </x:c>
      <x:c r="G153" s="39" t="str">
        <x:v>金融产品经理</x:v>
      </x:c>
      <x:c r="H153" s="39" t="str">
        <x:v>2-06-11-04</x:v>
      </x:c>
      <x:c r="I153" s="39" t="str">
        <x:v>金融产品销售专业人员</x:v>
      </x:c>
      <x:c r="J153" s="39" t="str">
        <x:v>产品 &gt; 其他产品经理 &gt; 金融产品经理；金融 &gt; 金融 &gt; 金融产品经理</x:v>
      </x:c>
      <x:c r="K153" s="39" t="str">
        <x:v>IC-L3-263；IC-L3-1445</x:v>
      </x:c>
      <x:c r="L153" s="39" t="str">
        <x:v>112；1294</x:v>
      </x:c>
      <x:c r="M153" s="68" t="n">
        <x:v>0.183</x:v>
      </x:c>
      <x:c r="N153" s="68" t="n">
        <x:v>0.153</x:v>
      </x:c>
      <x:c r="O153" s="39" t="str">
        <x:v>岗位名称完全一致且职业分类一致；建议保留一个标准岗位，原记录转为来源/产业关联。</x:v>
      </x:c>
    </x:row>
    <x:row r="154" ht="44" customHeight="1">
      <x:c r="A154" s="65" t="n">
        <x:v>153</x:v>
      </x:c>
      <x:c r="B154" s="39" t="str">
        <x:v>金融产品销售</x:v>
      </x:c>
      <x:c r="C154" s="42" t="n">
        <x:v>2</x:v>
      </x:c>
      <x:c r="D154" s="42" t="n">
        <x:f>C154-1</x:f>
        <x:v>1</x:v>
      </x:c>
      <x:c r="E154" s="42" t="n">
        <x:f>IF(F154="需拆分后合并",0,C154-1)</x:f>
        <x:v>1</x:v>
      </x:c>
      <x:c r="F154" s="39" t="str">
        <x:v>可直接合并</x:v>
      </x:c>
      <x:c r="G154" s="39" t="str">
        <x:v>金融产品销售</x:v>
      </x:c>
      <x:c r="H154" s="39" t="str">
        <x:v>2-06-11-04</x:v>
      </x:c>
      <x:c r="I154" s="39" t="str">
        <x:v>金融产品销售专业人员</x:v>
      </x:c>
      <x:c r="J154" s="39" t="str">
        <x:v>销售/客服 &gt; 金融销售 &gt; 金融产品销售；金融 &gt; 金融 &gt; 金融产品销售</x:v>
      </x:c>
      <x:c r="K154" s="39" t="str">
        <x:v>IC-L3-407；IC-L3-1446</x:v>
      </x:c>
      <x:c r="L154" s="39" t="str">
        <x:v>256；1295</x:v>
      </x:c>
      <x:c r="M154" s="68" t="n">
        <x:v>0.168</x:v>
      </x:c>
      <x:c r="N154" s="68" t="n">
        <x:v>0.134</x:v>
      </x:c>
      <x:c r="O154" s="39" t="str">
        <x:v>岗位名称完全一致且职业分类一致；建议保留一个标准岗位，原记录转为来源/产业关联。</x:v>
      </x:c>
    </x:row>
    <x:row r="155" ht="44" customHeight="1">
      <x:c r="A155" s="65" t="n">
        <x:v>154</x:v>
      </x:c>
      <x:c r="B155" s="39" t="str">
        <x:v>酒体设计师</x:v>
      </x:c>
      <x:c r="C155" s="42" t="n">
        <x:v>2</x:v>
      </x:c>
      <x:c r="D155" s="42" t="n">
        <x:f>C155-1</x:f>
        <x:v>1</x:v>
      </x:c>
      <x:c r="E155" s="42" t="n">
        <x:f>IF(F155="需拆分后合并",0,C155-1)</x:f>
        <x:v>1</x:v>
      </x:c>
      <x:c r="F155" s="39" t="str">
        <x:v>条件合并（先修分类）</x:v>
      </x:c>
      <x:c r="G155" s="39" t="str">
        <x:v>酒体设计师</x:v>
      </x:c>
      <x:c r="H155" s="39" t="str">
        <x:v>2-02-07-11；2-02-06-03</x:v>
      </x:c>
      <x:c r="I155" s="39" t="str">
        <x:v>汽车工程技术人员；化工生产工程技术人员</x:v>
      </x:c>
      <x:c r="J155" s="39" t="str">
        <x:v>汽车 &gt; 汽车研发设计 &gt; 酒体设计师；能源/环保/化工 &gt; 化工 &gt; 酒体设计师</x:v>
      </x:c>
      <x:c r="K155" s="39" t="str">
        <x:v>IC-L3-747；IC-L3-1077</x:v>
      </x:c>
      <x:c r="L155" s="39" t="str">
        <x:v>596；926</x:v>
      </x:c>
      <x:c r="M155" s="68" t="n">
        <x:v>0.072</x:v>
      </x:c>
      <x:c r="N155" s="68" t="n">
        <x:v>0.02</x:v>
      </x:c>
      <x:c r="O155" s="39" t="str">
        <x:v>岗位名称完全一致，但职业分类存在冲突；优先核对并修正分类，再合并标准岗位，来源产业关系必须保留。</x:v>
      </x:c>
    </x:row>
    <x:row r="156" ht="44" customHeight="1">
      <x:c r="A156" s="65" t="n">
        <x:v>155</x:v>
      </x:c>
      <x:c r="B156" s="39" t="str">
        <x:v>咖啡师</x:v>
      </x:c>
      <x:c r="C156" s="42" t="n">
        <x:v>2</x:v>
      </x:c>
      <x:c r="D156" s="42" t="n">
        <x:f>C156-1</x:f>
        <x:v>1</x:v>
      </x:c>
      <x:c r="E156" s="42" t="n">
        <x:f>IF(F156="需拆分后合并",0,C156-1)</x:f>
        <x:v>1</x:v>
      </x:c>
      <x:c r="F156" s="39" t="str">
        <x:v>条件合并（先修分类）</x:v>
      </x:c>
      <x:c r="G156" s="39" t="str">
        <x:v>咖啡师</x:v>
      </x:c>
      <x:c r="H156" s="39" t="str">
        <x:v>4-03-02-05；4-07-02-01</x:v>
      </x:c>
      <x:c r="I156" s="39" t="str">
        <x:v>餐厅服务员；风险管理师</x:v>
      </x:c>
      <x:c r="J156" s="39" t="str">
        <x:v>生活服务/零售 &gt; 服务员 &gt; 咖啡师；餐饮 &gt; 前厅 &gt; 咖啡师</x:v>
      </x:c>
      <x:c r="K156" s="39" t="str">
        <x:v>IC-L3-982；IC-L3-1483</x:v>
      </x:c>
      <x:c r="L156" s="39" t="str">
        <x:v>831；1332</x:v>
      </x:c>
      <x:c r="M156" s="68" t="n">
        <x:v>0.08</x:v>
      </x:c>
      <x:c r="N156" s="68" t="n">
        <x:v>0.086</x:v>
      </x:c>
      <x:c r="O156" s="39" t="str">
        <x:v>岗位名称完全一致，但职业分类存在冲突；优先核对并修正分类，再合并标准岗位，来源产业关系必须保留。</x:v>
      </x:c>
    </x:row>
    <x:row r="157" ht="44" customHeight="1">
      <x:c r="A157" s="65" t="n">
        <x:v>156</x:v>
      </x:c>
      <x:c r="B157" s="39" t="str">
        <x:v>客户质量工程师</x:v>
      </x:c>
      <x:c r="C157" s="42" t="n">
        <x:v>2</x:v>
      </x:c>
      <x:c r="D157" s="42" t="n">
        <x:f>C157-1</x:f>
        <x:v>1</x:v>
      </x:c>
      <x:c r="E157" s="42" t="n">
        <x:f>IF(F157="需拆分后合并",0,C157-1)</x:f>
        <x:v>1</x:v>
      </x:c>
      <x:c r="F157" s="39" t="str">
        <x:v>可直接合并</x:v>
      </x:c>
      <x:c r="G157" s="39" t="str">
        <x:v>客户质量工程师</x:v>
      </x:c>
      <x:c r="H157" s="39" t="str">
        <x:v>2-02-29-03</x:v>
      </x:c>
      <x:c r="I157" s="39" t="str">
        <x:v>质量管理工程技术人员</x:v>
      </x:c>
      <x:c r="J157" s="39" t="str">
        <x:v>汽车 &gt; 汽车制造 &gt; 客户质量工程师；生产制造 &gt; 质量管理 &gt; 客户质量工程师</x:v>
      </x:c>
      <x:c r="K157" s="39" t="str">
        <x:v>IC-L3-711；IC-L3-890</x:v>
      </x:c>
      <x:c r="L157" s="39" t="str">
        <x:v>560；739</x:v>
      </x:c>
      <x:c r="M157" s="68" t="n">
        <x:v>0.236</x:v>
      </x:c>
      <x:c r="N157" s="68" t="n">
        <x:v>1</x:v>
      </x:c>
      <x:c r="O157" s="39" t="str">
        <x:v>岗位名称完全一致且职业分类一致；建议保留一个标准岗位，原记录转为来源/产业关联。</x:v>
      </x:c>
    </x:row>
    <x:row r="158" ht="44" customHeight="1">
      <x:c r="A158" s="65" t="n">
        <x:v>157</x:v>
      </x:c>
      <x:c r="B158" s="39" t="str">
        <x:v>礼仪/迎宾</x:v>
      </x:c>
      <x:c r="C158" s="42" t="n">
        <x:v>2</x:v>
      </x:c>
      <x:c r="D158" s="42" t="n">
        <x:f>C158-1</x:f>
        <x:v>1</x:v>
      </x:c>
      <x:c r="E158" s="42" t="n">
        <x:f>IF(F158="需拆分后合并",0,C158-1)</x:f>
        <x:v>1</x:v>
      </x:c>
      <x:c r="F158" s="39" t="str">
        <x:v>可直接合并</x:v>
      </x:c>
      <x:c r="G158" s="39" t="str">
        <x:v>礼仪/迎宾</x:v>
      </x:c>
      <x:c r="H158" s="39" t="str">
        <x:v>4-03-02-05</x:v>
      </x:c>
      <x:c r="I158" s="39" t="str">
        <x:v>餐厅服务员</x:v>
      </x:c>
      <x:c r="J158" s="39" t="str">
        <x:v>生活服务/零售 &gt; 婚庆 &gt; 礼仪/迎宾；餐饮 &gt; 前厅 &gt; 礼仪/迎宾</x:v>
      </x:c>
      <x:c r="K158" s="39" t="str">
        <x:v>IC-L3-949；IC-L3-1484</x:v>
      </x:c>
      <x:c r="L158" s="39" t="str">
        <x:v>798；1333</x:v>
      </x:c>
      <x:c r="M158" s="68" t="n">
        <x:v>0.074</x:v>
      </x:c>
      <x:c r="N158" s="68" t="n">
        <x:v>0.039</x:v>
      </x:c>
      <x:c r="O158" s="39" t="str">
        <x:v>岗位名称完全一致且职业分类一致；建议保留一个标准岗位，原记录转为来源/产业关联。</x:v>
      </x:c>
    </x:row>
    <x:row r="159" ht="44" customHeight="1">
      <x:c r="A159" s="65" t="n">
        <x:v>158</x:v>
      </x:c>
      <x:c r="B159" s="39" t="str">
        <x:v>理疗师</x:v>
      </x:c>
      <x:c r="C159" s="42" t="n">
        <x:v>2</x:v>
      </x:c>
      <x:c r="D159" s="42" t="n">
        <x:f>C159-1</x:f>
        <x:v>1</x:v>
      </x:c>
      <x:c r="E159" s="42" t="n">
        <x:f>IF(F159="需拆分后合并",0,C159-1)</x:f>
        <x:v>1</x:v>
      </x:c>
      <x:c r="F159" s="39" t="str">
        <x:v>条件合并（先修分类）</x:v>
      </x:c>
      <x:c r="G159" s="39" t="str">
        <x:v>理疗师</x:v>
      </x:c>
      <x:c r="H159" s="39" t="str">
        <x:v>2-05-01-19；2-05-08-01</x:v>
      </x:c>
      <x:c r="I159" s="39" t="str">
        <x:v>全科医师；内科护士</x:v>
      </x:c>
      <x:c r="J159" s="39" t="str">
        <x:v>医药/医疗 &gt; 医生/医技 &gt; 理疗师；医药/医疗 &gt; 护理/护士 &gt; 理疗师</x:v>
      </x:c>
      <x:c r="K159" s="39" t="str">
        <x:v>IC-L3-329；IC-L3-377</x:v>
      </x:c>
      <x:c r="L159" s="39" t="str">
        <x:v>178；226</x:v>
      </x:c>
      <x:c r="M159" s="68" t="n">
        <x:v>0.092</x:v>
      </x:c>
      <x:c r="N159" s="68" t="n">
        <x:v>0.07</x:v>
      </x:c>
      <x:c r="O159" s="39" t="str">
        <x:v>岗位名称完全一致，但职业分类存在冲突；优先核对并修正分类，再合并标准岗位，来源产业关系必须保留。</x:v>
      </x:c>
    </x:row>
    <x:row r="160" ht="44" customHeight="1">
      <x:c r="A160" s="65" t="n">
        <x:v>159</x:v>
      </x:c>
      <x:c r="B160" s="39" t="str">
        <x:v>量化研究</x:v>
      </x:c>
      <x:c r="C160" s="42" t="n">
        <x:v>2</x:v>
      </x:c>
      <x:c r="D160" s="42" t="n">
        <x:f>C160-1</x:f>
        <x:v>1</x:v>
      </x:c>
      <x:c r="E160" s="42" t="n">
        <x:f>IF(F160="需拆分后合并",0,C160-1)</x:f>
        <x:v>1</x:v>
      </x:c>
      <x:c r="F160" s="39" t="str">
        <x:v>可直接合并</x:v>
      </x:c>
      <x:c r="G160" s="39" t="str">
        <x:v>量化研究</x:v>
      </x:c>
      <x:c r="H160" s="39" t="str">
        <x:v>2-06-11-02</x:v>
      </x:c>
      <x:c r="I160" s="39" t="str">
        <x:v>证券交易专业人员</x:v>
      </x:c>
      <x:c r="J160" s="39" t="str">
        <x:v>金融 &gt; 期货 &gt; 量化研究；金融 &gt; 证券 &gt; 量化研究</x:v>
      </x:c>
      <x:c r="K160" s="39" t="str">
        <x:v>IC-L3-1427；IC-L3-1436</x:v>
      </x:c>
      <x:c r="L160" s="39" t="str">
        <x:v>1276；1285</x:v>
      </x:c>
      <x:c r="M160" s="68" t="n">
        <x:v>0.244</x:v>
      </x:c>
      <x:c r="N160" s="68" t="n">
        <x:v>0.113</x:v>
      </x:c>
      <x:c r="O160" s="39" t="str">
        <x:v>岗位名称完全一致且职业分类一致；建议保留一个标准岗位，原记录转为来源/产业关联。</x:v>
      </x:c>
    </x:row>
    <x:row r="161" ht="44" customHeight="1">
      <x:c r="A161" s="65" t="n">
        <x:v>160</x:v>
      </x:c>
      <x:c r="B161" s="39" t="str">
        <x:v>临床研究员</x:v>
      </x:c>
      <x:c r="C161" s="42" t="n">
        <x:v>2</x:v>
      </x:c>
      <x:c r="D161" s="42" t="n">
        <x:f>C161-1</x:f>
        <x:v>1</x:v>
      </x:c>
      <x:c r="E161" s="42" t="n">
        <x:f>IF(F161="需拆分后合并",0,C161-1)</x:f>
        <x:v>1</x:v>
      </x:c>
      <x:c r="F161" s="39" t="str">
        <x:v>可直接合并</x:v>
      </x:c>
      <x:c r="G161" s="39" t="str">
        <x:v>临床研究员</x:v>
      </x:c>
      <x:c r="H161" s="39" t="str">
        <x:v>2-01-06-03</x:v>
      </x:c>
      <x:c r="I161" s="39" t="str">
        <x:v>化学研究人员</x:v>
      </x:c>
      <x:c r="J161" s="39" t="str">
        <x:v>医药/医疗 &gt; 临床试验 &gt; 临床研究员；医药/医疗 &gt; 生物制药 &gt; 临床研究员</x:v>
      </x:c>
      <x:c r="K161" s="39" t="str">
        <x:v>IC-L3-311；IC-L3-400</x:v>
      </x:c>
      <x:c r="L161" s="39" t="str">
        <x:v>160；249</x:v>
      </x:c>
      <x:c r="M161" s="68" t="n">
        <x:v>0.069</x:v>
      </x:c>
      <x:c r="N161" s="68" t="n">
        <x:v>0.069</x:v>
      </x:c>
      <x:c r="O161" s="39" t="str">
        <x:v>岗位名称完全一致且职业分类一致；建议保留一个标准岗位，原记录转为来源/产业关联。</x:v>
      </x:c>
    </x:row>
    <x:row r="162" ht="44" customHeight="1">
      <x:c r="A162" s="65" t="n">
        <x:v>161</x:v>
      </x:c>
      <x:c r="B162" s="39" t="str">
        <x:v>绿化工</x:v>
      </x:c>
      <x:c r="C162" s="42" t="n">
        <x:v>2</x:v>
      </x:c>
      <x:c r="D162" s="42" t="n">
        <x:f>C162-1</x:f>
        <x:v>1</x:v>
      </x:c>
      <x:c r="E162" s="42" t="n">
        <x:f>IF(F162="需拆分后合并",0,C162-1)</x:f>
        <x:v>1</x:v>
      </x:c>
      <x:c r="F162" s="39" t="str">
        <x:v>条件合并（先修分类）</x:v>
      </x:c>
      <x:c r="G162" s="39" t="str">
        <x:v>绿化工</x:v>
      </x:c>
      <x:c r="H162" s="39" t="str">
        <x:v>4-06-01-04；2-02-06-03</x:v>
      </x:c>
      <x:c r="I162" s="39" t="str">
        <x:v>智能楼宇管理员；化工生产工程技术人员</x:v>
      </x:c>
      <x:c r="J162" s="39" t="str">
        <x:v>建筑/房地产 &gt; 物业管理 &gt; 绿化工；能源/环保/化工 &gt; 化工 &gt; 绿化工</x:v>
      </x:c>
      <x:c r="K162" s="39" t="str">
        <x:v>IC-L3-648；IC-L3-1079</x:v>
      </x:c>
      <x:c r="L162" s="39" t="str">
        <x:v>497；928</x:v>
      </x:c>
      <x:c r="M162" s="68" t="n">
        <x:v>0.05</x:v>
      </x:c>
      <x:c r="N162" s="68" t="n">
        <x:v>0.04</x:v>
      </x:c>
      <x:c r="O162" s="39" t="str">
        <x:v>岗位名称完全一致，但职业分类存在冲突；优先核对并修正分类，再合并标准岗位，来源产业关系必须保留。</x:v>
      </x:c>
    </x:row>
    <x:row r="163" ht="44" customHeight="1">
      <x:c r="A163" s="65" t="n">
        <x:v>162</x:v>
      </x:c>
      <x:c r="B163" s="39" t="str">
        <x:v>麻醉医生</x:v>
      </x:c>
      <x:c r="C163" s="42" t="n">
        <x:v>2</x:v>
      </x:c>
      <x:c r="D163" s="42" t="n">
        <x:f>C163-1</x:f>
        <x:v>1</x:v>
      </x:c>
      <x:c r="E163" s="42" t="n">
        <x:f>IF(F163="需拆分后合并",0,C163-1)</x:f>
        <x:v>1</x:v>
      </x:c>
      <x:c r="F163" s="39" t="str">
        <x:v>可直接合并</x:v>
      </x:c>
      <x:c r="G163" s="39" t="str">
        <x:v>麻醉医生</x:v>
      </x:c>
      <x:c r="H163" s="39" t="str">
        <x:v>2-05-01-19</x:v>
      </x:c>
      <x:c r="I163" s="39" t="str">
        <x:v>全科医师</x:v>
      </x:c>
      <x:c r="J163" s="39" t="str">
        <x:v>医药/医疗 &gt; 医生/医技 &gt; 麻醉医生；医药/医疗 &gt; 护理/护士 &gt; 麻醉医生</x:v>
      </x:c>
      <x:c r="K163" s="39" t="str">
        <x:v>IC-L3-338；IC-L3-371</x:v>
      </x:c>
      <x:c r="L163" s="39" t="str">
        <x:v>187；220</x:v>
      </x:c>
      <x:c r="M163" s="68" t="n">
        <x:v>0.147</x:v>
      </x:c>
      <x:c r="N163" s="68" t="n">
        <x:v>0.104</x:v>
      </x:c>
      <x:c r="O163" s="39" t="str">
        <x:v>岗位名称完全一致且职业分类一致；建议保留一个标准岗位，原记录转为来源/产业关联。</x:v>
      </x:c>
    </x:row>
    <x:row r="164" ht="44" customHeight="1">
      <x:c r="A164" s="65" t="n">
        <x:v>163</x:v>
      </x:c>
      <x:c r="B164" s="39" t="str">
        <x:v>美容顾问</x:v>
      </x:c>
      <x:c r="C164" s="42" t="n">
        <x:v>2</x:v>
      </x:c>
      <x:c r="D164" s="42" t="n">
        <x:f>C164-1</x:f>
        <x:v>1</x:v>
      </x:c>
      <x:c r="E164" s="42" t="n">
        <x:f>IF(F164="需拆分后合并",0,C164-1)</x:f>
        <x:v>1</x:v>
      </x:c>
      <x:c r="F164" s="39" t="str">
        <x:v>可直接合并</x:v>
      </x:c>
      <x:c r="G164" s="39" t="str">
        <x:v>美容顾问</x:v>
      </x:c>
      <x:c r="H164" s="39" t="str">
        <x:v>4-10-03-01</x:v>
      </x:c>
      <x:c r="I164" s="39" t="str">
        <x:v>美容师</x:v>
      </x:c>
      <x:c r="J164" s="39" t="str">
        <x:v>销售/客服 &gt; 服务业销售 &gt; 美容顾问；生活服务/零售 &gt; 美容美发 &gt; 美容顾问</x:v>
      </x:c>
      <x:c r="K164" s="39" t="str">
        <x:v>IC-L3-431；IC-L3-992</x:v>
      </x:c>
      <x:c r="L164" s="39" t="str">
        <x:v>280；841</x:v>
      </x:c>
      <x:c r="M164" s="68" t="n">
        <x:v>0.188</x:v>
      </x:c>
      <x:c r="N164" s="68" t="n">
        <x:v>0.151</x:v>
      </x:c>
      <x:c r="O164" s="39" t="str">
        <x:v>岗位名称完全一致且职业分类一致；建议保留一个标准岗位，原记录转为来源/产业关联。</x:v>
      </x:c>
    </x:row>
    <x:row r="165" ht="44" customHeight="1">
      <x:c r="A165" s="65" t="n">
        <x:v>164</x:v>
      </x:c>
      <x:c r="B165" s="39" t="str">
        <x:v>美术编辑</x:v>
      </x:c>
      <x:c r="C165" s="42" t="n">
        <x:v>2</x:v>
      </x:c>
      <x:c r="D165" s="42" t="n">
        <x:f>C165-1</x:f>
        <x:v>1</x:v>
      </x:c>
      <x:c r="E165" s="42" t="n">
        <x:f>IF(F165="需拆分后合并",0,C165-1)</x:f>
        <x:v>1</x:v>
      </x:c>
      <x:c r="F165" s="39" t="str">
        <x:v>可直接合并</x:v>
      </x:c>
      <x:c r="G165" s="39" t="str">
        <x:v>美术编辑</x:v>
      </x:c>
      <x:c r="H165" s="39" t="str">
        <x:v>2-09-06-01</x:v>
      </x:c>
      <x:c r="I165" s="39" t="str">
        <x:v>视觉传达设计人员</x:v>
      </x:c>
      <x:c r="J165" s="39" t="str">
        <x:v>文化/传媒 &gt; 影视/媒体 &gt; 美术编辑；文化/传媒 &gt; 编辑/出版 &gt; 美术编辑</x:v>
      </x:c>
      <x:c r="K165" s="39" t="str">
        <x:v>IC-L3-682；IC-L3-698</x:v>
      </x:c>
      <x:c r="L165" s="39" t="str">
        <x:v>531；547</x:v>
      </x:c>
      <x:c r="M165" s="68" t="n">
        <x:v>0.093</x:v>
      </x:c>
      <x:c r="N165" s="68" t="n">
        <x:v>0.042</x:v>
      </x:c>
      <x:c r="O165" s="39" t="str">
        <x:v>岗位名称完全一致且职业分类一致；建议保留一个标准岗位，原记录转为来源/产业关联。</x:v>
      </x:c>
    </x:row>
    <x:row r="166" ht="44" customHeight="1">
      <x:c r="A166" s="65" t="n">
        <x:v>165</x:v>
      </x:c>
      <x:c r="B166" s="39" t="str">
        <x:v>美术老师</x:v>
      </x:c>
      <x:c r="C166" s="42" t="n">
        <x:v>2</x:v>
      </x:c>
      <x:c r="D166" s="42" t="n">
        <x:f>C166-1</x:f>
        <x:v>1</x:v>
      </x:c>
      <x:c r="E166" s="42" t="n">
        <x:f>IF(F166="需拆分后合并",0,C166-1)</x:f>
        <x:v>1</x:v>
      </x:c>
      <x:c r="F166" s="39" t="str">
        <x:v>可直接合并</x:v>
      </x:c>
      <x:c r="G166" s="39" t="str">
        <x:v>美术老师</x:v>
      </x:c>
      <x:c r="H166" s="39" t="str">
        <x:v>2-09-06-01</x:v>
      </x:c>
      <x:c r="I166" s="39" t="str">
        <x:v>视觉传达设计人员</x:v>
      </x:c>
      <x:c r="J166" s="39" t="str">
        <x:v>生活服务/零售 &gt; 服务员 &gt; 美术老师；科研/教育/培训 &gt; 教师 &gt; 美术老师</x:v>
      </x:c>
      <x:c r="K166" s="39" t="str">
        <x:v>IC-L3-975；IC-L3-1037</x:v>
      </x:c>
      <x:c r="L166" s="39" t="str">
        <x:v>824；886</x:v>
      </x:c>
      <x:c r="M166" s="68" t="n">
        <x:v>0.085</x:v>
      </x:c>
      <x:c r="N166" s="68" t="n">
        <x:v>0.057</x:v>
      </x:c>
      <x:c r="O166" s="39" t="str">
        <x:v>岗位名称完全一致且职业分类一致；建议保留一个标准岗位，原记录转为来源/产业关联。</x:v>
      </x:c>
    </x:row>
    <x:row r="167" ht="44" customHeight="1">
      <x:c r="A167" s="65" t="n">
        <x:v>166</x:v>
      </x:c>
      <x:c r="B167" s="39" t="str">
        <x:v>美术指导</x:v>
      </x:c>
      <x:c r="C167" s="42" t="n">
        <x:v>2</x:v>
      </x:c>
      <x:c r="D167" s="42" t="n">
        <x:f>C167-1</x:f>
        <x:v>1</x:v>
      </x:c>
      <x:c r="E167" s="42" t="n">
        <x:f>IF(F167="需拆分后合并",0,C167-1)</x:f>
        <x:v>1</x:v>
      </x:c>
      <x:c r="F167" s="39" t="str">
        <x:v>条件合并（先修分类）</x:v>
      </x:c>
      <x:c r="G167" s="39" t="str">
        <x:v>美术指导</x:v>
      </x:c>
      <x:c r="H167" s="39" t="str">
        <x:v>4-01-02-01；2-09-06-01</x:v>
      </x:c>
      <x:c r="I167" s="39" t="str">
        <x:v>营销员；视觉传达设计人员</x:v>
      </x:c>
      <x:c r="J167" s="39" t="str">
        <x:v>市场/公关 &gt; 市场/营销 &gt; 美术指导；市场/公关 &gt; 广告 &gt; 美术指导</x:v>
      </x:c>
      <x:c r="K167" s="39" t="str">
        <x:v>IC-L3-551；IC-L3-568</x:v>
      </x:c>
      <x:c r="L167" s="39" t="str">
        <x:v>400；417</x:v>
      </x:c>
      <x:c r="M167" s="68" t="n">
        <x:v>0.081</x:v>
      </x:c>
      <x:c r="N167" s="68" t="n">
        <x:v>0.046</x:v>
      </x:c>
      <x:c r="O167" s="39" t="str">
        <x:v>岗位名称完全一致，但职业分类存在冲突；优先核对并修正分类，再合并标准岗位，来源产业关系必须保留。</x:v>
      </x:c>
    </x:row>
    <x:row r="168" ht="44" customHeight="1">
      <x:c r="A168" s="65" t="n">
        <x:v>167</x:v>
      </x:c>
      <x:c r="B168" s="39" t="str">
        <x:v>面料辅料开发</x:v>
      </x:c>
      <x:c r="C168" s="42" t="n">
        <x:v>2</x:v>
      </x:c>
      <x:c r="D168" s="42" t="n">
        <x:f>C168-1</x:f>
        <x:v>1</x:v>
      </x:c>
      <x:c r="E168" s="42" t="n">
        <x:f>IF(F168="需拆分后合并",0,C168-1)</x:f>
        <x:v>1</x:v>
      </x:c>
      <x:c r="F168" s="39" t="str">
        <x:v>条件合并（先修分类）</x:v>
      </x:c>
      <x:c r="G168" s="39" t="str">
        <x:v>面料辅料开发</x:v>
      </x:c>
      <x:c r="H168" s="39" t="str">
        <x:v>6-23-01-01；2-09-06-01</x:v>
      </x:c>
      <x:c r="I168" s="39" t="str">
        <x:v>铁路机车制修工；视觉传达设计人员</x:v>
      </x:c>
      <x:c r="J168" s="39" t="str">
        <x:v>生产制造 &gt; 服装/纺织/皮革 &gt; 面料辅料开发；设计 &gt; 服装设计 &gt; 面料辅料开发</x:v>
      </x:c>
      <x:c r="K168" s="39" t="str">
        <x:v>IC-L3-852；IC-L3-1170</x:v>
      </x:c>
      <x:c r="L168" s="39" t="str">
        <x:v>701；1019</x:v>
      </x:c>
      <x:c r="M168" s="68" t="n">
        <x:v>0.195</x:v>
      </x:c>
      <x:c r="N168" s="68" t="n">
        <x:v>0.158</x:v>
      </x:c>
      <x:c r="O168" s="39" t="str">
        <x:v>岗位名称完全一致，但职业分类存在冲突；优先核对并修正分类，再合并标准岗位，来源产业关系必须保留。</x:v>
      </x:c>
    </x:row>
    <x:row r="169" ht="44" customHeight="1">
      <x:c r="A169" s="65" t="n">
        <x:v>168</x:v>
      </x:c>
      <x:c r="B169" s="39" t="str">
        <x:v>模具工程师</x:v>
      </x:c>
      <x:c r="C169" s="42" t="n">
        <x:v>2</x:v>
      </x:c>
      <x:c r="D169" s="42" t="n">
        <x:f>C169-1</x:f>
        <x:v>1</x:v>
      </x:c>
      <x:c r="E169" s="42" t="n">
        <x:f>IF(F169="需拆分后合并",0,C169-1)</x:f>
        <x:v>1</x:v>
      </x:c>
      <x:c r="F169" s="39" t="str">
        <x:v>条件合并（先修分类）</x:v>
      </x:c>
      <x:c r="G169" s="39" t="str">
        <x:v>模具工程师</x:v>
      </x:c>
      <x:c r="H169" s="39" t="str">
        <x:v>2-02-07-01；6-31-01-01</x:v>
      </x:c>
      <x:c r="I169" s="39" t="str">
        <x:v>机械设计工程技术人员；设备点检员</x:v>
      </x:c>
      <x:c r="J169" s="39" t="str">
        <x:v>生产制造 &gt; 工程/机械 &gt; 模具工程师；生产制造 &gt; 技工 &gt; 模具工程师</x:v>
      </x:c>
      <x:c r="K169" s="39" t="str">
        <x:v>IC-L3-796；IC-L3-825</x:v>
      </x:c>
      <x:c r="L169" s="39" t="str">
        <x:v>645；674</x:v>
      </x:c>
      <x:c r="M169" s="68" t="n">
        <x:v>0.086</x:v>
      </x:c>
      <x:c r="N169" s="68" t="n">
        <x:v>0.054</x:v>
      </x:c>
      <x:c r="O169" s="39" t="str">
        <x:v>岗位名称完全一致，但职业分类存在冲突；优先核对并修正分类，再合并标准岗位，来源产业关系必须保留。</x:v>
      </x:c>
    </x:row>
    <x:row r="170" ht="44" customHeight="1">
      <x:c r="A170" s="65" t="n">
        <x:v>169</x:v>
      </x:c>
      <x:c r="B170" s="39" t="str">
        <x:v>模特</x:v>
      </x:c>
      <x:c r="C170" s="42" t="n">
        <x:v>2</x:v>
      </x:c>
      <x:c r="D170" s="42" t="n">
        <x:f>C170-1</x:f>
        <x:v>1</x:v>
      </x:c>
      <x:c r="E170" s="42" t="n">
        <x:f>IF(F170="需拆分后合并",0,C170-1)</x:f>
        <x:v>1</x:v>
      </x:c>
      <x:c r="F170" s="39" t="str">
        <x:v>条件合并（先修分类）</x:v>
      </x:c>
      <x:c r="G170" s="39" t="str">
        <x:v>模特</x:v>
      </x:c>
      <x:c r="H170" s="39" t="str">
        <x:v>2-09-06-01；2-09-04-01</x:v>
      </x:c>
      <x:c r="I170" s="39" t="str">
        <x:v>视觉传达设计人员；灯光师</x:v>
      </x:c>
      <x:c r="J170" s="39" t="str">
        <x:v>文化/传媒 &gt; 影视/媒体 &gt; 模特；文化/传媒 &gt; 演员/主播 &gt; 模特</x:v>
      </x:c>
      <x:c r="K170" s="39" t="str">
        <x:v>IC-L3-683；IC-L3-687</x:v>
      </x:c>
      <x:c r="L170" s="39" t="str">
        <x:v>532；536</x:v>
      </x:c>
      <x:c r="M170" s="68" t="n">
        <x:v>0.053</x:v>
      </x:c>
      <x:c r="N170" s="68" t="n">
        <x:v>0.063</x:v>
      </x:c>
      <x:c r="O170" s="39" t="str">
        <x:v>岗位名称完全一致，但职业分类存在冲突；优先核对并修正分类，再合并标准岗位，来源产业关系必须保留。</x:v>
      </x:c>
    </x:row>
    <x:row r="171" ht="44" customHeight="1">
      <x:c r="A171" s="65" t="n">
        <x:v>170</x:v>
      </x:c>
      <x:c r="B171" s="39" t="str">
        <x:v>木工</x:v>
      </x:c>
      <x:c r="C171" s="42" t="n">
        <x:v>2</x:v>
      </x:c>
      <x:c r="D171" s="42" t="n">
        <x:f>C171-1</x:f>
        <x:v>1</x:v>
      </x:c>
      <x:c r="E171" s="42" t="n">
        <x:f>IF(F171="需拆分后合并",0,C171-1)</x:f>
        <x:v>1</x:v>
      </x:c>
      <x:c r="F171" s="39" t="str">
        <x:v>条件合并（先修分类）</x:v>
      </x:c>
      <x:c r="G171" s="39" t="str">
        <x:v>木工</x:v>
      </x:c>
      <x:c r="H171" s="39" t="str">
        <x:v>6-29-01-01；6-31-01-01</x:v>
      </x:c>
      <x:c r="I171" s="39" t="str">
        <x:v>砌筑工；设备点检员</x:v>
      </x:c>
      <x:c r="J171" s="39" t="str">
        <x:v>建筑/房地产 &gt; 建筑/装修工人 &gt; 木工；生产制造 &gt; 技工 &gt; 木工</x:v>
      </x:c>
      <x:c r="K171" s="39" t="str">
        <x:v>IC-L3-572；IC-L3-818</x:v>
      </x:c>
      <x:c r="L171" s="39" t="str">
        <x:v>421；667</x:v>
      </x:c>
      <x:c r="M171" s="68" t="n">
        <x:v>0.107</x:v>
      </x:c>
      <x:c r="N171" s="68" t="n">
        <x:v>0.089</x:v>
      </x:c>
      <x:c r="O171" s="39" t="str">
        <x:v>岗位名称完全一致，但职业分类存在冲突；优先核对并修正分类，再合并标准岗位，来源产业关系必须保留。</x:v>
      </x:c>
    </x:row>
    <x:row r="172" ht="44" customHeight="1">
      <x:c r="A172" s="65" t="n">
        <x:v>171</x:v>
      </x:c>
      <x:c r="B172" s="39" t="str">
        <x:v>幕墙设计</x:v>
      </x:c>
      <x:c r="C172" s="42" t="n">
        <x:v>2</x:v>
      </x:c>
      <x:c r="D172" s="42" t="n">
        <x:f>C172-1</x:f>
        <x:v>1</x:v>
      </x:c>
      <x:c r="E172" s="42" t="n">
        <x:f>IF(F172="需拆分后合并",0,C172-1)</x:f>
        <x:v>1</x:v>
      </x:c>
      <x:c r="F172" s="39" t="str">
        <x:v>条件合并（先修分类）</x:v>
      </x:c>
      <x:c r="G172" s="39" t="str">
        <x:v>幕墙设计</x:v>
      </x:c>
      <x:c r="H172" s="39" t="str">
        <x:v>2-02-18-01；2-09-06-01</x:v>
      </x:c>
      <x:c r="I172" s="39" t="str">
        <x:v>建筑和市政设计工程技术人员；视觉传达设计人员</x:v>
      </x:c>
      <x:c r="J172" s="39" t="str">
        <x:v>建筑/房地产 &gt; 建筑规划与设计 &gt; 幕墙设计；设计 &gt; 建筑/室内设计 &gt; 幕墙设计</x:v>
      </x:c>
      <x:c r="K172" s="39" t="str">
        <x:v>IC-L3-614；IC-L3-1154</x:v>
      </x:c>
      <x:c r="L172" s="39" t="str">
        <x:v>463；1003</x:v>
      </x:c>
      <x:c r="M172" s="68" t="n">
        <x:v>0.168</x:v>
      </x:c>
      <x:c r="N172" s="68" t="n">
        <x:v>0.217</x:v>
      </x:c>
      <x:c r="O172" s="39" t="str">
        <x:v>岗位名称完全一致，但职业分类存在冲突；优先核对并修正分类，再合并标准岗位，来源产业关系必须保留。</x:v>
      </x:c>
    </x:row>
    <x:row r="173" ht="44" customHeight="1">
      <x:c r="A173" s="65" t="n">
        <x:v>172</x:v>
      </x:c>
      <x:c r="B173" s="39" t="str">
        <x:v>内科医生</x:v>
      </x:c>
      <x:c r="C173" s="42" t="n">
        <x:v>2</x:v>
      </x:c>
      <x:c r="D173" s="42" t="n">
        <x:f>C173-1</x:f>
        <x:v>1</x:v>
      </x:c>
      <x:c r="E173" s="42" t="n">
        <x:f>IF(F173="需拆分后合并",0,C173-1)</x:f>
        <x:v>1</x:v>
      </x:c>
      <x:c r="F173" s="39" t="str">
        <x:v>可直接合并</x:v>
      </x:c>
      <x:c r="G173" s="39" t="str">
        <x:v>内科医生</x:v>
      </x:c>
      <x:c r="H173" s="39" t="str">
        <x:v>2-05-01-19</x:v>
      </x:c>
      <x:c r="I173" s="39" t="str">
        <x:v>全科医师</x:v>
      </x:c>
      <x:c r="J173" s="39" t="str">
        <x:v>医药/医疗 &gt; 医生/医技 &gt; 内科医生；医药/医疗 &gt; 护理/护士 &gt; 内科医生</x:v>
      </x:c>
      <x:c r="K173" s="39" t="str">
        <x:v>IC-L3-319；IC-L3-369</x:v>
      </x:c>
      <x:c r="L173" s="39" t="str">
        <x:v>168；218</x:v>
      </x:c>
      <x:c r="M173" s="68" t="n">
        <x:v>0.075</x:v>
      </x:c>
      <x:c r="N173" s="68" t="n">
        <x:v>0.071</x:v>
      </x:c>
      <x:c r="O173" s="39" t="str">
        <x:v>岗位名称完全一致且职业分类一致；建议保留一个标准岗位，原记录转为来源/产业关联。</x:v>
      </x:c>
    </x:row>
    <x:row r="174" ht="44" customHeight="1">
      <x:c r="A174" s="65" t="n">
        <x:v>173</x:v>
      </x:c>
      <x:c r="B174" s="39" t="str">
        <x:v>内容审核</x:v>
      </x:c>
      <x:c r="C174" s="42" t="n">
        <x:v>2</x:v>
      </x:c>
      <x:c r="D174" s="42" t="n">
        <x:f>C174-1</x:f>
        <x:v>1</x:v>
      </x:c>
      <x:c r="E174" s="42" t="n">
        <x:f>IF(F174="需拆分后合并",0,C174-1)</x:f>
        <x:v>1</x:v>
      </x:c>
      <x:c r="F174" s="39" t="str">
        <x:v>可直接合并</x:v>
      </x:c>
      <x:c r="G174" s="39" t="str">
        <x:v>内容审核</x:v>
      </x:c>
      <x:c r="H174" s="39" t="str">
        <x:v>4-04-05-01</x:v>
      </x:c>
      <x:c r="I174" s="39" t="str">
        <x:v>计算机程序设计员</x:v>
      </x:c>
      <x:c r="J174" s="39" t="str">
        <x:v>互联网技术 &gt; 运维/技术支持 &gt; 内容审核；运营 &gt; 内容运营 &gt; 内容审核</x:v>
      </x:c>
      <x:c r="K174" s="39" t="str">
        <x:v>IC-L3-237；IC-L3-1246</x:v>
      </x:c>
      <x:c r="L174" s="39" t="str">
        <x:v>86；1095</x:v>
      </x:c>
      <x:c r="M174" s="68" t="n">
        <x:v>0.085</x:v>
      </x:c>
      <x:c r="N174" s="68" t="n">
        <x:v>0.062</x:v>
      </x:c>
      <x:c r="O174" s="39" t="str">
        <x:v>岗位名称完全一致且职业分类一致；建议保留一个标准岗位，原记录转为来源/产业关联。</x:v>
      </x:c>
    </x:row>
    <x:row r="175" ht="44" customHeight="1">
      <x:c r="A175" s="65" t="n">
        <x:v>174</x:v>
      </x:c>
      <x:c r="B175" s="39" t="str">
        <x:v>暖通设计</x:v>
      </x:c>
      <x:c r="C175" s="42" t="n">
        <x:v>2</x:v>
      </x:c>
      <x:c r="D175" s="42" t="n">
        <x:f>C175-1</x:f>
        <x:v>1</x:v>
      </x:c>
      <x:c r="E175" s="42" t="n">
        <x:f>IF(F175="需拆分后合并",0,C175-1)</x:f>
        <x:v>1</x:v>
      </x:c>
      <x:c r="F175" s="39" t="str">
        <x:v>条件合并（先修分类）</x:v>
      </x:c>
      <x:c r="G175" s="39" t="str">
        <x:v>暖通设计</x:v>
      </x:c>
      <x:c r="H175" s="39" t="str">
        <x:v>2-02-18-01；2-09-06-01</x:v>
      </x:c>
      <x:c r="I175" s="39" t="str">
        <x:v>建筑和市政设计工程技术人员；视觉传达设计人员</x:v>
      </x:c>
      <x:c r="J175" s="39" t="str">
        <x:v>建筑/房地产 &gt; 建筑规划与设计 &gt; 暖通设计；设计 &gt; 建筑/室内设计 &gt; 暖通设计</x:v>
      </x:c>
      <x:c r="K175" s="39" t="str">
        <x:v>IC-L3-619；IC-L3-1159</x:v>
      </x:c>
      <x:c r="L175" s="39" t="str">
        <x:v>468；1008</x:v>
      </x:c>
      <x:c r="M175" s="68" t="n">
        <x:v>0.161</x:v>
      </x:c>
      <x:c r="N175" s="68" t="n">
        <x:v>0.163</x:v>
      </x:c>
      <x:c r="O175" s="39" t="str">
        <x:v>岗位名称完全一致，但职业分类存在冲突；优先核对并修正分类，再合并标准岗位，来源产业关系必须保留。</x:v>
      </x:c>
    </x:row>
    <x:row r="176" ht="44" customHeight="1">
      <x:c r="A176" s="65" t="n">
        <x:v>175</x:v>
      </x:c>
      <x:c r="B176" s="39" t="str">
        <x:v>培训督导</x:v>
      </x:c>
      <x:c r="C176" s="42" t="n">
        <x:v>2</x:v>
      </x:c>
      <x:c r="D176" s="42" t="n">
        <x:f>C176-1</x:f>
        <x:v>1</x:v>
      </x:c>
      <x:c r="E176" s="42" t="n">
        <x:f>IF(F176="需拆分后合并",0,C176-1)</x:f>
        <x:v>1</x:v>
      </x:c>
      <x:c r="F176" s="39" t="str">
        <x:v>可直接合并</x:v>
      </x:c>
      <x:c r="G176" s="39" t="str">
        <x:v>培训督导</x:v>
      </x:c>
      <x:c r="H176" s="39" t="str">
        <x:v>4-07-03-05</x:v>
      </x:c>
      <x:c r="I176" s="39" t="str">
        <x:v>职业培训师</x:v>
      </x:c>
      <x:c r="J176" s="39" t="str">
        <x:v>科研/教育/培训 &gt; 培训管理 &gt; 培训督导；科研/教育/培训 &gt; 特长教育/培训 &gt; 培训督导</x:v>
      </x:c>
      <x:c r="K176" s="39" t="str">
        <x:v>IC-L3-1020；IC-L3-1061</x:v>
      </x:c>
      <x:c r="L176" s="39" t="str">
        <x:v>869；910</x:v>
      </x:c>
      <x:c r="M176" s="68" t="n">
        <x:v>0.104</x:v>
      </x:c>
      <x:c r="N176" s="68" t="n">
        <x:v>0.024</x:v>
      </x:c>
      <x:c r="O176" s="39" t="str">
        <x:v>岗位名称完全一致且职业分类一致；建议保留一个标准岗位，原记录转为来源/产业关联。</x:v>
      </x:c>
    </x:row>
    <x:row r="177" ht="44" customHeight="1">
      <x:c r="A177" s="65" t="n">
        <x:v>176</x:v>
      </x:c>
      <x:c r="B177" s="39" t="str">
        <x:v>品牌专员</x:v>
      </x:c>
      <x:c r="C177" s="42" t="n">
        <x:v>2</x:v>
      </x:c>
      <x:c r="D177" s="42" t="n">
        <x:f>C177-1</x:f>
        <x:v>1</x:v>
      </x:c>
      <x:c r="E177" s="42" t="n">
        <x:f>IF(F177="需拆分后合并",0,C177-1)</x:f>
        <x:v>1</x:v>
      </x:c>
      <x:c r="F177" s="39" t="str">
        <x:v>条件合并（先修分类）</x:v>
      </x:c>
      <x:c r="G177" s="39" t="str">
        <x:v>品牌专员</x:v>
      </x:c>
      <x:c r="H177" s="39" t="str">
        <x:v>4-01-02-01；2-09-06-01</x:v>
      </x:c>
      <x:c r="I177" s="39" t="str">
        <x:v>营销员；视觉传达设计人员</x:v>
      </x:c>
      <x:c r="J177" s="39" t="str">
        <x:v>市场/公关 &gt; 市场/营销 &gt; 品牌专员；市场/公关 &gt; 广告 &gt; 品牌专员</x:v>
      </x:c>
      <x:c r="K177" s="39" t="str">
        <x:v>IC-L3-536；IC-L3-569</x:v>
      </x:c>
      <x:c r="L177" s="39" t="str">
        <x:v>385；418</x:v>
      </x:c>
      <x:c r="M177" s="68" t="n">
        <x:v>0.11</x:v>
      </x:c>
      <x:c r="N177" s="68" t="n">
        <x:v>0.078</x:v>
      </x:c>
      <x:c r="O177" s="39" t="str">
        <x:v>岗位名称完全一致，但职业分类存在冲突；优先核对并修正分类，再合并标准岗位，来源产业关系必须保留。</x:v>
      </x:c>
    </x:row>
    <x:row r="178" ht="44" customHeight="1">
      <x:c r="A178" s="65" t="n">
        <x:v>177</x:v>
      </x:c>
      <x:c r="B178" s="39" t="str">
        <x:v>平面设计经理/主管</x:v>
      </x:c>
      <x:c r="C178" s="42" t="n">
        <x:v>2</x:v>
      </x:c>
      <x:c r="D178" s="42" t="n">
        <x:f>C178-1</x:f>
        <x:v>1</x:v>
      </x:c>
      <x:c r="E178" s="42" t="n">
        <x:f>IF(F178="需拆分后合并",0,C178-1)</x:f>
        <x:v>1</x:v>
      </x:c>
      <x:c r="F178" s="39" t="str">
        <x:v>条件合并（先修分类）</x:v>
      </x:c>
      <x:c r="G178" s="39" t="str">
        <x:v>平面设计经理/主管</x:v>
      </x:c>
      <x:c r="H178" s="39" t="str">
        <x:v>2-09-06-01；2-06-07-01</x:v>
      </x:c>
      <x:c r="I178" s="39" t="str">
        <x:v>视觉传达设计人员；国际商务专业人员</x:v>
      </x:c>
      <x:c r="J178" s="39" t="str">
        <x:v>设计 &gt; 平面设计 &gt; 平面设计经理/主管；设计 &gt; 高级设计管理 &gt; 平面设计经理/主管</x:v>
      </x:c>
      <x:c r="K178" s="39" t="str">
        <x:v>IC-L3-1134；IC-L3-1186</x:v>
      </x:c>
      <x:c r="L178" s="39" t="str">
        <x:v>983；1035</x:v>
      </x:c>
      <x:c r="M178" s="68" t="n">
        <x:v>0.196</x:v>
      </x:c>
      <x:c r="N178" s="68" t="n">
        <x:v>0.159</x:v>
      </x:c>
      <x:c r="O178" s="39" t="str">
        <x:v>岗位名称完全一致，但职业分类存在冲突；优先核对并修正分类，再合并标准岗位，来源产业关系必须保留。</x:v>
      </x:c>
    </x:row>
    <x:row r="179" ht="44" customHeight="1">
      <x:c r="A179" s="65" t="n">
        <x:v>178</x:v>
      </x:c>
      <x:c r="B179" s="39" t="str">
        <x:v>平面设计总监</x:v>
      </x:c>
      <x:c r="C179" s="42" t="n">
        <x:v>2</x:v>
      </x:c>
      <x:c r="D179" s="42" t="n">
        <x:f>C179-1</x:f>
        <x:v>1</x:v>
      </x:c>
      <x:c r="E179" s="42" t="n">
        <x:f>IF(F179="需拆分后合并",0,C179-1)</x:f>
        <x:v>1</x:v>
      </x:c>
      <x:c r="F179" s="39" t="str">
        <x:v>条件合并（先修分类）</x:v>
      </x:c>
      <x:c r="G179" s="39" t="str">
        <x:v>平面设计总监</x:v>
      </x:c>
      <x:c r="H179" s="39" t="str">
        <x:v>2-09-06-01；2-06-07-01</x:v>
      </x:c>
      <x:c r="I179" s="39" t="str">
        <x:v>视觉传达设计人员；国际商务专业人员</x:v>
      </x:c>
      <x:c r="J179" s="39" t="str">
        <x:v>设计 &gt; 平面设计 &gt; 平面设计总监；设计 &gt; 高级设计管理 &gt; 平面设计总监</x:v>
      </x:c>
      <x:c r="K179" s="39" t="str">
        <x:v>IC-L3-1133；IC-L3-1185</x:v>
      </x:c>
      <x:c r="L179" s="39" t="str">
        <x:v>982；1034</x:v>
      </x:c>
      <x:c r="M179" s="68" t="n">
        <x:v>0.228</x:v>
      </x:c>
      <x:c r="N179" s="68" t="n">
        <x:v>0.181</x:v>
      </x:c>
      <x:c r="O179" s="39" t="str">
        <x:v>岗位名称完全一致，但职业分类存在冲突；优先核对并修正分类，再合并标准岗位，来源产业关系必须保留。</x:v>
      </x:c>
    </x:row>
    <x:row r="180" ht="44" customHeight="1">
      <x:c r="A180" s="65" t="n">
        <x:v>179</x:v>
      </x:c>
      <x:c r="B180" s="39" t="str">
        <x:v>其他语种翻译</x:v>
      </x:c>
      <x:c r="C180" s="42" t="n">
        <x:v>2</x:v>
      </x:c>
      <x:c r="D180" s="42" t="n">
        <x:f>C180-1</x:f>
        <x:v>1</x:v>
      </x:c>
      <x:c r="E180" s="42" t="n">
        <x:f>IF(F180="需拆分后合并",0,C180-1)</x:f>
        <x:v>1</x:v>
      </x:c>
      <x:c r="F180" s="39" t="str">
        <x:v>条件合并（先修分类）</x:v>
      </x:c>
      <x:c r="G180" s="39" t="str">
        <x:v>其他语种翻译</x:v>
      </x:c>
      <x:c r="H180" s="39" t="str">
        <x:v>2-10-05-00；2-08-02-01</x:v>
      </x:c>
      <x:c r="I180" s="39" t="str">
        <x:v>翻译；高级中学教师</x:v>
      </x:c>
      <x:c r="J180" s="39" t="str">
        <x:v>咨询/法律/翻译 &gt; 翻译 &gt; 其他语种翻译；科研/教育/培训 &gt; 特长教育/培训 &gt; 其他语种翻译</x:v>
      </x:c>
      <x:c r="K180" s="39" t="str">
        <x:v>IC-L3-506；IC-L3-1065</x:v>
      </x:c>
      <x:c r="L180" s="39" t="str">
        <x:v>355；914</x:v>
      </x:c>
      <x:c r="M180" s="68" t="n">
        <x:v>0.07</x:v>
      </x:c>
      <x:c r="N180" s="68" t="n">
        <x:v>0.026</x:v>
      </x:c>
      <x:c r="O180" s="39" t="str">
        <x:v>岗位名称完全一致，但职业分类存在冲突；优先核对并修正分类，再合并标准岗位，来源产业关系必须保留。</x:v>
      </x:c>
    </x:row>
    <x:row r="181" ht="44" customHeight="1">
      <x:c r="A181" s="65" t="n">
        <x:v>180</x:v>
      </x:c>
      <x:c r="B181" s="39" t="str">
        <x:v>汽车安全性能工程师</x:v>
      </x:c>
      <x:c r="C181" s="42" t="n">
        <x:v>2</x:v>
      </x:c>
      <x:c r="D181" s="42" t="n">
        <x:f>C181-1</x:f>
        <x:v>1</x:v>
      </x:c>
      <x:c r="E181" s="42" t="n">
        <x:f>IF(F181="需拆分后合并",0,C181-1)</x:f>
        <x:v>1</x:v>
      </x:c>
      <x:c r="F181" s="39" t="str">
        <x:v>可直接合并</x:v>
      </x:c>
      <x:c r="G181" s="39" t="str">
        <x:v>汽车安全性能工程师</x:v>
      </x:c>
      <x:c r="H181" s="39" t="str">
        <x:v>2-02-07-11</x:v>
      </x:c>
      <x:c r="I181" s="39" t="str">
        <x:v>汽车工程技术人员</x:v>
      </x:c>
      <x:c r="J181" s="39" t="str">
        <x:v>汽车 &gt; 汽车研发设计 &gt; 汽车安全性能工程师；汽车 &gt; 汽车销售与服务 &gt; 汽车安全性能工程师</x:v>
      </x:c>
      <x:c r="K181" s="39" t="str">
        <x:v>IC-L3-735；IC-L3-763</x:v>
      </x:c>
      <x:c r="L181" s="39" t="str">
        <x:v>584；612</x:v>
      </x:c>
      <x:c r="M181" s="68" t="n">
        <x:v>0.094</x:v>
      </x:c>
      <x:c r="N181" s="68" t="n">
        <x:v>0.075</x:v>
      </x:c>
      <x:c r="O181" s="39" t="str">
        <x:v>岗位名称完全一致且职业分类一致；建议保留一个标准岗位，原记录转为来源/产业关联。</x:v>
      </x:c>
    </x:row>
    <x:row r="182" ht="44" customHeight="1">
      <x:c r="A182" s="65" t="n">
        <x:v>181</x:v>
      </x:c>
      <x:c r="B182" s="39" t="str">
        <x:v>汽车标定工程师</x:v>
      </x:c>
      <x:c r="C182" s="42" t="n">
        <x:v>2</x:v>
      </x:c>
      <x:c r="D182" s="42" t="n">
        <x:f>C182-1</x:f>
        <x:v>1</x:v>
      </x:c>
      <x:c r="E182" s="42" t="n">
        <x:f>IF(F182="需拆分后合并",0,C182-1)</x:f>
        <x:v>1</x:v>
      </x:c>
      <x:c r="F182" s="39" t="str">
        <x:v>可直接合并</x:v>
      </x:c>
      <x:c r="G182" s="39" t="str">
        <x:v>汽车标定工程师</x:v>
      </x:c>
      <x:c r="H182" s="39" t="str">
        <x:v>2-02-07-11</x:v>
      </x:c>
      <x:c r="I182" s="39" t="str">
        <x:v>汽车工程技术人员</x:v>
      </x:c>
      <x:c r="J182" s="39" t="str">
        <x:v>汽车 &gt; 汽车制造 &gt; 汽车标定工程师；汽车 &gt; 汽车研发设计 &gt; 汽车标定工程师</x:v>
      </x:c>
      <x:c r="K182" s="39" t="str">
        <x:v>IC-L3-719；IC-L3-736</x:v>
      </x:c>
      <x:c r="L182" s="39" t="str">
        <x:v>568；585</x:v>
      </x:c>
      <x:c r="M182" s="68" t="n">
        <x:v>0.108</x:v>
      </x:c>
      <x:c r="N182" s="68" t="n">
        <x:v>0.054</x:v>
      </x:c>
      <x:c r="O182" s="39" t="str">
        <x:v>岗位名称完全一致且职业分类一致；建议保留一个标准岗位，原记录转为来源/产业关联。</x:v>
      </x:c>
    </x:row>
    <x:row r="183" ht="44" customHeight="1">
      <x:c r="A183" s="65" t="n">
        <x:v>182</x:v>
      </x:c>
      <x:c r="B183" s="39" t="str">
        <x:v>汽车服务顾问</x:v>
      </x:c>
      <x:c r="C183" s="42" t="n">
        <x:v>2</x:v>
      </x:c>
      <x:c r="D183" s="42" t="n">
        <x:f>C183-1</x:f>
        <x:v>1</x:v>
      </x:c>
      <x:c r="E183" s="42" t="n">
        <x:f>IF(F183="需拆分后合并",0,C183-1)</x:f>
        <x:v>1</x:v>
      </x:c>
      <x:c r="F183" s="39" t="str">
        <x:v>可直接合并</x:v>
      </x:c>
      <x:c r="G183" s="39" t="str">
        <x:v>汽车服务顾问</x:v>
      </x:c>
      <x:c r="H183" s="39" t="str">
        <x:v>2-02-07-11</x:v>
      </x:c>
      <x:c r="I183" s="39" t="str">
        <x:v>汽车工程技术人员</x:v>
      </x:c>
      <x:c r="J183" s="39" t="str">
        <x:v>销售/客服 &gt; 汽车销售 &gt; 汽车服务顾问；汽车 &gt; 汽车销售与服务 &gt; 汽车服务顾问</x:v>
      </x:c>
      <x:c r="K183" s="39" t="str">
        <x:v>IC-L3-432；IC-L3-753</x:v>
      </x:c>
      <x:c r="L183" s="39" t="str">
        <x:v>281；602</x:v>
      </x:c>
      <x:c r="M183" s="68" t="n">
        <x:v>0.264</x:v>
      </x:c>
      <x:c r="N183" s="68" t="n">
        <x:v>0.196</x:v>
      </x:c>
      <x:c r="O183" s="39" t="str">
        <x:v>岗位名称完全一致且职业分类一致；建议保留一个标准岗位，原记录转为来源/产业关联。</x:v>
      </x:c>
    </x:row>
    <x:row r="184" ht="44" customHeight="1">
      <x:c r="A184" s="65" t="n">
        <x:v>183</x:v>
      </x:c>
      <x:c r="B184" s="39" t="str">
        <x:v>汽车结构工程师</x:v>
      </x:c>
      <x:c r="C184" s="42" t="n">
        <x:v>2</x:v>
      </x:c>
      <x:c r="D184" s="42" t="n">
        <x:f>C184-1</x:f>
        <x:v>1</x:v>
      </x:c>
      <x:c r="E184" s="42" t="n">
        <x:f>IF(F184="需拆分后合并",0,C184-1)</x:f>
        <x:v>1</x:v>
      </x:c>
      <x:c r="F184" s="39" t="str">
        <x:v>可直接合并</x:v>
      </x:c>
      <x:c r="G184" s="39" t="str">
        <x:v>汽车结构工程师</x:v>
      </x:c>
      <x:c r="H184" s="39" t="str">
        <x:v>2-02-07-11</x:v>
      </x:c>
      <x:c r="I184" s="39" t="str">
        <x:v>汽车工程技术人员</x:v>
      </x:c>
      <x:c r="J184" s="39" t="str">
        <x:v>汽车 &gt; 汽车制造 &gt; 汽车结构工程师；汽车 &gt; 汽车研发设计 &gt; 汽车结构工程师</x:v>
      </x:c>
      <x:c r="K184" s="39" t="str">
        <x:v>IC-L3-721；IC-L3-738</x:v>
      </x:c>
      <x:c r="L184" s="39" t="str">
        <x:v>570；587</x:v>
      </x:c>
      <x:c r="M184" s="68" t="n">
        <x:v>0.128</x:v>
      </x:c>
      <x:c r="N184" s="68" t="n">
        <x:v>0.074</x:v>
      </x:c>
      <x:c r="O184" s="39" t="str">
        <x:v>岗位名称完全一致且职业分类一致；建议保留一个标准岗位，原记录转为来源/产业关联。</x:v>
      </x:c>
    </x:row>
    <x:row r="185" ht="44" customHeight="1">
      <x:c r="A185" s="65" t="n">
        <x:v>184</x:v>
      </x:c>
      <x:c r="B185" s="39" t="str">
        <x:v>汽车试验工程师</x:v>
      </x:c>
      <x:c r="C185" s="42" t="n">
        <x:v>2</x:v>
      </x:c>
      <x:c r="D185" s="42" t="n">
        <x:f>C185-1</x:f>
        <x:v>1</x:v>
      </x:c>
      <x:c r="E185" s="42" t="n">
        <x:f>IF(F185="需拆分后合并",0,C185-1)</x:f>
        <x:v>1</x:v>
      </x:c>
      <x:c r="F185" s="39" t="str">
        <x:v>可直接合并</x:v>
      </x:c>
      <x:c r="G185" s="39" t="str">
        <x:v>汽车试验工程师</x:v>
      </x:c>
      <x:c r="H185" s="39" t="str">
        <x:v>2-02-07-11</x:v>
      </x:c>
      <x:c r="I185" s="39" t="str">
        <x:v>汽车工程技术人员</x:v>
      </x:c>
      <x:c r="J185" s="39" t="str">
        <x:v>汽车 &gt; 汽车制造 &gt; 汽车试验工程师；汽车 &gt; 汽车研发设计 &gt; 汽车试验工程师</x:v>
      </x:c>
      <x:c r="K185" s="39" t="str">
        <x:v>IC-L3-718；IC-L3-740</x:v>
      </x:c>
      <x:c r="L185" s="39" t="str">
        <x:v>567；589</x:v>
      </x:c>
      <x:c r="M185" s="68" t="n">
        <x:v>0.079</x:v>
      </x:c>
      <x:c r="N185" s="68" t="n">
        <x:v>0.065</x:v>
      </x:c>
      <x:c r="O185" s="39" t="str">
        <x:v>岗位名称完全一致且职业分类一致；建议保留一个标准岗位，原记录转为来源/产业关联。</x:v>
      </x:c>
    </x:row>
    <x:row r="186" ht="44" customHeight="1">
      <x:c r="A186" s="65" t="n">
        <x:v>185</x:v>
      </x:c>
      <x:c r="B186" s="39" t="str">
        <x:v>汽车项目管理</x:v>
      </x:c>
      <x:c r="C186" s="42" t="n">
        <x:v>2</x:v>
      </x:c>
      <x:c r="D186" s="42" t="n">
        <x:f>C186-1</x:f>
        <x:v>1</x:v>
      </x:c>
      <x:c r="E186" s="42" t="n">
        <x:f>IF(F186="需拆分后合并",0,C186-1)</x:f>
        <x:v>1</x:v>
      </x:c>
      <x:c r="F186" s="39" t="str">
        <x:v>可直接合并</x:v>
      </x:c>
      <x:c r="G186" s="39" t="str">
        <x:v>汽车项目管理</x:v>
      </x:c>
      <x:c r="H186" s="39" t="str">
        <x:v>2-02-07-11</x:v>
      </x:c>
      <x:c r="I186" s="39" t="str">
        <x:v>汽车工程技术人员</x:v>
      </x:c>
      <x:c r="J186" s="39" t="str">
        <x:v>汽车 &gt; 汽车研发设计 &gt; 汽车项目管理；项目经理/管理 &gt; 项目经理/管理 &gt; 汽车项目管理</x:v>
      </x:c>
      <x:c r="K186" s="39" t="str">
        <x:v>IC-L3-741；IC-L3-1474</x:v>
      </x:c>
      <x:c r="L186" s="39" t="str">
        <x:v>590；1323</x:v>
      </x:c>
      <x:c r="M186" s="68" t="n">
        <x:v>0.243</x:v>
      </x:c>
      <x:c r="N186" s="68" t="n">
        <x:v>0.205</x:v>
      </x:c>
      <x:c r="O186" s="39" t="str">
        <x:v>岗位名称完全一致且职业分类一致；建议保留一个标准岗位，原记录转为来源/产业关联。</x:v>
      </x:c>
    </x:row>
    <x:row r="187" ht="44" customHeight="1">
      <x:c r="A187" s="65" t="n">
        <x:v>186</x:v>
      </x:c>
      <x:c r="B187" s="39" t="str">
        <x:v>汽车销售/经纪人</x:v>
      </x:c>
      <x:c r="C187" s="42" t="n">
        <x:v>2</x:v>
      </x:c>
      <x:c r="D187" s="42" t="n">
        <x:f>C187-1</x:f>
        <x:v>1</x:v>
      </x:c>
      <x:c r="E187" s="42" t="n">
        <x:f>IF(F187="需拆分后合并",0,C187-1)</x:f>
        <x:v>1</x:v>
      </x:c>
      <x:c r="F187" s="39" t="str">
        <x:v>可直接合并</x:v>
      </x:c>
      <x:c r="G187" s="39" t="str">
        <x:v>汽车销售/经纪人</x:v>
      </x:c>
      <x:c r="H187" s="39" t="str">
        <x:v>2-02-07-11</x:v>
      </x:c>
      <x:c r="I187" s="39" t="str">
        <x:v>汽车工程技术人员</x:v>
      </x:c>
      <x:c r="J187" s="39" t="str">
        <x:v>销售/客服 &gt; 汽车销售 &gt; 汽车销售/经纪人；汽车 &gt; 汽车销售与服务 &gt; 汽车销售/经纪人</x:v>
      </x:c>
      <x:c r="K187" s="39" t="str">
        <x:v>IC-L3-433；IC-L3-760</x:v>
      </x:c>
      <x:c r="L187" s="39" t="str">
        <x:v>282；609</x:v>
      </x:c>
      <x:c r="M187" s="68" t="n">
        <x:v>0.262</x:v>
      </x:c>
      <x:c r="N187" s="68" t="n">
        <x:v>0.179</x:v>
      </x:c>
      <x:c r="O187" s="39" t="str">
        <x:v>岗位名称完全一致且职业分类一致；建议保留一个标准岗位，原记录转为来源/产业关联。</x:v>
      </x:c>
    </x:row>
    <x:row r="188" ht="44" customHeight="1">
      <x:c r="A188" s="65" t="n">
        <x:v>187</x:v>
      </x:c>
      <x:c r="B188" s="39" t="str">
        <x:v>汽车质量工程师</x:v>
      </x:c>
      <x:c r="C188" s="42" t="n">
        <x:v>2</x:v>
      </x:c>
      <x:c r="D188" s="42" t="n">
        <x:f>C188-1</x:f>
        <x:v>1</x:v>
      </x:c>
      <x:c r="E188" s="42" t="n">
        <x:f>IF(F188="需拆分后合并",0,C188-1)</x:f>
        <x:v>1</x:v>
      </x:c>
      <x:c r="F188" s="39" t="str">
        <x:v>可直接合并</x:v>
      </x:c>
      <x:c r="G188" s="39" t="str">
        <x:v>汽车质量工程师</x:v>
      </x:c>
      <x:c r="H188" s="39" t="str">
        <x:v>2-02-07-11</x:v>
      </x:c>
      <x:c r="I188" s="39" t="str">
        <x:v>汽车工程技术人员</x:v>
      </x:c>
      <x:c r="J188" s="39" t="str">
        <x:v>汽车 &gt; 汽车制造 &gt; 汽车质量工程师；生产制造 &gt; 质量管理 &gt; 汽车质量工程师</x:v>
      </x:c>
      <x:c r="K188" s="39" t="str">
        <x:v>IC-L3-714；IC-L3-893</x:v>
      </x:c>
      <x:c r="L188" s="39" t="str">
        <x:v>563；742</x:v>
      </x:c>
      <x:c r="M188" s="68" t="n">
        <x:v>0.227</x:v>
      </x:c>
      <x:c r="N188" s="68" t="n">
        <x:v>0.212</x:v>
      </x:c>
      <x:c r="O188" s="39" t="str">
        <x:v>岗位名称完全一致且职业分类一致；建议保留一个标准岗位，原记录转为来源/产业关联。</x:v>
      </x:c>
    </x:row>
    <x:row r="189" ht="44" customHeight="1">
      <x:c r="A189" s="65" t="n">
        <x:v>188</x:v>
      </x:c>
      <x:c r="B189" s="39" t="str">
        <x:v>汽车装配工艺工程师</x:v>
      </x:c>
      <x:c r="C189" s="42" t="n">
        <x:v>2</x:v>
      </x:c>
      <x:c r="D189" s="42" t="n">
        <x:f>C189-1</x:f>
        <x:v>1</x:v>
      </x:c>
      <x:c r="E189" s="42" t="n">
        <x:f>IF(F189="需拆分后合并",0,C189-1)</x:f>
        <x:v>1</x:v>
      </x:c>
      <x:c r="F189" s="39" t="str">
        <x:v>可直接合并</x:v>
      </x:c>
      <x:c r="G189" s="39" t="str">
        <x:v>汽车装配工艺工程师</x:v>
      </x:c>
      <x:c r="H189" s="39" t="str">
        <x:v>2-02-07-11</x:v>
      </x:c>
      <x:c r="I189" s="39" t="str">
        <x:v>汽车工程技术人员</x:v>
      </x:c>
      <x:c r="J189" s="39" t="str">
        <x:v>汽车 &gt; 汽车制造 &gt; 汽车装配工艺工程师；汽车 &gt; 汽车销售与服务 &gt; 汽车装配工艺工程师</x:v>
      </x:c>
      <x:c r="K189" s="39" t="str">
        <x:v>IC-L3-713；IC-L3-764</x:v>
      </x:c>
      <x:c r="L189" s="39" t="str">
        <x:v>562；613</x:v>
      </x:c>
      <x:c r="M189" s="68" t="n">
        <x:v>0.106</x:v>
      </x:c>
      <x:c r="N189" s="68" t="n">
        <x:v>0.087</x:v>
      </x:c>
      <x:c r="O189" s="39" t="str">
        <x:v>岗位名称完全一致且职业分类一致；建议保留一个标准岗位，原记录转为来源/产业关联。</x:v>
      </x:c>
    </x:row>
    <x:row r="190" ht="44" customHeight="1">
      <x:c r="A190" s="65" t="n">
        <x:v>189</x:v>
      </x:c>
      <x:c r="B190" s="39" t="str">
        <x:v>签证专员</x:v>
      </x:c>
      <x:c r="C190" s="42" t="n">
        <x:v>2</x:v>
      </x:c>
      <x:c r="D190" s="42" t="n">
        <x:f>C190-1</x:f>
        <x:v>1</x:v>
      </x:c>
      <x:c r="E190" s="42" t="n">
        <x:f>IF(F190="需拆分后合并",0,C190-1)</x:f>
        <x:v>1</x:v>
      </x:c>
      <x:c r="F190" s="39" t="str">
        <x:v>可直接合并</x:v>
      </x:c>
      <x:c r="G190" s="39" t="str">
        <x:v>签证专员</x:v>
      </x:c>
      <x:c r="H190" s="39" t="str">
        <x:v>2-06-07-12</x:v>
      </x:c>
      <x:c r="I190" s="39" t="str">
        <x:v>报关人员</x:v>
      </x:c>
      <x:c r="J190" s="39" t="str">
        <x:v>生活服务/零售 &gt; 服务员 &gt; 签证专员；酒店/旅游 &gt; 旅游 &gt; 签证专员</x:v>
      </x:c>
      <x:c r="K190" s="39" t="str">
        <x:v>IC-L3-966；IC-L3-1371</x:v>
      </x:c>
      <x:c r="L190" s="39" t="str">
        <x:v>815；1220</x:v>
      </x:c>
      <x:c r="M190" s="68" t="n">
        <x:v>0.077</x:v>
      </x:c>
      <x:c r="N190" s="68" t="n">
        <x:v>0.078</x:v>
      </x:c>
      <x:c r="O190" s="39" t="str">
        <x:v>岗位名称完全一致且职业分类一致；建议保留一个标准岗位，原记录转为来源/产业关联。</x:v>
      </x:c>
    </x:row>
    <x:row r="191" ht="44" customHeight="1">
      <x:c r="A191" s="65" t="n">
        <x:v>190</x:v>
      </x:c>
      <x:c r="B191" s="39" t="str">
        <x:v>前期质量工程师</x:v>
      </x:c>
      <x:c r="C191" s="42" t="n">
        <x:v>2</x:v>
      </x:c>
      <x:c r="D191" s="42" t="n">
        <x:f>C191-1</x:f>
        <x:v>1</x:v>
      </x:c>
      <x:c r="E191" s="42" t="n">
        <x:f>IF(F191="需拆分后合并",0,C191-1)</x:f>
        <x:v>1</x:v>
      </x:c>
      <x:c r="F191" s="39" t="str">
        <x:v>可直接合并</x:v>
      </x:c>
      <x:c r="G191" s="39" t="str">
        <x:v>前期质量工程师</x:v>
      </x:c>
      <x:c r="H191" s="39" t="str">
        <x:v>2-02-29-03</x:v>
      </x:c>
      <x:c r="I191" s="39" t="str">
        <x:v>质量管理工程技术人员</x:v>
      </x:c>
      <x:c r="J191" s="39" t="str">
        <x:v>汽车 &gt; 汽车制造 &gt; 前期质量工程师；生产制造 &gt; 质量管理 &gt; 前期质量工程师</x:v>
      </x:c>
      <x:c r="K191" s="39" t="str">
        <x:v>IC-L3-710；IC-L3-886</x:v>
      </x:c>
      <x:c r="L191" s="39" t="str">
        <x:v>559；735</x:v>
      </x:c>
      <x:c r="M191" s="68" t="n">
        <x:v>0.191</x:v>
      </x:c>
      <x:c r="N191" s="68" t="n">
        <x:v>0.098</x:v>
      </x:c>
      <x:c r="O191" s="39" t="str">
        <x:v>岗位名称完全一致且职业分类一致；建议保留一个标准岗位，原记录转为来源/产业关联。</x:v>
      </x:c>
    </x:row>
    <x:row r="192" ht="44" customHeight="1">
      <x:c r="A192" s="65" t="n">
        <x:v>191</x:v>
      </x:c>
      <x:c r="B192" s="39" t="str">
        <x:v>前台接待/总机/接待生</x:v>
      </x:c>
      <x:c r="C192" s="42" t="n">
        <x:v>2</x:v>
      </x:c>
      <x:c r="D192" s="42" t="n">
        <x:f>C192-1</x:f>
        <x:v>1</x:v>
      </x:c>
      <x:c r="E192" s="42" t="n">
        <x:f>IF(F192="需拆分后合并",0,C192-1)</x:f>
        <x:v>1</x:v>
      </x:c>
      <x:c r="F192" s="39" t="str">
        <x:v>条件合并（先修分类）</x:v>
      </x:c>
      <x:c r="G192" s="39" t="str">
        <x:v>前台接待/总机/接待生</x:v>
      </x:c>
      <x:c r="H192" s="39" t="str">
        <x:v>3-01-02-01；3-01-02-02</x:v>
      </x:c>
      <x:c r="I192" s="39" t="str">
        <x:v>机要员；秘书</x:v>
      </x:c>
      <x:c r="J192" s="39" t="str">
        <x:v>人事/行政 &gt; 行政/后勤 &gt; 前台接待/总机/接待生；销售/客服 &gt; 销售行政及商务 &gt; 前台接待/总机/接待生</x:v>
      </x:c>
      <x:c r="K192" s="39" t="str">
        <x:v>IC-L3-300；IC-L3-469</x:v>
      </x:c>
      <x:c r="L192" s="39" t="str">
        <x:v>149；318</x:v>
      </x:c>
      <x:c r="M192" s="68" t="n">
        <x:v>0.101</x:v>
      </x:c>
      <x:c r="N192" s="68" t="n">
        <x:v>0.069</x:v>
      </x:c>
      <x:c r="O192" s="39" t="str">
        <x:v>岗位名称完全一致，但职业分类存在冲突；优先核对并修正分类，再合并标准岗位，来源产业关系必须保留。</x:v>
      </x:c>
    </x:row>
    <x:row r="193" ht="44" customHeight="1">
      <x:c r="A193" s="65" t="n">
        <x:v>192</x:v>
      </x:c>
      <x:c r="B193" s="39" t="str">
        <x:v>钳工</x:v>
      </x:c>
      <x:c r="C193" s="42" t="n">
        <x:v>2</x:v>
      </x:c>
      <x:c r="D193" s="42" t="n">
        <x:f>C193-1</x:f>
        <x:v>1</x:v>
      </x:c>
      <x:c r="E193" s="42" t="n">
        <x:f>IF(F193="需拆分后合并",0,C193-1)</x:f>
        <x:v>1</x:v>
      </x:c>
      <x:c r="F193" s="39" t="str">
        <x:v>可直接合并</x:v>
      </x:c>
      <x:c r="G193" s="39" t="str">
        <x:v>钳工</x:v>
      </x:c>
      <x:c r="H193" s="39" t="str">
        <x:v>6-31-01-01</x:v>
      </x:c>
      <x:c r="I193" s="39" t="str">
        <x:v>设备点检员</x:v>
      </x:c>
      <x:c r="J193" s="39" t="str">
        <x:v>生产制造 &gt; 技工 &gt; 钳工；生产制造 &gt; 机械加工 &gt; 钳工</x:v>
      </x:c>
      <x:c r="K193" s="39" t="str">
        <x:v>IC-L3-823；IC-L3-858</x:v>
      </x:c>
      <x:c r="L193" s="39" t="str">
        <x:v>672；707</x:v>
      </x:c>
      <x:c r="M193" s="68" t="n">
        <x:v>0.063</x:v>
      </x:c>
      <x:c r="N193" s="68" t="n">
        <x:v>0.08</x:v>
      </x:c>
      <x:c r="O193" s="39" t="str">
        <x:v>岗位名称完全一致且职业分类一致；建议保留一个标准岗位，原记录转为来源/产业关联。</x:v>
      </x:c>
    </x:row>
    <x:row r="194" ht="44" customHeight="1">
      <x:c r="A194" s="65" t="n">
        <x:v>193</x:v>
      </x:c>
      <x:c r="B194" s="39" t="str">
        <x:v>嵌入式硬件开发</x:v>
      </x:c>
      <x:c r="C194" s="42" t="n">
        <x:v>2</x:v>
      </x:c>
      <x:c r="D194" s="42" t="n">
        <x:f>C194-1</x:f>
        <x:v>1</x:v>
      </x:c>
      <x:c r="E194" s="42" t="n">
        <x:f>IF(F194="需拆分后合并",0,C194-1)</x:f>
        <x:v>1</x:v>
      </x:c>
      <x:c r="F194" s="39" t="str">
        <x:v>可直接合并</x:v>
      </x:c>
      <x:c r="G194" s="39" t="str">
        <x:v>嵌入式硬件开发</x:v>
      </x:c>
      <x:c r="H194" s="39" t="str">
        <x:v>2-02-10-03</x:v>
      </x:c>
      <x:c r="I194" s="39" t="str">
        <x:v>计算机软件工程技术人员</x:v>
      </x:c>
      <x:c r="J194" s="39" t="str">
        <x:v>通信/电子 &gt; 电子/电器/仪器仪表 &gt; 嵌入式硬件开发；通信/电子 &gt; 硬件开发 &gt; 嵌入式硬件开发</x:v>
      </x:c>
      <x:c r="K194" s="39" t="str">
        <x:v>IC-L3-1304；IC-L3-1332</x:v>
      </x:c>
      <x:c r="L194" s="39" t="str">
        <x:v>1153；1181</x:v>
      </x:c>
      <x:c r="M194" s="68" t="n">
        <x:v>0.263</x:v>
      </x:c>
      <x:c r="N194" s="68" t="n">
        <x:v>0.192</x:v>
      </x:c>
      <x:c r="O194" s="39" t="str">
        <x:v>岗位名称完全一致且职业分类一致；建议保留一个标准岗位，原记录转为来源/产业关联。</x:v>
      </x:c>
    </x:row>
    <x:row r="195" ht="44" customHeight="1">
      <x:c r="A195" s="65" t="n">
        <x:v>194</x:v>
      </x:c>
      <x:c r="B195" s="39" t="str">
        <x:v>区域销售经理</x:v>
      </x:c>
      <x:c r="C195" s="42" t="n">
        <x:v>2</x:v>
      </x:c>
      <x:c r="D195" s="42" t="n">
        <x:f>C195-1</x:f>
        <x:v>1</x:v>
      </x:c>
      <x:c r="E195" s="42" t="n">
        <x:f>IF(F195="需拆分后合并",0,C195-1)</x:f>
        <x:v>1</x:v>
      </x:c>
      <x:c r="F195" s="39" t="str">
        <x:v>可直接合并</x:v>
      </x:c>
      <x:c r="G195" s="39" t="str">
        <x:v>区域销售经理</x:v>
      </x:c>
      <x:c r="H195" s="39" t="str">
        <x:v>4-01-02-01</x:v>
      </x:c>
      <x:c r="I195" s="39" t="str">
        <x:v>营销员</x:v>
      </x:c>
      <x:c r="J195" s="39" t="str">
        <x:v>销售/客服 &gt; 销售人员 &gt; 区域销售经理；销售/客服 &gt; 销售高级管理 &gt; 区域销售经理</x:v>
      </x:c>
      <x:c r="K195" s="39" t="str">
        <x:v>IC-L3-448；IC-L3-474</x:v>
      </x:c>
      <x:c r="L195" s="39" t="str">
        <x:v>297；323</x:v>
      </x:c>
      <x:c r="M195" s="68" t="n">
        <x:v>0.125</x:v>
      </x:c>
      <x:c r="N195" s="68" t="n">
        <x:v>0.08</x:v>
      </x:c>
      <x:c r="O195" s="39" t="str">
        <x:v>岗位名称完全一致且职业分类一致；建议保留一个标准岗位，原记录转为来源/产业关联。</x:v>
      </x:c>
    </x:row>
    <x:row r="196" ht="44" customHeight="1">
      <x:c r="A196" s="65" t="n">
        <x:v>195</x:v>
      </x:c>
      <x:c r="B196" s="39" t="str">
        <x:v>全栈工程师</x:v>
      </x:c>
      <x:c r="C196" s="42" t="n">
        <x:v>2</x:v>
      </x:c>
      <x:c r="D196" s="42" t="n">
        <x:f>C196-1</x:f>
        <x:v>1</x:v>
      </x:c>
      <x:c r="E196" s="42" t="n">
        <x:f>IF(F196="需拆分后合并",0,C196-1)</x:f>
        <x:v>1</x:v>
      </x:c>
      <x:c r="F196" s="39" t="str">
        <x:v>条件合并（先修分类）</x:v>
      </x:c>
      <x:c r="G196" s="39" t="str">
        <x:v>全栈工程师</x:v>
      </x:c>
      <x:c r="H196" s="39" t="str">
        <x:v>2-02-10-03；2-02-09-02</x:v>
      </x:c>
      <x:c r="I196" s="39" t="str">
        <x:v>计算机软件工程技术人员；电子元器件工程技术人员</x:v>
      </x:c>
      <x:c r="J196" s="39" t="str">
        <x:v>互联网技术 &gt; 后端开发 &gt; 全栈工程师；通信/电子 &gt; 硬件开发 &gt; 全栈工程师</x:v>
      </x:c>
      <x:c r="K196" s="39" t="str">
        <x:v>IC-L3-175；IC-L3-1339</x:v>
      </x:c>
      <x:c r="L196" s="39" t="str">
        <x:v>24；1188</x:v>
      </x:c>
      <x:c r="M196" s="68" t="n">
        <x:v>0.073</x:v>
      </x:c>
      <x:c r="N196" s="68" t="n">
        <x:v>0.071</x:v>
      </x:c>
      <x:c r="O196" s="39" t="str">
        <x:v>岗位名称完全一致，但职业分类存在冲突；优先核对并修正分类，再合并标准岗位，来源产业关系必须保留。</x:v>
      </x:c>
    </x:row>
    <x:row r="197" ht="44" customHeight="1">
      <x:c r="A197" s="65" t="n">
        <x:v>196</x:v>
      </x:c>
      <x:c r="B197" s="39" t="str">
        <x:v>热能工程师</x:v>
      </x:c>
      <x:c r="C197" s="42" t="n">
        <x:v>2</x:v>
      </x:c>
      <x:c r="D197" s="42" t="n">
        <x:f>C197-1</x:f>
        <x:v>1</x:v>
      </x:c>
      <x:c r="E197" s="42" t="n">
        <x:f>IF(F197="需拆分后合并",0,C197-1)</x:f>
        <x:v>1</x:v>
      </x:c>
      <x:c r="F197" s="39" t="str">
        <x:v>条件合并（先修分类）</x:v>
      </x:c>
      <x:c r="G197" s="39" t="str">
        <x:v>热能工程师</x:v>
      </x:c>
      <x:c r="H197" s="39" t="str">
        <x:v>2-02-07-01；2-02-38-05</x:v>
      </x:c>
      <x:c r="I197" s="39" t="str">
        <x:v>机械设计工程技术人员；智能制造工程技术人员</x:v>
      </x:c>
      <x:c r="J197" s="39" t="str">
        <x:v>生产制造 &gt; 工程/机械 &gt; 热能工程师；能源/环保/化工 &gt; 能源 &gt; 热能工程师</x:v>
      </x:c>
      <x:c r="K197" s="39" t="str">
        <x:v>IC-L3-799；IC-L3-1101</x:v>
      </x:c>
      <x:c r="L197" s="39" t="str">
        <x:v>648；950</x:v>
      </x:c>
      <x:c r="M197" s="68" t="n">
        <x:v>0.079</x:v>
      </x:c>
      <x:c r="N197" s="68" t="n">
        <x:v>0.041</x:v>
      </x:c>
      <x:c r="O197" s="39" t="str">
        <x:v>岗位名称完全一致，但职业分类存在冲突；优先核对并修正分类，再合并标准岗位，来源产业关系必须保留。</x:v>
      </x:c>
    </x:row>
    <x:row r="198" ht="44" customHeight="1">
      <x:c r="A198" s="65" t="n">
        <x:v>197</x:v>
      </x:c>
      <x:c r="B198" s="39" t="str">
        <x:v>认证工程师</x:v>
      </x:c>
      <x:c r="C198" s="42" t="n">
        <x:v>2</x:v>
      </x:c>
      <x:c r="D198" s="42" t="n">
        <x:f>C198-1</x:f>
        <x:v>1</x:v>
      </x:c>
      <x:c r="E198" s="42" t="n">
        <x:f>IF(F198="需拆分后合并",0,C198-1)</x:f>
        <x:v>1</x:v>
      </x:c>
      <x:c r="F198" s="39" t="str">
        <x:v>可直接合并</x:v>
      </x:c>
      <x:c r="G198" s="39" t="str">
        <x:v>认证工程师</x:v>
      </x:c>
      <x:c r="H198" s="39" t="str">
        <x:v>2-02-29-04</x:v>
      </x:c>
      <x:c r="I198" s="39" t="str">
        <x:v>质量认证认可工程技术人员</x:v>
      </x:c>
      <x:c r="J198" s="39" t="str">
        <x:v>生产制造 &gt; 质量管理 &gt; 认证工程师；生活服务/零售 &gt; 服务员 &gt; 认证工程师</x:v>
      </x:c>
      <x:c r="K198" s="39" t="str">
        <x:v>IC-L3-896；IC-L3-986</x:v>
      </x:c>
      <x:c r="L198" s="39" t="str">
        <x:v>745；835</x:v>
      </x:c>
      <x:c r="M198" s="68" t="n">
        <x:v>0.063</x:v>
      </x:c>
      <x:c r="N198" s="68" t="n">
        <x:v>0.039</x:v>
      </x:c>
      <x:c r="O198" s="39" t="str">
        <x:v>岗位名称完全一致且职业分类一致；建议保留一个标准岗位，原记录转为来源/产业关联。</x:v>
      </x:c>
    </x:row>
    <x:row r="199" ht="44" customHeight="1">
      <x:c r="A199" s="65" t="n">
        <x:v>198</x:v>
      </x:c>
      <x:c r="B199" s="39" t="str">
        <x:v>日语翻译</x:v>
      </x:c>
      <x:c r="C199" s="42" t="n">
        <x:v>2</x:v>
      </x:c>
      <x:c r="D199" s="42" t="n">
        <x:f>C199-1</x:f>
        <x:v>1</x:v>
      </x:c>
      <x:c r="E199" s="42" t="n">
        <x:f>IF(F199="需拆分后合并",0,C199-1)</x:f>
        <x:v>1</x:v>
      </x:c>
      <x:c r="F199" s="39" t="str">
        <x:v>条件合并（先修分类）</x:v>
      </x:c>
      <x:c r="G199" s="39" t="str">
        <x:v>日语翻译</x:v>
      </x:c>
      <x:c r="H199" s="39" t="str">
        <x:v>2-10-05-00；2-08-02-01</x:v>
      </x:c>
      <x:c r="I199" s="39" t="str">
        <x:v>翻译；高级中学教师</x:v>
      </x:c>
      <x:c r="J199" s="39" t="str">
        <x:v>咨询/法律/翻译 &gt; 翻译 &gt; 日语翻译；科研/教育/培训 &gt; 特长教育/培训 &gt; 日语翻译</x:v>
      </x:c>
      <x:c r="K199" s="39" t="str">
        <x:v>IC-L3-510；IC-L3-1064</x:v>
      </x:c>
      <x:c r="L199" s="39" t="str">
        <x:v>359；913</x:v>
      </x:c>
      <x:c r="M199" s="68" t="n">
        <x:v>0.083</x:v>
      </x:c>
      <x:c r="N199" s="68" t="n">
        <x:v>0.037</x:v>
      </x:c>
      <x:c r="O199" s="39" t="str">
        <x:v>岗位名称完全一致，但职业分类存在冲突；优先核对并修正分类，再合并标准岗位，来源产业关系必须保留。</x:v>
      </x:c>
    </x:row>
    <x:row r="200" ht="44" customHeight="1">
      <x:c r="A200" s="65" t="n">
        <x:v>199</x:v>
      </x:c>
      <x:c r="B200" s="39" t="str">
        <x:v>软件测试</x:v>
      </x:c>
      <x:c r="C200" s="42" t="n">
        <x:v>2</x:v>
      </x:c>
      <x:c r="D200" s="42" t="n">
        <x:f>C200-1</x:f>
        <x:v>1</x:v>
      </x:c>
      <x:c r="E200" s="42" t="n">
        <x:f>IF(F200="需拆分后合并",0,C200-1)</x:f>
        <x:v>1</x:v>
      </x:c>
      <x:c r="F200" s="39" t="str">
        <x:v>条件合并（先修分类）</x:v>
      </x:c>
      <x:c r="G200" s="39" t="str">
        <x:v>软件测试</x:v>
      </x:c>
      <x:c r="H200" s="39" t="str">
        <x:v>4-04-05-02；4-04-05-01</x:v>
      </x:c>
      <x:c r="I200" s="39" t="str">
        <x:v>计算机软件测试员；计算机程序设计员</x:v>
      </x:c>
      <x:c r="J200" s="39" t="str">
        <x:v>互联网技术 &gt; 测试 &gt; 软件测试；互联网技术 &gt; 运维/技术支持 &gt; 软件测试</x:v>
      </x:c>
      <x:c r="K200" s="39" t="str">
        <x:v>IC-L3-215；IC-L3-233</x:v>
      </x:c>
      <x:c r="L200" s="39" t="str">
        <x:v>64；82</x:v>
      </x:c>
      <x:c r="M200" s="68" t="n">
        <x:v>0.102</x:v>
      </x:c>
      <x:c r="N200" s="68" t="n">
        <x:v>0.056</x:v>
      </x:c>
      <x:c r="O200" s="39" t="str">
        <x:v>岗位名称完全一致，但职业分类存在冲突；优先核对并修正分类，再合并标准岗位，来源产业关系必须保留。</x:v>
      </x:c>
    </x:row>
    <x:row r="201" ht="44" customHeight="1">
      <x:c r="A201" s="65" t="n">
        <x:v>200</x:v>
      </x:c>
      <x:c r="B201" s="39" t="str">
        <x:v>软装设计</x:v>
      </x:c>
      <x:c r="C201" s="42" t="n">
        <x:v>2</x:v>
      </x:c>
      <x:c r="D201" s="42" t="n">
        <x:f>C201-1</x:f>
        <x:v>1</x:v>
      </x:c>
      <x:c r="E201" s="42" t="n">
        <x:f>IF(F201="需拆分后合并",0,C201-1)</x:f>
        <x:v>1</x:v>
      </x:c>
      <x:c r="F201" s="39" t="str">
        <x:v>条件合并（先修分类）</x:v>
      </x:c>
      <x:c r="G201" s="39" t="str">
        <x:v>软装设计</x:v>
      </x:c>
      <x:c r="H201" s="39" t="str">
        <x:v>2-02-18-01；2-09-06-01</x:v>
      </x:c>
      <x:c r="I201" s="39" t="str">
        <x:v>建筑和市政设计工程技术人员；视觉传达设计人员</x:v>
      </x:c>
      <x:c r="J201" s="39" t="str">
        <x:v>建筑/房地产 &gt; 建筑规划与设计 &gt; 软装设计；设计 &gt; 建筑/室内设计 &gt; 软装设计</x:v>
      </x:c>
      <x:c r="K201" s="39" t="str">
        <x:v>IC-L3-622；IC-L3-1163</x:v>
      </x:c>
      <x:c r="L201" s="39" t="str">
        <x:v>471；1012</x:v>
      </x:c>
      <x:c r="M201" s="68" t="n">
        <x:v>0.158</x:v>
      </x:c>
      <x:c r="N201" s="68" t="n">
        <x:v>1</x:v>
      </x:c>
      <x:c r="O201" s="39" t="str">
        <x:v>岗位名称完全一致，但职业分类存在冲突；优先核对并修正分类，再合并标准岗位，来源产业关系必须保留。</x:v>
      </x:c>
    </x:row>
    <x:row r="202" ht="44" customHeight="1">
      <x:c r="A202" s="65" t="n">
        <x:v>201</x:v>
      </x:c>
      <x:c r="B202" s="39" t="str">
        <x:v>奢侈品业务</x:v>
      </x:c>
      <x:c r="C202" s="42" t="n">
        <x:v>2</x:v>
      </x:c>
      <x:c r="D202" s="42" t="n">
        <x:f>C202-1</x:f>
        <x:v>1</x:v>
      </x:c>
      <x:c r="E202" s="42" t="n">
        <x:f>IF(F202="需拆分后合并",0,C202-1)</x:f>
        <x:v>1</x:v>
      </x:c>
      <x:c r="F202" s="39" t="str">
        <x:v>可直接合并</x:v>
      </x:c>
      <x:c r="G202" s="39" t="str">
        <x:v>奢侈品业务</x:v>
      </x:c>
      <x:c r="H202" s="39" t="str">
        <x:v>4-01-02-01</x:v>
      </x:c>
      <x:c r="I202" s="39" t="str">
        <x:v>营销员</x:v>
      </x:c>
      <x:c r="J202" s="39" t="str">
        <x:v>销售/客服 &gt; 服务业销售 &gt; 奢侈品业务；生活服务/零售 &gt; 零售 &gt; 奢侈品业务</x:v>
      </x:c>
      <x:c r="K202" s="39" t="str">
        <x:v>IC-L3-427；IC-L3-1006</x:v>
      </x:c>
      <x:c r="L202" s="39" t="str">
        <x:v>276；855</x:v>
      </x:c>
      <x:c r="M202" s="68" t="n">
        <x:v>0.204</x:v>
      </x:c>
      <x:c r="N202" s="68" t="n">
        <x:v>0.064</x:v>
      </x:c>
      <x:c r="O202" s="39" t="str">
        <x:v>岗位名称完全一致且职业分类一致；建议保留一个标准岗位，原记录转为来源/产业关联。</x:v>
      </x:c>
    </x:row>
    <x:row r="203" ht="44" customHeight="1">
      <x:c r="A203" s="65" t="n">
        <x:v>202</x:v>
      </x:c>
      <x:c r="B203" s="39" t="str">
        <x:v>施工员</x:v>
      </x:c>
      <x:c r="C203" s="42" t="n">
        <x:v>2</x:v>
      </x:c>
      <x:c r="D203" s="42" t="n">
        <x:f>C203-1</x:f>
        <x:v>1</x:v>
      </x:c>
      <x:c r="E203" s="42" t="n">
        <x:f>IF(F203="需拆分后合并",0,C203-1)</x:f>
        <x:v>1</x:v>
      </x:c>
      <x:c r="F203" s="39" t="str">
        <x:v>条件合并（先修分类）</x:v>
      </x:c>
      <x:c r="G203" s="39" t="str">
        <x:v>施工员</x:v>
      </x:c>
      <x:c r="H203" s="39" t="str">
        <x:v>6-29-01-01；2-02-18-01</x:v>
      </x:c>
      <x:c r="I203" s="39" t="str">
        <x:v>砌筑工；建筑和市政设计工程技术人员</x:v>
      </x:c>
      <x:c r="J203" s="39" t="str">
        <x:v>建筑/房地产 &gt; 建筑/装修工人 &gt; 施工员；建筑/房地产 &gt; 建筑工程 &gt; 施工员</x:v>
      </x:c>
      <x:c r="K203" s="39" t="str">
        <x:v>IC-L3-574；IC-L3-593</x:v>
      </x:c>
      <x:c r="L203" s="39" t="str">
        <x:v>423；442</x:v>
      </x:c>
      <x:c r="M203" s="68" t="n">
        <x:v>0.091</x:v>
      </x:c>
      <x:c r="N203" s="68" t="n">
        <x:v>0.059</x:v>
      </x:c>
      <x:c r="O203" s="39" t="str">
        <x:v>岗位名称完全一致，但职业分类存在冲突；优先核对并修正分类，再合并标准岗位，来源产业关系必须保留。</x:v>
      </x:c>
    </x:row>
    <x:row r="204" ht="44" customHeight="1">
      <x:c r="A204" s="65" t="n">
        <x:v>203</x:v>
      </x:c>
      <x:c r="B204" s="39" t="str">
        <x:v>室内设计</x:v>
      </x:c>
      <x:c r="C204" s="42" t="n">
        <x:v>2</x:v>
      </x:c>
      <x:c r="D204" s="42" t="n">
        <x:f>C204-1</x:f>
        <x:v>1</x:v>
      </x:c>
      <x:c r="E204" s="42" t="n">
        <x:f>IF(F204="需拆分后合并",0,C204-1)</x:f>
        <x:v>1</x:v>
      </x:c>
      <x:c r="F204" s="39" t="str">
        <x:v>条件合并（先修分类）</x:v>
      </x:c>
      <x:c r="G204" s="39" t="str">
        <x:v>室内设计</x:v>
      </x:c>
      <x:c r="H204" s="39" t="str">
        <x:v>2-02-18-01；2-09-06-01</x:v>
      </x:c>
      <x:c r="I204" s="39" t="str">
        <x:v>建筑和市政设计工程技术人员；视觉传达设计人员</x:v>
      </x:c>
      <x:c r="J204" s="39" t="str">
        <x:v>建筑/房地产 &gt; 建筑规划与设计 &gt; 室内设计；设计 &gt; 建筑/室内设计 &gt; 室内设计</x:v>
      </x:c>
      <x:c r="K204" s="39" t="str">
        <x:v>IC-L3-609；IC-L3-1148</x:v>
      </x:c>
      <x:c r="L204" s="39" t="str">
        <x:v>458；997</x:v>
      </x:c>
      <x:c r="M204" s="68" t="n">
        <x:v>0.169</x:v>
      </x:c>
      <x:c r="N204" s="68" t="n">
        <x:v>0.175</x:v>
      </x:c>
      <x:c r="O204" s="39" t="str">
        <x:v>岗位名称完全一致，但职业分类存在冲突；优先核对并修正分类，再合并标准岗位，来源产业关系必须保留。</x:v>
      </x:c>
    </x:row>
    <x:row r="205" ht="44" customHeight="1">
      <x:c r="A205" s="65" t="n">
        <x:v>204</x:v>
      </x:c>
      <x:c r="B205" s="39" t="str">
        <x:v>室内设计师助理</x:v>
      </x:c>
      <x:c r="C205" s="42" t="n">
        <x:v>2</x:v>
      </x:c>
      <x:c r="D205" s="42" t="n">
        <x:f>C205-1</x:f>
        <x:v>1</x:v>
      </x:c>
      <x:c r="E205" s="42" t="n">
        <x:f>IF(F205="需拆分后合并",0,C205-1)</x:f>
        <x:v>1</x:v>
      </x:c>
      <x:c r="F205" s="39" t="str">
        <x:v>条件合并（先修分类）</x:v>
      </x:c>
      <x:c r="G205" s="39" t="str">
        <x:v>室内设计师助理</x:v>
      </x:c>
      <x:c r="H205" s="39" t="str">
        <x:v>2-02-18-01；2-09-06-01</x:v>
      </x:c>
      <x:c r="I205" s="39" t="str">
        <x:v>建筑和市政设计工程技术人员；视觉传达设计人员</x:v>
      </x:c>
      <x:c r="J205" s="39" t="str">
        <x:v>建筑/房地产 &gt; 建筑规划与设计 &gt; 室内设计师助理；设计 &gt; 建筑/室内设计 &gt; 室内设计师助理</x:v>
      </x:c>
      <x:c r="K205" s="39" t="str">
        <x:v>IC-L3-610；IC-L3-1149</x:v>
      </x:c>
      <x:c r="L205" s="39" t="str">
        <x:v>459；998</x:v>
      </x:c>
      <x:c r="M205" s="68" t="n">
        <x:v>0.154</x:v>
      </x:c>
      <x:c r="N205" s="68" t="n">
        <x:v>0.121</x:v>
      </x:c>
      <x:c r="O205" s="39" t="str">
        <x:v>岗位名称完全一致，但职业分类存在冲突；优先核对并修正分类，再合并标准岗位，来源产业关系必须保留。</x:v>
      </x:c>
    </x:row>
    <x:row r="206" ht="44" customHeight="1">
      <x:c r="A206" s="65" t="n">
        <x:v>205</x:v>
      </x:c>
      <x:c r="B206" s="39" t="str">
        <x:v>首席产品官CPO</x:v>
      </x:c>
      <x:c r="C206" s="42" t="n">
        <x:v>2</x:v>
      </x:c>
      <x:c r="D206" s="42" t="n">
        <x:f>C206-1</x:f>
        <x:v>1</x:v>
      </x:c>
      <x:c r="E206" s="42" t="n">
        <x:f>IF(F206="需拆分后合并",0,C206-1)</x:f>
        <x:v>1</x:v>
      </x:c>
      <x:c r="F206" s="39" t="str">
        <x:v>条件合并（先修分类）</x:v>
      </x:c>
      <x:c r="G206" s="39" t="str">
        <x:v>首席产品官CPO</x:v>
      </x:c>
      <x:c r="H206" s="39" t="str">
        <x:v>2-06-07-03；1-06-01-01</x:v>
      </x:c>
      <x:c r="I206" s="39" t="str">
        <x:v>商务策划专业人员；企业董事</x:v>
      </x:c>
      <x:c r="J206" s="39" t="str">
        <x:v>产品 &gt; 高级产品管理 &gt; 首席产品官CPO；高级管理 &gt; 高级管理 &gt; 首席产品官CPO</x:v>
      </x:c>
      <x:c r="K206" s="39" t="str">
        <x:v>IC-L3-279；IC-L3-1503</x:v>
      </x:c>
      <x:c r="L206" s="39" t="str">
        <x:v>128；1352</x:v>
      </x:c>
      <x:c r="M206" s="68" t="n">
        <x:v>0.227</x:v>
      </x:c>
      <x:c r="N206" s="68" t="n">
        <x:v>0.16</x:v>
      </x:c>
      <x:c r="O206" s="39" t="str">
        <x:v>岗位名称完全一致，但职业分类存在冲突；优先核对并修正分类，再合并标准岗位，来源产业关系必须保留。</x:v>
      </x:c>
    </x:row>
    <x:row r="207" ht="44" customHeight="1">
      <x:c r="A207" s="65" t="n">
        <x:v>206</x:v>
      </x:c>
      <x:c r="B207" s="39" t="str">
        <x:v>首席运营官COO</x:v>
      </x:c>
      <x:c r="C207" s="42" t="n">
        <x:v>2</x:v>
      </x:c>
      <x:c r="D207" s="42" t="n">
        <x:f>C207-1</x:f>
        <x:v>1</x:v>
      </x:c>
      <x:c r="E207" s="42" t="n">
        <x:f>IF(F207="需拆分后合并",0,C207-1)</x:f>
        <x:v>1</x:v>
      </x:c>
      <x:c r="F207" s="39" t="str">
        <x:v>条件合并（先修分类）</x:v>
      </x:c>
      <x:c r="G207" s="39" t="str">
        <x:v>首席运营官COO</x:v>
      </x:c>
      <x:c r="H207" s="39" t="str">
        <x:v>2-06-07-01；1-06-01-01</x:v>
      </x:c>
      <x:c r="I207" s="39" t="str">
        <x:v>国际商务专业人员；企业董事</x:v>
      </x:c>
      <x:c r="J207" s="39" t="str">
        <x:v>运营 &gt; 高级运营管理 &gt; 首席运营官COO；高级管理 &gt; 高级管理 &gt; 首席运营官COO</x:v>
      </x:c>
      <x:c r="K207" s="39" t="str">
        <x:v>IC-L3-1263；IC-L3-1508</x:v>
      </x:c>
      <x:c r="L207" s="39" t="str">
        <x:v>1112；1357</x:v>
      </x:c>
      <x:c r="M207" s="68" t="n">
        <x:v>0.222</x:v>
      </x:c>
      <x:c r="N207" s="68" t="n">
        <x:v>0.166</x:v>
      </x:c>
      <x:c r="O207" s="39" t="str">
        <x:v>岗位名称完全一致，但职业分类存在冲突；优先核对并修正分类，再合并标准岗位，来源产业关系必须保留。</x:v>
      </x:c>
    </x:row>
    <x:row r="208" ht="44" customHeight="1">
      <x:c r="A208" s="65" t="n">
        <x:v>207</x:v>
      </x:c>
      <x:c r="B208" s="39" t="str">
        <x:v>售后服务/客户服务</x:v>
      </x:c>
      <x:c r="C208" s="42" t="n">
        <x:v>2</x:v>
      </x:c>
      <x:c r="D208" s="42" t="n">
        <x:f>C208-1</x:f>
        <x:v>1</x:v>
      </x:c>
      <x:c r="E208" s="42" t="n">
        <x:f>IF(F208="需拆分后合并",0,C208-1)</x:f>
        <x:v>1</x:v>
      </x:c>
      <x:c r="F208" s="39" t="str">
        <x:v>条件合并（先修分类）</x:v>
      </x:c>
      <x:c r="G208" s="39" t="str">
        <x:v>售后服务/客户服务</x:v>
      </x:c>
      <x:c r="H208" s="39" t="str">
        <x:v>4-02-02-01；4-02-04-01</x:v>
      </x:c>
      <x:c r="I208" s="39" t="str">
        <x:v>客运车辆驾驶员；民航乘务员</x:v>
      </x:c>
      <x:c r="J208" s="39" t="str">
        <x:v>汽车 &gt; 汽车销售与服务 &gt; 售后服务/客户服务；生活服务/零售 &gt; 交通运输服务 &gt; 售后服务/客户服务</x:v>
      </x:c>
      <x:c r="K208" s="39" t="str">
        <x:v>IC-L3-750；IC-L3-941</x:v>
      </x:c>
      <x:c r="L208" s="39" t="str">
        <x:v>599；790</x:v>
      </x:c>
      <x:c r="M208" s="68" t="n">
        <x:v>0.099</x:v>
      </x:c>
      <x:c r="N208" s="68" t="n">
        <x:v>0.085</x:v>
      </x:c>
      <x:c r="O208" s="39" t="str">
        <x:v>岗位名称完全一致，但职业分类存在冲突；优先核对并修正分类，再合并标准岗位，来源产业关系必须保留。</x:v>
      </x:c>
    </x:row>
    <x:row r="209" ht="44" customHeight="1">
      <x:c r="A209" s="65" t="n">
        <x:v>208</x:v>
      </x:c>
      <x:c r="B209" s="39" t="str">
        <x:v>售后技术支持工程师</x:v>
      </x:c>
      <x:c r="C209" s="42" t="n">
        <x:v>2</x:v>
      </x:c>
      <x:c r="D209" s="42" t="n">
        <x:f>C209-1</x:f>
        <x:v>1</x:v>
      </x:c>
      <x:c r="E209" s="42" t="n">
        <x:f>IF(F209="需拆分后合并",0,C209-1)</x:f>
        <x:v>1</x:v>
      </x:c>
      <x:c r="F209" s="39" t="str">
        <x:v>可直接合并</x:v>
      </x:c>
      <x:c r="G209" s="39" t="str">
        <x:v>售后技术支持工程师</x:v>
      </x:c>
      <x:c r="H209" s="39" t="str">
        <x:v>4-04-05-01</x:v>
      </x:c>
      <x:c r="I209" s="39" t="str">
        <x:v>计算机程序设计员</x:v>
      </x:c>
      <x:c r="J209" s="39" t="str">
        <x:v>互联网技术 &gt; 销售技术支持 &gt; 售后技术支持工程师；销售/客服 &gt; 销售支持 &gt; 售后技术支持工程师</x:v>
      </x:c>
      <x:c r="K209" s="39" t="str">
        <x:v>IC-L3-244；IC-L3-454</x:v>
      </x:c>
      <x:c r="L209" s="39" t="str">
        <x:v>93；303</x:v>
      </x:c>
      <x:c r="M209" s="68" t="n">
        <x:v>0.279</x:v>
      </x:c>
      <x:c r="N209" s="68" t="n">
        <x:v>0.172</x:v>
      </x:c>
      <x:c r="O209" s="39" t="str">
        <x:v>岗位名称完全一致且职业分类一致；建议保留一个标准岗位，原记录转为来源/产业关联。</x:v>
      </x:c>
    </x:row>
    <x:row r="210" ht="44" customHeight="1">
      <x:c r="A210" s="65" t="n">
        <x:v>209</x:v>
      </x:c>
      <x:c r="B210" s="39" t="str">
        <x:v>售前技术支持工程师</x:v>
      </x:c>
      <x:c r="C210" s="42" t="n">
        <x:v>2</x:v>
      </x:c>
      <x:c r="D210" s="42" t="n">
        <x:f>C210-1</x:f>
        <x:v>1</x:v>
      </x:c>
      <x:c r="E210" s="42" t="n">
        <x:f>IF(F210="需拆分后合并",0,C210-1)</x:f>
        <x:v>1</x:v>
      </x:c>
      <x:c r="F210" s="39" t="str">
        <x:v>可直接合并</x:v>
      </x:c>
      <x:c r="G210" s="39" t="str">
        <x:v>售前技术支持工程师</x:v>
      </x:c>
      <x:c r="H210" s="39" t="str">
        <x:v>4-04-05-01</x:v>
      </x:c>
      <x:c r="I210" s="39" t="str">
        <x:v>计算机程序设计员</x:v>
      </x:c>
      <x:c r="J210" s="39" t="str">
        <x:v>互联网技术 &gt; 销售技术支持 &gt; 售前技术支持工程师；销售/客服 &gt; 销售支持 &gt; 售前技术支持工程师</x:v>
      </x:c>
      <x:c r="K210" s="39" t="str">
        <x:v>IC-L3-242；IC-L3-452</x:v>
      </x:c>
      <x:c r="L210" s="39" t="str">
        <x:v>91；301</x:v>
      </x:c>
      <x:c r="M210" s="68" t="n">
        <x:v>0.279</x:v>
      </x:c>
      <x:c r="N210" s="68" t="n">
        <x:v>0.138</x:v>
      </x:c>
      <x:c r="O210" s="39" t="str">
        <x:v>岗位名称完全一致且职业分类一致；建议保留一个标准岗位，原记录转为来源/产业关联。</x:v>
      </x:c>
    </x:row>
    <x:row r="211" ht="44" customHeight="1">
      <x:c r="A211" s="65" t="n">
        <x:v>210</x:v>
      </x:c>
      <x:c r="B211" s="39" t="str">
        <x:v>售前技术支持经理/主管</x:v>
      </x:c>
      <x:c r="C211" s="42" t="n">
        <x:v>2</x:v>
      </x:c>
      <x:c r="D211" s="42" t="n">
        <x:f>C211-1</x:f>
        <x:v>1</x:v>
      </x:c>
      <x:c r="E211" s="42" t="n">
        <x:f>IF(F211="需拆分后合并",0,C211-1)</x:f>
        <x:v>1</x:v>
      </x:c>
      <x:c r="F211" s="39" t="str">
        <x:v>可直接合并</x:v>
      </x:c>
      <x:c r="G211" s="39" t="str">
        <x:v>售前技术支持经理/主管</x:v>
      </x:c>
      <x:c r="H211" s="39" t="str">
        <x:v>4-04-05-01</x:v>
      </x:c>
      <x:c r="I211" s="39" t="str">
        <x:v>计算机程序设计员</x:v>
      </x:c>
      <x:c r="J211" s="39" t="str">
        <x:v>互联网技术 &gt; 销售技术支持 &gt; 售前技术支持经理/主管；销售/客服 &gt; 销售支持 &gt; 售前技术支持经理/主管</x:v>
      </x:c>
      <x:c r="K211" s="39" t="str">
        <x:v>IC-L3-243；IC-L3-453</x:v>
      </x:c>
      <x:c r="L211" s="39" t="str">
        <x:v>92；302</x:v>
      </x:c>
      <x:c r="M211" s="68" t="n">
        <x:v>0.207</x:v>
      </x:c>
      <x:c r="N211" s="68" t="n">
        <x:v>0.144</x:v>
      </x:c>
      <x:c r="O211" s="39" t="str">
        <x:v>岗位名称完全一致且职业分类一致；建议保留一个标准岗位，原记录转为来源/产业关联。</x:v>
      </x:c>
    </x:row>
    <x:row r="212" ht="44" customHeight="1">
      <x:c r="A212" s="65" t="n">
        <x:v>211</x:v>
      </x:c>
      <x:c r="B212" s="39" t="str">
        <x:v>数据产品经理</x:v>
      </x:c>
      <x:c r="C212" s="42" t="n">
        <x:v>2</x:v>
      </x:c>
      <x:c r="D212" s="42" t="n">
        <x:f>C212-1</x:f>
        <x:v>1</x:v>
      </x:c>
      <x:c r="E212" s="42" t="n">
        <x:f>IF(F212="需拆分后合并",0,C212-1)</x:f>
        <x:v>1</x:v>
      </x:c>
      <x:c r="F212" s="39" t="str">
        <x:v>可直接合并</x:v>
      </x:c>
      <x:c r="G212" s="39" t="str">
        <x:v>数据产品经理</x:v>
      </x:c>
      <x:c r="H212" s="39" t="str">
        <x:v>2-02-10-03</x:v>
      </x:c>
      <x:c r="I212" s="39" t="str">
        <x:v>计算机软件工程技术人员</x:v>
      </x:c>
      <x:c r="J212" s="39" t="str">
        <x:v>产品 &gt; 互联网产品经理 &gt; 数据产品经理；产品 &gt; 其他产品经理 &gt; 数据产品经理</x:v>
      </x:c>
      <x:c r="K212" s="39" t="str">
        <x:v>IC-L3-253；IC-L3-265</x:v>
      </x:c>
      <x:c r="L212" s="39" t="str">
        <x:v>102；114</x:v>
      </x:c>
      <x:c r="M212" s="68" t="n">
        <x:v>0.079</x:v>
      </x:c>
      <x:c r="N212" s="68" t="n">
        <x:v>0.061</x:v>
      </x:c>
      <x:c r="O212" s="39" t="str">
        <x:v>岗位名称完全一致且职业分类一致；建议保留一个标准岗位，原记录转为来源/产业关联。</x:v>
      </x:c>
    </x:row>
    <x:row r="213" ht="44" customHeight="1">
      <x:c r="A213" s="65" t="n">
        <x:v>212</x:v>
      </x:c>
      <x:c r="B213" s="39" t="str">
        <x:v>数据分析师</x:v>
      </x:c>
      <x:c r="C213" s="42" t="n">
        <x:v>2</x:v>
      </x:c>
      <x:c r="D213" s="42" t="n">
        <x:f>C213-1</x:f>
        <x:v>1</x:v>
      </x:c>
      <x:c r="E213" s="42" t="n">
        <x:f>IF(F213="需拆分后合并",0,C213-1)</x:f>
        <x:v>1</x:v>
      </x:c>
      <x:c r="F213" s="39" t="str">
        <x:v>可直接合并</x:v>
      </x:c>
      <x:c r="G213" s="39" t="str">
        <x:v>数据分析师</x:v>
      </x:c>
      <x:c r="H213" s="39" t="str">
        <x:v>2-02-10-03</x:v>
      </x:c>
      <x:c r="I213" s="39" t="str">
        <x:v>计算机软件工程技术人员</x:v>
      </x:c>
      <x:c r="J213" s="39" t="str">
        <x:v>设计 &gt; 平面设计 &gt; 数据分析师；通信/电子 &gt; 硬件开发 &gt; 数据分析师</x:v>
      </x:c>
      <x:c r="K213" s="39" t="str">
        <x:v>IC-L3-1138；IC-L3-1347</x:v>
      </x:c>
      <x:c r="L213" s="39" t="str">
        <x:v>987；1196</x:v>
      </x:c>
      <x:c r="M213" s="68" t="n">
        <x:v>0.388</x:v>
      </x:c>
      <x:c r="N213" s="68" t="n">
        <x:v>0.128</x:v>
      </x:c>
      <x:c r="O213" s="39" t="str">
        <x:v>岗位名称完全一致且职业分类一致；建议保留一个标准岗位，原记录转为来源/产业关联。</x:v>
      </x:c>
    </x:row>
    <x:row r="214" ht="44" customHeight="1">
      <x:c r="A214" s="65" t="n">
        <x:v>213</x:v>
      </x:c>
      <x:c r="B214" s="39" t="str">
        <x:v>数据通信工程师</x:v>
      </x:c>
      <x:c r="C214" s="42" t="n">
        <x:v>2</x:v>
      </x:c>
      <x:c r="D214" s="42" t="n">
        <x:f>C214-1</x:f>
        <x:v>1</x:v>
      </x:c>
      <x:c r="E214" s="42" t="n">
        <x:f>IF(F214="需拆分后合并",0,C214-1)</x:f>
        <x:v>1</x:v>
      </x:c>
      <x:c r="F214" s="39" t="str">
        <x:v>可直接合并</x:v>
      </x:c>
      <x:c r="G214" s="39" t="str">
        <x:v>数据通信工程师</x:v>
      </x:c>
      <x:c r="H214" s="39" t="str">
        <x:v>2-02-10-03</x:v>
      </x:c>
      <x:c r="I214" s="39" t="str">
        <x:v>计算机软件工程技术人员</x:v>
      </x:c>
      <x:c r="J214" s="39" t="str">
        <x:v>通信/电子 &gt; 硬件开发 &gt; 数据通信工程师；通信/电子 &gt; 通信技术开发与应用 &gt; 数据通信工程师</x:v>
      </x:c>
      <x:c r="K214" s="39" t="str">
        <x:v>IC-L3-1345；IC-L3-1357</x:v>
      </x:c>
      <x:c r="L214" s="39" t="str">
        <x:v>1194；1206</x:v>
      </x:c>
      <x:c r="M214" s="68" t="n">
        <x:v>0.113</x:v>
      </x:c>
      <x:c r="N214" s="68" t="n">
        <x:v>0.058</x:v>
      </x:c>
      <x:c r="O214" s="39" t="str">
        <x:v>岗位名称完全一致且职业分类一致；建议保留一个标准岗位，原记录转为来源/产业关联。</x:v>
      </x:c>
    </x:row>
    <x:row r="215" ht="44" customHeight="1">
      <x:c r="A215" s="65" t="n">
        <x:v>214</x:v>
      </x:c>
      <x:c r="B215" s="39" t="str">
        <x:v>数据运营</x:v>
      </x:c>
      <x:c r="C215" s="42" t="n">
        <x:v>2</x:v>
      </x:c>
      <x:c r="D215" s="42" t="n">
        <x:f>C215-1</x:f>
        <x:v>1</x:v>
      </x:c>
      <x:c r="E215" s="42" t="n">
        <x:f>IF(F215="需拆分后合并",0,C215-1)</x:f>
        <x:v>1</x:v>
      </x:c>
      <x:c r="F215" s="39" t="str">
        <x:v>可直接合并</x:v>
      </x:c>
      <x:c r="G215" s="39" t="str">
        <x:v>数据运营</x:v>
      </x:c>
      <x:c r="H215" s="39" t="str">
        <x:v>2-02-10-03</x:v>
      </x:c>
      <x:c r="I215" s="39" t="str">
        <x:v>计算机软件工程技术人员</x:v>
      </x:c>
      <x:c r="J215" s="39" t="str">
        <x:v>互联网技术 &gt; 数据 &gt; 数据运营；运营 &gt; 业务运营 &gt; 数据运营</x:v>
      </x:c>
      <x:c r="K215" s="39" t="str">
        <x:v>IC-L3-205；IC-L3-1234</x:v>
      </x:c>
      <x:c r="L215" s="39" t="str">
        <x:v>54；1083</x:v>
      </x:c>
      <x:c r="M215" s="68" t="n">
        <x:v>0.076</x:v>
      </x:c>
      <x:c r="N215" s="68" t="n">
        <x:v>0.041</x:v>
      </x:c>
      <x:c r="O215" s="39" t="str">
        <x:v>岗位名称完全一致且职业分类一致；建议保留一个标准岗位，原记录转为来源/产业关联。</x:v>
      </x:c>
    </x:row>
    <x:row r="216" ht="44" customHeight="1">
      <x:c r="A216" s="65" t="n">
        <x:v>215</x:v>
      </x:c>
      <x:c r="B216" s="39" t="str">
        <x:v>体系工程师</x:v>
      </x:c>
      <x:c r="C216" s="42" t="n">
        <x:v>2</x:v>
      </x:c>
      <x:c r="D216" s="42" t="n">
        <x:f>C216-1</x:f>
        <x:v>1</x:v>
      </x:c>
      <x:c r="E216" s="42" t="n">
        <x:f>IF(F216="需拆分后合并",0,C216-1)</x:f>
        <x:v>1</x:v>
      </x:c>
      <x:c r="F216" s="39" t="str">
        <x:v>可直接合并</x:v>
      </x:c>
      <x:c r="G216" s="39" t="str">
        <x:v>体系工程师</x:v>
      </x:c>
      <x:c r="H216" s="39" t="str">
        <x:v>2-02-29-03</x:v>
      </x:c>
      <x:c r="I216" s="39" t="str">
        <x:v>质量管理工程技术人员</x:v>
      </x:c>
      <x:c r="J216" s="39" t="str">
        <x:v>互联网技术 &gt; 测试 &gt; 体系工程师；生产制造 &gt; 质量管理 &gt; 体系工程师</x:v>
      </x:c>
      <x:c r="K216" s="39" t="str">
        <x:v>IC-L3-206；IC-L3-883</x:v>
      </x:c>
      <x:c r="L216" s="39" t="str">
        <x:v>55；732</x:v>
      </x:c>
      <x:c r="M216" s="68" t="n">
        <x:v>0.144</x:v>
      </x:c>
      <x:c r="N216" s="68" t="n">
        <x:v>0.065</x:v>
      </x:c>
      <x:c r="O216" s="39" t="str">
        <x:v>岗位名称完全一致且职业分类一致；建议保留一个标准岗位，原记录转为来源/产业关联。</x:v>
      </x:c>
    </x:row>
    <x:row r="217" ht="44" customHeight="1">
      <x:c r="A217" s="65" t="n">
        <x:v>216</x:v>
      </x:c>
      <x:c r="B217" s="39" t="str">
        <x:v>通信电源工程师</x:v>
      </x:c>
      <x:c r="C217" s="42" t="n">
        <x:v>2</x:v>
      </x:c>
      <x:c r="D217" s="42" t="n">
        <x:f>C217-1</x:f>
        <x:v>1</x:v>
      </x:c>
      <x:c r="E217" s="42" t="n">
        <x:f>IF(F217="需拆分后合并",0,C217-1)</x:f>
        <x:v>1</x:v>
      </x:c>
      <x:c r="F217" s="39" t="str">
        <x:v>条件合并（先修分类）</x:v>
      </x:c>
      <x:c r="G217" s="39" t="str">
        <x:v>通信电源工程师</x:v>
      </x:c>
      <x:c r="H217" s="39" t="str">
        <x:v>2-02-09-02；2-02-10-01</x:v>
      </x:c>
      <x:c r="I217" s="39" t="str">
        <x:v>电子元器件工程技术人员；通信工程技术人员</x:v>
      </x:c>
      <x:c r="J217" s="39" t="str">
        <x:v>通信/电子 &gt; 硬件开发 &gt; 通信电源工程师；通信/电子 &gt; 通信技术开发与应用 &gt; 通信电源工程师</x:v>
      </x:c>
      <x:c r="K217" s="39" t="str">
        <x:v>IC-L3-1343；IC-L3-1363</x:v>
      </x:c>
      <x:c r="L217" s="39" t="str">
        <x:v>1192；1212</x:v>
      </x:c>
      <x:c r="M217" s="68" t="n">
        <x:v>0.113</x:v>
      </x:c>
      <x:c r="N217" s="68" t="n">
        <x:v>0.055</x:v>
      </x:c>
      <x:c r="O217" s="39" t="str">
        <x:v>岗位名称完全一致，但职业分类存在冲突；优先核对并修正分类，再合并标准岗位，来源产业关系必须保留。</x:v>
      </x:c>
    </x:row>
    <x:row r="218" ht="44" customHeight="1">
      <x:c r="A218" s="65" t="n">
        <x:v>217</x:v>
      </x:c>
      <x:c r="B218" s="39" t="str">
        <x:v>通信设备工程师</x:v>
      </x:c>
      <x:c r="C218" s="42" t="n">
        <x:v>2</x:v>
      </x:c>
      <x:c r="D218" s="42" t="n">
        <x:f>C218-1</x:f>
        <x:v>1</x:v>
      </x:c>
      <x:c r="E218" s="42" t="n">
        <x:f>IF(F218="需拆分后合并",0,C218-1)</x:f>
        <x:v>1</x:v>
      </x:c>
      <x:c r="F218" s="39" t="str">
        <x:v>条件合并（先修分类）</x:v>
      </x:c>
      <x:c r="G218" s="39" t="str">
        <x:v>通信设备工程师</x:v>
      </x:c>
      <x:c r="H218" s="39" t="str">
        <x:v>2-02-09-02；2-02-10-01</x:v>
      </x:c>
      <x:c r="I218" s="39" t="str">
        <x:v>电子元器件工程技术人员；通信工程技术人员</x:v>
      </x:c>
      <x:c r="J218" s="39" t="str">
        <x:v>通信/电子 &gt; 硬件开发 &gt; 通信设备工程师；通信/电子 &gt; 通信技术开发与应用 &gt; 通信设备工程师</x:v>
      </x:c>
      <x:c r="K218" s="39" t="str">
        <x:v>IC-L3-1352；IC-L3-1365</x:v>
      </x:c>
      <x:c r="L218" s="39" t="str">
        <x:v>1201；1214</x:v>
      </x:c>
      <x:c r="M218" s="68" t="n">
        <x:v>0.123</x:v>
      </x:c>
      <x:c r="N218" s="68" t="n">
        <x:v>0.044</x:v>
      </x:c>
      <x:c r="O218" s="39" t="str">
        <x:v>岗位名称完全一致，但职业分类存在冲突；优先核对并修正分类，再合并标准岗位，来源产业关系必须保留。</x:v>
      </x:c>
    </x:row>
    <x:row r="219" ht="44" customHeight="1">
      <x:c r="A219" s="65" t="n">
        <x:v>218</x:v>
      </x:c>
      <x:c r="B219" s="39" t="str">
        <x:v>通信销售工程师</x:v>
      </x:c>
      <x:c r="C219" s="42" t="n">
        <x:v>2</x:v>
      </x:c>
      <x:c r="D219" s="42" t="n">
        <x:f>C219-1</x:f>
        <x:v>1</x:v>
      </x:c>
      <x:c r="E219" s="42" t="n">
        <x:f>IF(F219="需拆分后合并",0,C219-1)</x:f>
        <x:v>1</x:v>
      </x:c>
      <x:c r="F219" s="39" t="str">
        <x:v>可直接合并</x:v>
      </x:c>
      <x:c r="G219" s="39" t="str">
        <x:v>通信销售工程师</x:v>
      </x:c>
      <x:c r="H219" s="39" t="str">
        <x:v>4-04-05-01</x:v>
      </x:c>
      <x:c r="I219" s="39" t="str">
        <x:v>计算机程序设计员</x:v>
      </x:c>
      <x:c r="J219" s="39" t="str">
        <x:v>销售/客服 &gt; 销售人员 &gt; 通信销售工程师；通信/电子 &gt; 通信技术开发与应用 &gt; 通信销售工程师</x:v>
      </x:c>
      <x:c r="K219" s="39" t="str">
        <x:v>IC-L3-451；IC-L3-1366</x:v>
      </x:c>
      <x:c r="L219" s="39" t="str">
        <x:v>300；1215</x:v>
      </x:c>
      <x:c r="M219" s="68" t="n">
        <x:v>0.096</x:v>
      </x:c>
      <x:c r="N219" s="68" t="n">
        <x:v>0.068</x:v>
      </x:c>
      <x:c r="O219" s="39" t="str">
        <x:v>岗位名称完全一致且职业分类一致；建议保留一个标准岗位，原记录转为来源/产业关联。</x:v>
      </x:c>
    </x:row>
    <x:row r="220" ht="44" customHeight="1">
      <x:c r="A220" s="65" t="n">
        <x:v>219</x:v>
      </x:c>
      <x:c r="B220" s="39" t="str">
        <x:v>统计员</x:v>
      </x:c>
      <x:c r="C220" s="42" t="n">
        <x:v>2</x:v>
      </x:c>
      <x:c r="D220" s="42" t="n">
        <x:f>C220-1</x:f>
        <x:v>1</x:v>
      </x:c>
      <x:c r="E220" s="42" t="n">
        <x:f>IF(F220="需拆分后合并",0,C220-1)</x:f>
        <x:v>1</x:v>
      </x:c>
      <x:c r="F220" s="39" t="str">
        <x:v>条件合并（先修分类）</x:v>
      </x:c>
      <x:c r="G220" s="39" t="str">
        <x:v>统计员</x:v>
      </x:c>
      <x:c r="H220" s="39" t="str">
        <x:v>4-03-02-05；2-06-03-00</x:v>
      </x:c>
      <x:c r="I220" s="39" t="str">
        <x:v>餐厅服务员；会计专业人员</x:v>
      </x:c>
      <x:c r="J220" s="39" t="str">
        <x:v>生活服务/零售 &gt; 服务员 &gt; 统计员；财务/税务/法务 &gt; 财务 &gt; 统计员</x:v>
      </x:c>
      <x:c r="K220" s="39" t="str">
        <x:v>IC-L3-985；IC-L3-1218</x:v>
      </x:c>
      <x:c r="L220" s="39" t="str">
        <x:v>834；1067</x:v>
      </x:c>
      <x:c r="M220" s="68" t="n">
        <x:v>0.122</x:v>
      </x:c>
      <x:c r="N220" s="68" t="n">
        <x:v>0.073</x:v>
      </x:c>
      <x:c r="O220" s="39" t="str">
        <x:v>岗位名称完全一致，但职业分类存在冲突；优先核对并修正分类，再合并标准岗位，来源产业关系必须保留。</x:v>
      </x:c>
    </x:row>
    <x:row r="221" ht="44" customHeight="1">
      <x:c r="A221" s="65" t="n">
        <x:v>220</x:v>
      </x:c>
      <x:c r="B221" s="39" t="str">
        <x:v>投资并购</x:v>
      </x:c>
      <x:c r="C221" s="42" t="n">
        <x:v>2</x:v>
      </x:c>
      <x:c r="D221" s="42" t="n">
        <x:f>C221-1</x:f>
        <x:v>1</x:v>
      </x:c>
      <x:c r="E221" s="42" t="n">
        <x:f>IF(F221="需拆分后合并",0,C221-1)</x:f>
        <x:v>1</x:v>
      </x:c>
      <x:c r="F221" s="39" t="str">
        <x:v>可直接合并</x:v>
      </x:c>
      <x:c r="G221" s="39" t="str">
        <x:v>投资并购</x:v>
      </x:c>
      <x:c r="H221" s="39" t="str">
        <x:v>2-06-11-02</x:v>
      </x:c>
      <x:c r="I221" s="39" t="str">
        <x:v>证券交易专业人员</x:v>
      </x:c>
      <x:c r="J221" s="39" t="str">
        <x:v>金融 &gt; 投融资 &gt; 投资并购；金融 &gt; 证券 &gt; 投资并购</x:v>
      </x:c>
      <x:c r="K221" s="39" t="str">
        <x:v>IC-L3-1414；IC-L3-1437</x:v>
      </x:c>
      <x:c r="L221" s="39" t="str">
        <x:v>1263；1286</x:v>
      </x:c>
      <x:c r="M221" s="68" t="n">
        <x:v>0.067</x:v>
      </x:c>
      <x:c r="N221" s="68" t="n">
        <x:v>0.065</x:v>
      </x:c>
      <x:c r="O221" s="39" t="str">
        <x:v>岗位名称完全一致且职业分类一致；建议保留一个标准岗位，原记录转为来源/产业关联。</x:v>
      </x:c>
    </x:row>
    <x:row r="222" ht="44" customHeight="1">
      <x:c r="A222" s="65" t="n">
        <x:v>221</x:v>
      </x:c>
      <x:c r="B222" s="39" t="str">
        <x:v>外科医生</x:v>
      </x:c>
      <x:c r="C222" s="42" t="n">
        <x:v>2</x:v>
      </x:c>
      <x:c r="D222" s="42" t="n">
        <x:f>C222-1</x:f>
        <x:v>1</x:v>
      </x:c>
      <x:c r="E222" s="42" t="n">
        <x:f>IF(F222="需拆分后合并",0,C222-1)</x:f>
        <x:v>1</x:v>
      </x:c>
      <x:c r="F222" s="39" t="str">
        <x:v>可直接合并</x:v>
      </x:c>
      <x:c r="G222" s="39" t="str">
        <x:v>外科医生</x:v>
      </x:c>
      <x:c r="H222" s="39" t="str">
        <x:v>2-05-01-19</x:v>
      </x:c>
      <x:c r="I222" s="39" t="str">
        <x:v>全科医师</x:v>
      </x:c>
      <x:c r="J222" s="39" t="str">
        <x:v>医药/医疗 &gt; 医生/医技 &gt; 外科医生；医药/医疗 &gt; 护理/护士 &gt; 外科医生</x:v>
      </x:c>
      <x:c r="K222" s="39" t="str">
        <x:v>IC-L3-322；IC-L3-368</x:v>
      </x:c>
      <x:c r="L222" s="39" t="str">
        <x:v>171；217</x:v>
      </x:c>
      <x:c r="M222" s="68" t="n">
        <x:v>0.082</x:v>
      </x:c>
      <x:c r="N222" s="68" t="n">
        <x:v>0.056</x:v>
      </x:c>
      <x:c r="O222" s="39" t="str">
        <x:v>岗位名称完全一致且职业分类一致；建议保留一个标准岗位，原记录转为来源/产业关联。</x:v>
      </x:c>
    </x:row>
    <x:row r="223" ht="44" customHeight="1">
      <x:c r="A223" s="65" t="n">
        <x:v>222</x:v>
      </x:c>
      <x:c r="B223" s="39" t="str">
        <x:v>玩具设计</x:v>
      </x:c>
      <x:c r="C223" s="42" t="n">
        <x:v>2</x:v>
      </x:c>
      <x:c r="D223" s="42" t="n">
        <x:f>C223-1</x:f>
        <x:v>1</x:v>
      </x:c>
      <x:c r="E223" s="42" t="n">
        <x:f>IF(F223="需拆分后合并",0,C223-1)</x:f>
        <x:v>1</x:v>
      </x:c>
      <x:c r="F223" s="39" t="str">
        <x:v>可直接合并</x:v>
      </x:c>
      <x:c r="G223" s="39" t="str">
        <x:v>玩具设计</x:v>
      </x:c>
      <x:c r="H223" s="39" t="str">
        <x:v>2-09-06-01</x:v>
      </x:c>
      <x:c r="I223" s="39" t="str">
        <x:v>视觉传达设计人员</x:v>
      </x:c>
      <x:c r="J223" s="39" t="str">
        <x:v>设计 &gt; 工业设计 &gt; 玩具设计；设计 &gt; 游戏设计 &gt; 玩具设计</x:v>
      </x:c>
      <x:c r="K223" s="39" t="str">
        <x:v>IC-L3-1126；IC-L3-1180</x:v>
      </x:c>
      <x:c r="L223" s="39" t="str">
        <x:v>975；1029</x:v>
      </x:c>
      <x:c r="M223" s="68" t="n">
        <x:v>0.077</x:v>
      </x:c>
      <x:c r="N223" s="68" t="n">
        <x:v>0.015</x:v>
      </x:c>
      <x:c r="O223" s="39" t="str">
        <x:v>岗位名称完全一致且职业分类一致；建议保留一个标准岗位，原记录转为来源/产业关联。</x:v>
      </x:c>
    </x:row>
    <x:row r="224" ht="44" customHeight="1">
      <x:c r="A224" s="65" t="n">
        <x:v>223</x:v>
      </x:c>
      <x:c r="B224" s="39" t="str">
        <x:v>网店店长</x:v>
      </x:c>
      <x:c r="C224" s="42" t="n">
        <x:v>2</x:v>
      </x:c>
      <x:c r="D224" s="42" t="n">
        <x:f>C224-1</x:f>
        <x:v>1</x:v>
      </x:c>
      <x:c r="E224" s="42" t="n">
        <x:f>IF(F224="需拆分后合并",0,C224-1)</x:f>
        <x:v>1</x:v>
      </x:c>
      <x:c r="F224" s="39" t="str">
        <x:v>可直接合并</x:v>
      </x:c>
      <x:c r="G224" s="39" t="str">
        <x:v>网店店长</x:v>
      </x:c>
      <x:c r="H224" s="39" t="str">
        <x:v>4-01-02-03</x:v>
      </x:c>
      <x:c r="I224" s="39" t="str">
        <x:v>商品营业员</x:v>
      </x:c>
      <x:c r="J224" s="39" t="str">
        <x:v>生活服务/零售 &gt; 服务员 &gt; 网店店长；运营 &gt; 电商综合管理 &gt; 网店店长</x:v>
      </x:c>
      <x:c r="K224" s="39" t="str">
        <x:v>IC-L3-974；IC-L3-1253</x:v>
      </x:c>
      <x:c r="L224" s="39" t="str">
        <x:v>823；1102</x:v>
      </x:c>
      <x:c r="M224" s="68" t="n">
        <x:v>0.097</x:v>
      </x:c>
      <x:c r="N224" s="68" t="n">
        <x:v>0.05</x:v>
      </x:c>
      <x:c r="O224" s="39" t="str">
        <x:v>岗位名称完全一致且职业分类一致；建议保留一个标准岗位，原记录转为来源/产业关联。</x:v>
      </x:c>
    </x:row>
    <x:row r="225" ht="44" customHeight="1">
      <x:c r="A225" s="65" t="n">
        <x:v>224</x:v>
      </x:c>
      <x:c r="B225" s="39" t="str">
        <x:v>网络工程师</x:v>
      </x:c>
      <x:c r="C225" s="42" t="n">
        <x:v>2</x:v>
      </x:c>
      <x:c r="D225" s="42" t="n">
        <x:f>C225-1</x:f>
        <x:v>1</x:v>
      </x:c>
      <x:c r="E225" s="42" t="n">
        <x:f>IF(F225="需拆分后合并",0,C225-1)</x:f>
        <x:v>1</x:v>
      </x:c>
      <x:c r="F225" s="39" t="str">
        <x:v>可直接合并</x:v>
      </x:c>
      <x:c r="G225" s="39" t="str">
        <x:v>网络工程师</x:v>
      </x:c>
      <x:c r="H225" s="39" t="str">
        <x:v>2-02-10-01</x:v>
      </x:c>
      <x:c r="I225" s="39" t="str">
        <x:v>通信工程技术人员</x:v>
      </x:c>
      <x:c r="J225" s="39" t="str">
        <x:v>互联网技术 &gt; 技术管理 &gt; 网络工程师；互联网技术 &gt; 运维/技术支持 &gt; 网络工程师</x:v>
      </x:c>
      <x:c r="K225" s="39" t="str">
        <x:v>IC-L3-187；IC-L3-229</x:v>
      </x:c>
      <x:c r="L225" s="39" t="str">
        <x:v>36；78</x:v>
      </x:c>
      <x:c r="M225" s="68" t="n">
        <x:v>0.218</x:v>
      </x:c>
      <x:c r="N225" s="68" t="n">
        <x:v>0.295</x:v>
      </x:c>
      <x:c r="O225" s="39" t="str">
        <x:v>岗位名称完全一致且职业分类一致；建议保留一个标准岗位，原记录转为来源/产业关联。</x:v>
      </x:c>
    </x:row>
    <x:row r="226" ht="44" customHeight="1">
      <x:c r="A226" s="65" t="n">
        <x:v>225</x:v>
      </x:c>
      <x:c r="B226" s="39" t="str">
        <x:v>网页设计师</x:v>
      </x:c>
      <x:c r="C226" s="42" t="n">
        <x:v>2</x:v>
      </x:c>
      <x:c r="D226" s="42" t="n">
        <x:f>C226-1</x:f>
        <x:v>1</x:v>
      </x:c>
      <x:c r="E226" s="42" t="n">
        <x:f>IF(F226="需拆分后合并",0,C226-1)</x:f>
        <x:v>1</x:v>
      </x:c>
      <x:c r="F226" s="39" t="str">
        <x:v>可直接合并</x:v>
      </x:c>
      <x:c r="G226" s="39" t="str">
        <x:v>网页设计师</x:v>
      </x:c>
      <x:c r="H226" s="39" t="str">
        <x:v>2-09-06-01</x:v>
      </x:c>
      <x:c r="I226" s="39" t="str">
        <x:v>视觉传达设计人员</x:v>
      </x:c>
      <x:c r="J226" s="39" t="str">
        <x:v>设计 &gt; 互联网设计 &gt; 网页设计师；设计 &gt; 广告设计 &gt; 网页设计师</x:v>
      </x:c>
      <x:c r="K226" s="39" t="str">
        <x:v>IC-L3-1111；IC-L3-1143</x:v>
      </x:c>
      <x:c r="L226" s="39" t="str">
        <x:v>960；992</x:v>
      </x:c>
      <x:c r="M226" s="68" t="n">
        <x:v>0.099</x:v>
      </x:c>
      <x:c r="N226" s="68" t="n">
        <x:v>0.066</x:v>
      </x:c>
      <x:c r="O226" s="39" t="str">
        <x:v>岗位名称完全一致且职业分类一致；建议保留一个标准岗位，原记录转为来源/产业关联。</x:v>
      </x:c>
    </x:row>
    <x:row r="227" ht="44" customHeight="1">
      <x:c r="A227" s="65" t="n">
        <x:v>226</x:v>
      </x:c>
      <x:c r="B227" s="39" t="str">
        <x:v>网站运营</x:v>
      </x:c>
      <x:c r="C227" s="42" t="n">
        <x:v>2</x:v>
      </x:c>
      <x:c r="D227" s="42" t="n">
        <x:f>C227-1</x:f>
        <x:v>1</x:v>
      </x:c>
      <x:c r="E227" s="42" t="n">
        <x:f>IF(F227="需拆分后合并",0,C227-1)</x:f>
        <x:v>1</x:v>
      </x:c>
      <x:c r="F227" s="39" t="str">
        <x:v>可直接合并</x:v>
      </x:c>
      <x:c r="G227" s="39" t="str">
        <x:v>网站运营</x:v>
      </x:c>
      <x:c r="H227" s="39" t="str">
        <x:v>4-04-05-01</x:v>
      </x:c>
      <x:c r="I227" s="39" t="str">
        <x:v>计算机程序设计员</x:v>
      </x:c>
      <x:c r="J227" s="39" t="str">
        <x:v>互联网技术 &gt; 运维/技术支持 &gt; 网站运营；运营 &gt; 业务运营 &gt; 网站运营</x:v>
      </x:c>
      <x:c r="K227" s="39" t="str">
        <x:v>IC-L3-234；IC-L3-1239</x:v>
      </x:c>
      <x:c r="L227" s="39" t="str">
        <x:v>83；1088</x:v>
      </x:c>
      <x:c r="M227" s="68" t="n">
        <x:v>0.089</x:v>
      </x:c>
      <x:c r="N227" s="68" t="n">
        <x:v>0.036</x:v>
      </x:c>
      <x:c r="O227" s="39" t="str">
        <x:v>岗位名称完全一致且职业分类一致；建议保留一个标准岗位，原记录转为来源/产业关联。</x:v>
      </x:c>
    </x:row>
    <x:row r="228" ht="44" customHeight="1">
      <x:c r="A228" s="65" t="n">
        <x:v>227</x:v>
      </x:c>
      <x:c r="B228" s="39" t="str">
        <x:v>物流专员/助理</x:v>
      </x:c>
      <x:c r="C228" s="42" t="n">
        <x:v>2</x:v>
      </x:c>
      <x:c r="D228" s="42" t="n">
        <x:f>C228-1</x:f>
        <x:v>1</x:v>
      </x:c>
      <x:c r="E228" s="42" t="n">
        <x:f>IF(F228="需拆分后合并",0,C228-1)</x:f>
        <x:v>1</x:v>
      </x:c>
      <x:c r="F228" s="39" t="str">
        <x:v>可直接合并</x:v>
      </x:c>
      <x:c r="G228" s="39" t="str">
        <x:v>物流专员/助理</x:v>
      </x:c>
      <x:c r="H228" s="39" t="str">
        <x:v>2-02-30-02</x:v>
      </x:c>
      <x:c r="I228" s="39" t="str">
        <x:v>物流工程技术人员</x:v>
      </x:c>
      <x:c r="J228" s="39" t="str">
        <x:v>物流/供应链 &gt; 物流/运输 &gt; 物流专员/助理；物流/供应链 &gt; 装卸搬运 &gt; 物流专员/助理</x:v>
      </x:c>
      <x:c r="K228" s="39" t="str">
        <x:v>IC-L3-916；IC-L3-929</x:v>
      </x:c>
      <x:c r="L228" s="39" t="str">
        <x:v>765；778</x:v>
      </x:c>
      <x:c r="M228" s="68" t="n">
        <x:v>0.083</x:v>
      </x:c>
      <x:c r="N228" s="68" t="n">
        <x:v>0.044</x:v>
      </x:c>
      <x:c r="O228" s="39" t="str">
        <x:v>岗位名称完全一致且职业分类一致；建议保留一个标准岗位，原记录转为来源/产业关联。</x:v>
      </x:c>
    </x:row>
    <x:row r="229" ht="44" customHeight="1">
      <x:c r="A229" s="65" t="n">
        <x:v>228</x:v>
      </x:c>
      <x:c r="B229" s="39" t="str">
        <x:v>西点师</x:v>
      </x:c>
      <x:c r="C229" s="42" t="n">
        <x:v>2</x:v>
      </x:c>
      <x:c r="D229" s="42" t="n">
        <x:f>C229-1</x:f>
        <x:v>1</x:v>
      </x:c>
      <x:c r="E229" s="42" t="n">
        <x:f>IF(F229="需拆分后合并",0,C229-1)</x:f>
        <x:v>1</x:v>
      </x:c>
      <x:c r="F229" s="39" t="str">
        <x:v>可直接合并</x:v>
      </x:c>
      <x:c r="G229" s="39" t="str">
        <x:v>西点师</x:v>
      </x:c>
      <x:c r="H229" s="39" t="str">
        <x:v>4-03-02-05</x:v>
      </x:c>
      <x:c r="I229" s="39" t="str">
        <x:v>餐厅服务员</x:v>
      </x:c>
      <x:c r="J229" s="39" t="str">
        <x:v>生活服务/零售 &gt; 服务员 &gt; 西点师；餐饮 &gt; 后厨 &gt; 西点师</x:v>
      </x:c>
      <x:c r="K229" s="39" t="str">
        <x:v>IC-L3-981；IC-L3-1494</x:v>
      </x:c>
      <x:c r="L229" s="39" t="str">
        <x:v>830；1343</x:v>
      </x:c>
      <x:c r="M229" s="68" t="n">
        <x:v>0.073</x:v>
      </x:c>
      <x:c r="N229" s="68" t="n">
        <x:v>0.12</x:v>
      </x:c>
      <x:c r="O229" s="39" t="str">
        <x:v>岗位名称完全一致且职业分类一致；建议保留一个标准岗位，原记录转为来源/产业关联。</x:v>
      </x:c>
    </x:row>
    <x:row r="230" ht="44" customHeight="1">
      <x:c r="A230" s="65" t="n">
        <x:v>229</x:v>
      </x:c>
      <x:c r="B230" s="39" t="str">
        <x:v>铣工</x:v>
      </x:c>
      <x:c r="C230" s="42" t="n">
        <x:v>2</x:v>
      </x:c>
      <x:c r="D230" s="42" t="n">
        <x:f>C230-1</x:f>
        <x:v>1</x:v>
      </x:c>
      <x:c r="E230" s="42" t="n">
        <x:f>IF(F230="需拆分后合并",0,C230-1)</x:f>
        <x:v>1</x:v>
      </x:c>
      <x:c r="F230" s="39" t="str">
        <x:v>可直接合并</x:v>
      </x:c>
      <x:c r="G230" s="39" t="str">
        <x:v>铣工</x:v>
      </x:c>
      <x:c r="H230" s="39" t="str">
        <x:v>6-31-01-01</x:v>
      </x:c>
      <x:c r="I230" s="39" t="str">
        <x:v>设备点检员</x:v>
      </x:c>
      <x:c r="J230" s="39" t="str">
        <x:v>生产制造 &gt; 技工 &gt; 铣工；生产制造 &gt; 机械加工 &gt; 铣工</x:v>
      </x:c>
      <x:c r="K230" s="39" t="str">
        <x:v>IC-L3-830；IC-L3-860</x:v>
      </x:c>
      <x:c r="L230" s="39" t="str">
        <x:v>679；709</x:v>
      </x:c>
      <x:c r="M230" s="68" t="n">
        <x:v>0.097</x:v>
      </x:c>
      <x:c r="N230" s="68" t="n">
        <x:v>0.089</x:v>
      </x:c>
      <x:c r="O230" s="39" t="str">
        <x:v>岗位名称完全一致且职业分类一致；建议保留一个标准岗位，原记录转为来源/产业关联。</x:v>
      </x:c>
    </x:row>
    <x:row r="231" ht="44" customHeight="1">
      <x:c r="A231" s="65" t="n">
        <x:v>230</x:v>
      </x:c>
      <x:c r="B231" s="39" t="str">
        <x:v>项目工程师</x:v>
      </x:c>
      <x:c r="C231" s="42" t="n">
        <x:v>2</x:v>
      </x:c>
      <x:c r="D231" s="42" t="n">
        <x:f>C231-1</x:f>
        <x:v>1</x:v>
      </x:c>
      <x:c r="E231" s="42" t="n">
        <x:f>IF(F231="需拆分后合并",0,C231-1)</x:f>
        <x:v>1</x:v>
      </x:c>
      <x:c r="F231" s="39" t="str">
        <x:v>可直接合并</x:v>
      </x:c>
      <x:c r="G231" s="39" t="str">
        <x:v>项目工程师</x:v>
      </x:c>
      <x:c r="H231" s="39" t="str">
        <x:v>2-02-30-04</x:v>
      </x:c>
      <x:c r="I231" s="39" t="str">
        <x:v>项目管理工程技术人员</x:v>
      </x:c>
      <x:c r="J231" s="39" t="str">
        <x:v>生产制造 &gt; 生产/营运 &gt; 项目工程师；项目经理/管理 &gt; 项目经理/管理 &gt; 项目工程师</x:v>
      </x:c>
      <x:c r="K231" s="39" t="str">
        <x:v>IC-L3-875；IC-L3-1480</x:v>
      </x:c>
      <x:c r="L231" s="39" t="str">
        <x:v>724；1329</x:v>
      </x:c>
      <x:c r="M231" s="68" t="n">
        <x:v>0.075</x:v>
      </x:c>
      <x:c r="N231" s="68" t="n">
        <x:v>0.058</x:v>
      </x:c>
      <x:c r="O231" s="39" t="str">
        <x:v>岗位名称完全一致且职业分类一致；建议保留一个标准岗位，原记录转为来源/产业关联。</x:v>
      </x:c>
    </x:row>
    <x:row r="232" ht="44" customHeight="1">
      <x:c r="A232" s="65" t="n">
        <x:v>231</x:v>
      </x:c>
      <x:c r="B232" s="39" t="str">
        <x:v>消防安全</x:v>
      </x:c>
      <x:c r="C232" s="42" t="n">
        <x:v>2</x:v>
      </x:c>
      <x:c r="D232" s="42" t="n">
        <x:f>C232-1</x:f>
        <x:v>1</x:v>
      </x:c>
      <x:c r="E232" s="42" t="n">
        <x:f>IF(F232="需拆分后合并",0,C232-1)</x:f>
        <x:v>1</x:v>
      </x:c>
      <x:c r="F232" s="39" t="str">
        <x:v>条件合并（先修分类）</x:v>
      </x:c>
      <x:c r="G232" s="39" t="str">
        <x:v>消防安全</x:v>
      </x:c>
      <x:c r="H232" s="39" t="str">
        <x:v>2-02-18-01；2-02-28-03</x:v>
      </x:c>
      <x:c r="I232" s="39" t="str">
        <x:v>建筑和市政设计工程技术人员；安全生产管理工程技术人员</x:v>
      </x:c>
      <x:c r="J232" s="39" t="str">
        <x:v>建筑/房地产 &gt; 建筑工程 &gt; 消防安全；生产制造 &gt; 生产安全 &gt; 消防安全</x:v>
      </x:c>
      <x:c r="K232" s="39" t="str">
        <x:v>IC-L3-597；IC-L3-879</x:v>
      </x:c>
      <x:c r="L232" s="39" t="str">
        <x:v>446；728</x:v>
      </x:c>
      <x:c r="M232" s="68" t="n">
        <x:v>0.147</x:v>
      </x:c>
      <x:c r="N232" s="68" t="n">
        <x:v>0.133</x:v>
      </x:c>
      <x:c r="O232" s="39" t="str">
        <x:v>岗位名称完全一致，但职业分类存在冲突；优先核对并修正分类，再合并标准岗位，来源产业关系必须保留。</x:v>
      </x:c>
    </x:row>
    <x:row r="233" ht="44" customHeight="1">
      <x:c r="A233" s="65" t="n">
        <x:v>232</x:v>
      </x:c>
      <x:c r="B233" s="39" t="str">
        <x:v>销售工程师</x:v>
      </x:c>
      <x:c r="C233" s="42" t="n">
        <x:v>2</x:v>
      </x:c>
      <x:c r="D233" s="42" t="n">
        <x:f>C233-1</x:f>
        <x:v>1</x:v>
      </x:c>
      <x:c r="E233" s="42" t="n">
        <x:f>IF(F233="需拆分后合并",0,C233-1)</x:f>
        <x:v>1</x:v>
      </x:c>
      <x:c r="F233" s="39" t="str">
        <x:v>可直接合并</x:v>
      </x:c>
      <x:c r="G233" s="39" t="str">
        <x:v>销售工程师</x:v>
      </x:c>
      <x:c r="H233" s="39" t="str">
        <x:v>4-04-05-01</x:v>
      </x:c>
      <x:c r="I233" s="39" t="str">
        <x:v>计算机程序设计员</x:v>
      </x:c>
      <x:c r="J233" s="39" t="str">
        <x:v>销售/客服 &gt; 销售人员 &gt; 销售工程师；生产制造 &gt; 工程/机械 &gt; 销售工程师</x:v>
      </x:c>
      <x:c r="K233" s="39" t="str">
        <x:v>IC-L3-445；IC-L3-816</x:v>
      </x:c>
      <x:c r="L233" s="39" t="str">
        <x:v>294；665</x:v>
      </x:c>
      <x:c r="M233" s="68" t="n">
        <x:v>0.076</x:v>
      </x:c>
      <x:c r="N233" s="68" t="n">
        <x:v>0.072</x:v>
      </x:c>
      <x:c r="O233" s="39" t="str">
        <x:v>岗位名称完全一致且职业分类一致；建议保留一个标准岗位，原记录转为来源/产业关联。</x:v>
      </x:c>
    </x:row>
    <x:row r="234" ht="44" customHeight="1">
      <x:c r="A234" s="65" t="n">
        <x:v>233</x:v>
      </x:c>
      <x:c r="B234" s="39" t="str">
        <x:v>销售经理</x:v>
      </x:c>
      <x:c r="C234" s="42" t="n">
        <x:v>2</x:v>
      </x:c>
      <x:c r="D234" s="42" t="n">
        <x:f>C234-1</x:f>
        <x:v>1</x:v>
      </x:c>
      <x:c r="E234" s="42" t="n">
        <x:f>IF(F234="需拆分后合并",0,C234-1)</x:f>
        <x:v>1</x:v>
      </x:c>
      <x:c r="F234" s="39" t="str">
        <x:v>可直接合并</x:v>
      </x:c>
      <x:c r="G234" s="39" t="str">
        <x:v>销售经理</x:v>
      </x:c>
      <x:c r="H234" s="39" t="str">
        <x:v>4-01-02-01</x:v>
      </x:c>
      <x:c r="I234" s="39" t="str">
        <x:v>营销员</x:v>
      </x:c>
      <x:c r="J234" s="39" t="str">
        <x:v>销售/客服 &gt; 销售人员 &gt; 销售经理；销售/客服 &gt; 销售高级管理 &gt; 销售经理</x:v>
      </x:c>
      <x:c r="K234" s="39" t="str">
        <x:v>IC-L3-447；IC-L3-483</x:v>
      </x:c>
      <x:c r="L234" s="39" t="str">
        <x:v>296；332</x:v>
      </x:c>
      <x:c r="M234" s="68" t="n">
        <x:v>0.11</x:v>
      </x:c>
      <x:c r="N234" s="68" t="n">
        <x:v>0.124</x:v>
      </x:c>
      <x:c r="O234" s="39" t="str">
        <x:v>岗位名称完全一致且职业分类一致；建议保留一个标准岗位，原记录转为来源/产业关联。</x:v>
      </x:c>
    </x:row>
    <x:row r="235" ht="44" customHeight="1">
      <x:c r="A235" s="65" t="n">
        <x:v>234</x:v>
      </x:c>
      <x:c r="B235" s="39" t="str">
        <x:v>销售助理</x:v>
      </x:c>
      <x:c r="C235" s="42" t="n">
        <x:v>2</x:v>
      </x:c>
      <x:c r="D235" s="42" t="n">
        <x:f>C235-1</x:f>
        <x:v>1</x:v>
      </x:c>
      <x:c r="E235" s="42" t="n">
        <x:f>IF(F235="需拆分后合并",0,C235-1)</x:f>
        <x:v>1</x:v>
      </x:c>
      <x:c r="F235" s="39" t="str">
        <x:v>可直接合并</x:v>
      </x:c>
      <x:c r="G235" s="39" t="str">
        <x:v>销售助理</x:v>
      </x:c>
      <x:c r="H235" s="39" t="str">
        <x:v>4-01-02-01</x:v>
      </x:c>
      <x:c r="I235" s="39" t="str">
        <x:v>营销员</x:v>
      </x:c>
      <x:c r="J235" s="39" t="str">
        <x:v>销售/客服 &gt; 销售人员 &gt; 销售助理；销售/客服 &gt; 销售行政及商务 &gt; 销售助理</x:v>
      </x:c>
      <x:c r="K235" s="39" t="str">
        <x:v>IC-L3-450；IC-L3-464</x:v>
      </x:c>
      <x:c r="L235" s="39" t="str">
        <x:v>299；313</x:v>
      </x:c>
      <x:c r="M235" s="68" t="n">
        <x:v>0.108</x:v>
      </x:c>
      <x:c r="N235" s="68" t="n">
        <x:v>0.063</x:v>
      </x:c>
      <x:c r="O235" s="39" t="str">
        <x:v>岗位名称完全一致且职业分类一致；建议保留一个标准岗位，原记录转为来源/产业关联。</x:v>
      </x:c>
    </x:row>
    <x:row r="236" ht="44" customHeight="1">
      <x:c r="A236" s="65" t="n">
        <x:v>235</x:v>
      </x:c>
      <x:c r="B236" s="39" t="str">
        <x:v>心理医生</x:v>
      </x:c>
      <x:c r="C236" s="42" t="n">
        <x:v>2</x:v>
      </x:c>
      <x:c r="D236" s="42" t="n">
        <x:f>C236-1</x:f>
        <x:v>1</x:v>
      </x:c>
      <x:c r="E236" s="42" t="n">
        <x:f>IF(F236="需拆分后合并",0,C236-1)</x:f>
        <x:v>1</x:v>
      </x:c>
      <x:c r="F236" s="39" t="str">
        <x:v>可直接合并</x:v>
      </x:c>
      <x:c r="G236" s="39" t="str">
        <x:v>心理医生</x:v>
      </x:c>
      <x:c r="H236" s="39" t="str">
        <x:v>2-05-01-19</x:v>
      </x:c>
      <x:c r="I236" s="39" t="str">
        <x:v>全科医师</x:v>
      </x:c>
      <x:c r="J236" s="39" t="str">
        <x:v>医药/医疗 &gt; 医生/医技 &gt; 心理医生；医药/医疗 &gt; 护理/护士 &gt; 心理医生</x:v>
      </x:c>
      <x:c r="K236" s="39" t="str">
        <x:v>IC-L3-325；IC-L3-372</x:v>
      </x:c>
      <x:c r="L236" s="39" t="str">
        <x:v>174；221</x:v>
      </x:c>
      <x:c r="M236" s="68" t="n">
        <x:v>0.07</x:v>
      </x:c>
      <x:c r="N236" s="68" t="n">
        <x:v>0.065</x:v>
      </x:c>
      <x:c r="O236" s="39" t="str">
        <x:v>岗位名称完全一致且职业分类一致；建议保留一个标准岗位，原记录转为来源/产业关联。</x:v>
      </x:c>
    </x:row>
    <x:row r="237" ht="44" customHeight="1">
      <x:c r="A237" s="65" t="n">
        <x:v>236</x:v>
      </x:c>
      <x:c r="B237" s="39" t="str">
        <x:v>心理咨询师</x:v>
      </x:c>
      <x:c r="C237" s="42" t="n">
        <x:v>2</x:v>
      </x:c>
      <x:c r="D237" s="42" t="n">
        <x:f>C237-1</x:f>
        <x:v>1</x:v>
      </x:c>
      <x:c r="E237" s="42" t="n">
        <x:f>IF(F237="需拆分后合并",0,C237-1)</x:f>
        <x:v>1</x:v>
      </x:c>
      <x:c r="F237" s="39" t="str">
        <x:v>条件合并（先修分类）</x:v>
      </x:c>
      <x:c r="G237" s="39" t="str">
        <x:v>心理咨询师</x:v>
      </x:c>
      <x:c r="H237" s="39" t="str">
        <x:v>2-05-01-19；2-07-11-03</x:v>
      </x:c>
      <x:c r="I237" s="39" t="str">
        <x:v>全科医师；心理咨询师</x:v>
      </x:c>
      <x:c r="J237" s="39" t="str">
        <x:v>医药/医疗 &gt; 医生/医技 &gt; 心理咨询师；生活服务/零售 &gt; 保健理疗 &gt; 心理咨询师</x:v>
      </x:c>
      <x:c r="K237" s="39" t="str">
        <x:v>IC-L3-326；IC-L3-945</x:v>
      </x:c>
      <x:c r="L237" s="39" t="str">
        <x:v>175；794</x:v>
      </x:c>
      <x:c r="M237" s="68" t="n">
        <x:v>0.112</x:v>
      </x:c>
      <x:c r="N237" s="68" t="n">
        <x:v>0.084</x:v>
      </x:c>
      <x:c r="O237" s="39" t="str">
        <x:v>岗位名称完全一致，但职业分类存在冲突；优先核对并修正分类，再合并标准岗位，来源产业关系必须保留。</x:v>
      </x:c>
    </x:row>
    <x:row r="238" ht="44" customHeight="1">
      <x:c r="A238" s="65" t="n">
        <x:v>237</x:v>
      </x:c>
      <x:c r="B238" s="39" t="str">
        <x:v>新媒体运营</x:v>
      </x:c>
      <x:c r="C238" s="42" t="n">
        <x:v>2</x:v>
      </x:c>
      <x:c r="D238" s="42" t="n">
        <x:f>C238-1</x:f>
        <x:v>1</x:v>
      </x:c>
      <x:c r="E238" s="42" t="n">
        <x:f>IF(F238="需拆分后合并",0,C238-1)</x:f>
        <x:v>1</x:v>
      </x:c>
      <x:c r="F238" s="39" t="str">
        <x:v>条件合并（先修分类）</x:v>
      </x:c>
      <x:c r="G238" s="39" t="str">
        <x:v>新媒体运营</x:v>
      </x:c>
      <x:c r="H238" s="39" t="str">
        <x:v>4-04-05-01；2-02-09-02</x:v>
      </x:c>
      <x:c r="I238" s="39" t="str">
        <x:v>计算机程序设计员；电子元器件工程技术人员</x:v>
      </x:c>
      <x:c r="J238" s="39" t="str">
        <x:v>运营 &gt; 内容运营 &gt; 新媒体运营；通信/电子 &gt; 电子/电器/仪器仪表 &gt; 新媒体运营</x:v>
      </x:c>
      <x:c r="K238" s="39" t="str">
        <x:v>IC-L3-1247；IC-L3-1331</x:v>
      </x:c>
      <x:c r="L238" s="39" t="str">
        <x:v>1096；1180</x:v>
      </x:c>
      <x:c r="M238" s="68" t="n">
        <x:v>0.09</x:v>
      </x:c>
      <x:c r="N238" s="68" t="n">
        <x:v>0.053</x:v>
      </x:c>
      <x:c r="O238" s="39" t="str">
        <x:v>岗位名称完全一致，但职业分类存在冲突；优先核对并修正分类，再合并标准岗位，来源产业关系必须保留。</x:v>
      </x:c>
    </x:row>
    <x:row r="239" ht="44" customHeight="1">
      <x:c r="A239" s="65" t="n">
        <x:v>238</x:v>
      </x:c>
      <x:c r="B239" s="39" t="str">
        <x:v>新能源电池工程师</x:v>
      </x:c>
      <x:c r="C239" s="42" t="n">
        <x:v>2</x:v>
      </x:c>
      <x:c r="D239" s="42" t="n">
        <x:f>C239-1</x:f>
        <x:v>1</x:v>
      </x:c>
      <x:c r="E239" s="42" t="n">
        <x:f>IF(F239="需拆分后合并",0,C239-1)</x:f>
        <x:v>1</x:v>
      </x:c>
      <x:c r="F239" s="39" t="str">
        <x:v>条件合并（先修分类）</x:v>
      </x:c>
      <x:c r="G239" s="39" t="str">
        <x:v>新能源电池工程师</x:v>
      </x:c>
      <x:c r="H239" s="39" t="str">
        <x:v>2-02-38-05；2-02-07-11</x:v>
      </x:c>
      <x:c r="I239" s="39" t="str">
        <x:v>智能制造工程技术人员；汽车工程技术人员</x:v>
      </x:c>
      <x:c r="J239" s="39" t="str">
        <x:v>汽车 &gt; 新能源汽车 &gt; 新能源电池工程师；汽车 &gt; 汽车研发设计 &gt; 新能源电池工程师</x:v>
      </x:c>
      <x:c r="K239" s="39" t="str">
        <x:v>IC-L3-708；IC-L3-731</x:v>
      </x:c>
      <x:c r="L239" s="39" t="str">
        <x:v>557；580</x:v>
      </x:c>
      <x:c r="M239" s="68" t="n">
        <x:v>0.182</x:v>
      </x:c>
      <x:c r="N239" s="68" t="n">
        <x:v>0.192</x:v>
      </x:c>
      <x:c r="O239" s="39" t="str">
        <x:v>岗位名称完全一致，但职业分类存在冲突；优先核对并修正分类，再合并标准岗位，来源产业关系必须保留。</x:v>
      </x:c>
    </x:row>
    <x:row r="240" ht="44" customHeight="1">
      <x:c r="A240" s="65" t="n">
        <x:v>239</x:v>
      </x:c>
      <x:c r="B240" s="39" t="str">
        <x:v>新能源电机工程师</x:v>
      </x:c>
      <x:c r="C240" s="42" t="n">
        <x:v>2</x:v>
      </x:c>
      <x:c r="D240" s="42" t="n">
        <x:f>C240-1</x:f>
        <x:v>1</x:v>
      </x:c>
      <x:c r="E240" s="42" t="n">
        <x:f>IF(F240="需拆分后合并",0,C240-1)</x:f>
        <x:v>1</x:v>
      </x:c>
      <x:c r="F240" s="39" t="str">
        <x:v>条件合并（先修分类）</x:v>
      </x:c>
      <x:c r="G240" s="39" t="str">
        <x:v>新能源电机工程师</x:v>
      </x:c>
      <x:c r="H240" s="39" t="str">
        <x:v>2-02-38-05；2-02-07-11</x:v>
      </x:c>
      <x:c r="I240" s="39" t="str">
        <x:v>智能制造工程技术人员；汽车工程技术人员</x:v>
      </x:c>
      <x:c r="J240" s="39" t="str">
        <x:v>汽车 &gt; 新能源汽车 &gt; 新能源电机工程师；汽车 &gt; 汽车研发设计 &gt; 新能源电机工程师</x:v>
      </x:c>
      <x:c r="K240" s="39" t="str">
        <x:v>IC-L3-707；IC-L3-730</x:v>
      </x:c>
      <x:c r="L240" s="39" t="str">
        <x:v>556；579</x:v>
      </x:c>
      <x:c r="M240" s="68" t="n">
        <x:v>0.141</x:v>
      </x:c>
      <x:c r="N240" s="68" t="n">
        <x:v>0.19</x:v>
      </x:c>
      <x:c r="O240" s="39" t="str">
        <x:v>岗位名称完全一致，但职业分类存在冲突；优先核对并修正分类，再合并标准岗位，来源产业关系必须保留。</x:v>
      </x:c>
    </x:row>
    <x:row r="241" ht="44" customHeight="1">
      <x:c r="A241" s="65" t="n">
        <x:v>240</x:v>
      </x:c>
      <x:c r="B241" s="39" t="str">
        <x:v>新能源电控工程师</x:v>
      </x:c>
      <x:c r="C241" s="42" t="n">
        <x:v>2</x:v>
      </x:c>
      <x:c r="D241" s="42" t="n">
        <x:f>C241-1</x:f>
        <x:v>1</x:v>
      </x:c>
      <x:c r="E241" s="42" t="n">
        <x:f>IF(F241="需拆分后合并",0,C241-1)</x:f>
        <x:v>1</x:v>
      </x:c>
      <x:c r="F241" s="39" t="str">
        <x:v>条件合并（先修分类）</x:v>
      </x:c>
      <x:c r="G241" s="39" t="str">
        <x:v>新能源电控工程师</x:v>
      </x:c>
      <x:c r="H241" s="39" t="str">
        <x:v>2-02-38-05；2-02-07-11</x:v>
      </x:c>
      <x:c r="I241" s="39" t="str">
        <x:v>智能制造工程技术人员；汽车工程技术人员</x:v>
      </x:c>
      <x:c r="J241" s="39" t="str">
        <x:v>汽车 &gt; 新能源汽车 &gt; 新能源电控工程师；汽车 &gt; 汽车研发设计 &gt; 新能源电控工程师</x:v>
      </x:c>
      <x:c r="K241" s="39" t="str">
        <x:v>IC-L3-706；IC-L3-729</x:v>
      </x:c>
      <x:c r="L241" s="39" t="str">
        <x:v>555；578</x:v>
      </x:c>
      <x:c r="M241" s="68" t="n">
        <x:v>0.132</x:v>
      </x:c>
      <x:c r="N241" s="68" t="n">
        <x:v>1</x:v>
      </x:c>
      <x:c r="O241" s="39" t="str">
        <x:v>岗位名称完全一致，但职业分类存在冲突；优先核对并修正分类，再合并标准岗位，来源产业关系必须保留。</x:v>
      </x:c>
    </x:row>
    <x:row r="242" ht="44" customHeight="1">
      <x:c r="A242" s="65" t="n">
        <x:v>241</x:v>
      </x:c>
      <x:c r="B242" s="39" t="str">
        <x:v>信审核查</x:v>
      </x:c>
      <x:c r="C242" s="42" t="n">
        <x:v>2</x:v>
      </x:c>
      <x:c r="D242" s="42" t="n">
        <x:f>C242-1</x:f>
        <x:v>1</x:v>
      </x:c>
      <x:c r="E242" s="42" t="n">
        <x:f>IF(F242="需拆分后合并",0,C242-1)</x:f>
        <x:v>1</x:v>
      </x:c>
      <x:c r="F242" s="39" t="str">
        <x:v>条件合并（先修分类）</x:v>
      </x:c>
      <x:c r="G242" s="39" t="str">
        <x:v>信审核查</x:v>
      </x:c>
      <x:c r="H242" s="39" t="str">
        <x:v>2-06-03-00；2-06-11-01</x:v>
      </x:c>
      <x:c r="I242" s="39" t="str">
        <x:v>会计专业人员；证券保荐承销专业人员</x:v>
      </x:c>
      <x:c r="J242" s="39" t="str">
        <x:v>财务/税务/法务 &gt; 合规 &gt; 信审核查；金融 &gt; 银行 &gt; 信审核查</x:v>
      </x:c>
      <x:c r="K242" s="39" t="str">
        <x:v>IC-L3-1198；IC-L3-1451</x:v>
      </x:c>
      <x:c r="L242" s="39" t="str">
        <x:v>1047；1300</x:v>
      </x:c>
      <x:c r="M242" s="68" t="n">
        <x:v>0.07</x:v>
      </x:c>
      <x:c r="N242" s="68" t="n">
        <x:v>0.08</x:v>
      </x:c>
      <x:c r="O242" s="39" t="str">
        <x:v>岗位名称完全一致，但职业分类存在冲突；优先核对并修正分类，再合并标准岗位，来源产业关系必须保留。</x:v>
      </x:c>
    </x:row>
    <x:row r="243" ht="44" customHeight="1">
      <x:c r="A243" s="65" t="n">
        <x:v>242</x:v>
      </x:c>
      <x:c r="B243" s="39" t="str">
        <x:v>行程管理/计调</x:v>
      </x:c>
      <x:c r="C243" s="42" t="n">
        <x:v>2</x:v>
      </x:c>
      <x:c r="D243" s="42" t="n">
        <x:f>C243-1</x:f>
        <x:v>1</x:v>
      </x:c>
      <x:c r="E243" s="42" t="n">
        <x:f>IF(F243="需拆分后合并",0,C243-1)</x:f>
        <x:v>1</x:v>
      </x:c>
      <x:c r="F243" s="39" t="str">
        <x:v>条件合并（先修分类）</x:v>
      </x:c>
      <x:c r="G243" s="39" t="str">
        <x:v>行程管理/计调</x:v>
      </x:c>
      <x:c r="H243" s="39" t="str">
        <x:v>4-02-04-01；4-07-01-01</x:v>
      </x:c>
      <x:c r="I243" s="39" t="str">
        <x:v>民航乘务员；租赁业务员</x:v>
      </x:c>
      <x:c r="J243" s="39" t="str">
        <x:v>生活服务/零售 &gt; 交通运输服务 &gt; 行程管理/计调；酒店/旅游 &gt; 旅游 &gt; 行程管理/计调</x:v>
      </x:c>
      <x:c r="K243" s="39" t="str">
        <x:v>IC-L3-939；IC-L3-1372</x:v>
      </x:c>
      <x:c r="L243" s="39" t="str">
        <x:v>788；1221</x:v>
      </x:c>
      <x:c r="M243" s="68" t="n">
        <x:v>0.071</x:v>
      </x:c>
      <x:c r="N243" s="68" t="n">
        <x:v>0.059</x:v>
      </x:c>
      <x:c r="O243" s="39" t="str">
        <x:v>岗位名称完全一致，但职业分类存在冲突；优先核对并修正分类，再合并标准岗位，来源产业关系必须保留。</x:v>
      </x:c>
    </x:row>
    <x:row r="244" ht="44" customHeight="1">
      <x:c r="A244" s="65" t="n">
        <x:v>243</x:v>
      </x:c>
      <x:c r="B244" s="39" t="str">
        <x:v>行业研究员</x:v>
      </x:c>
      <x:c r="C244" s="42" t="n">
        <x:v>2</x:v>
      </x:c>
      <x:c r="D244" s="42" t="n">
        <x:f>C244-1</x:f>
        <x:v>1</x:v>
      </x:c>
      <x:c r="E244" s="42" t="n">
        <x:f>IF(F244="需拆分后合并",0,C244-1)</x:f>
        <x:v>1</x:v>
      </x:c>
      <x:c r="F244" s="39" t="str">
        <x:v>可直接合并</x:v>
      </x:c>
      <x:c r="G244" s="39" t="str">
        <x:v>行业研究员</x:v>
      </x:c>
      <x:c r="H244" s="39" t="str">
        <x:v>2-01-06-03</x:v>
      </x:c>
      <x:c r="I244" s="39" t="str">
        <x:v>化学研究人员</x:v>
      </x:c>
      <x:c r="J244" s="39" t="str">
        <x:v>咨询/法律/翻译 &gt; 咨询/顾问 &gt; 行业研究员；金融 &gt; 证券 &gt; 行业研究员</x:v>
      </x:c>
      <x:c r="K244" s="39" t="str">
        <x:v>IC-L3-493；IC-L3-1438</x:v>
      </x:c>
      <x:c r="L244" s="39" t="str">
        <x:v>342；1287</x:v>
      </x:c>
      <x:c r="M244" s="68" t="n">
        <x:v>0.087</x:v>
      </x:c>
      <x:c r="N244" s="68" t="n">
        <x:v>0.063</x:v>
      </x:c>
      <x:c r="O244" s="39" t="str">
        <x:v>岗位名称完全一致且职业分类一致；建议保留一个标准岗位，原记录转为来源/产业关联。</x:v>
      </x:c>
    </x:row>
    <x:row r="245" ht="44" customHeight="1">
      <x:c r="A245" s="65" t="n">
        <x:v>244</x:v>
      </x:c>
      <x:c r="B245" s="39" t="str">
        <x:v>行长/副行长</x:v>
      </x:c>
      <x:c r="C245" s="42" t="n">
        <x:v>2</x:v>
      </x:c>
      <x:c r="D245" s="42" t="n">
        <x:f>C245-1</x:f>
        <x:v>1</x:v>
      </x:c>
      <x:c r="E245" s="42" t="n">
        <x:f>IF(F245="需拆分后合并",0,C245-1)</x:f>
        <x:v>1</x:v>
      </x:c>
      <x:c r="F245" s="39" t="str">
        <x:v>条件合并（先修分类）</x:v>
      </x:c>
      <x:c r="G245" s="39" t="str">
        <x:v>行长/副行长</x:v>
      </x:c>
      <x:c r="H245" s="39" t="str">
        <x:v>3-01-02-02；2-06-11-01</x:v>
      </x:c>
      <x:c r="I245" s="39" t="str">
        <x:v>秘书；证券保荐承销专业人员</x:v>
      </x:c>
      <x:c r="J245" s="39" t="str">
        <x:v>销售/客服 &gt; 销售行政及商务 &gt; 行长/副行长；金融 &gt; 银行 &gt; 行长/副行长</x:v>
      </x:c>
      <x:c r="K245" s="39" t="str">
        <x:v>IC-L3-470；IC-L3-1463</x:v>
      </x:c>
      <x:c r="L245" s="39" t="str">
        <x:v>319；1312</x:v>
      </x:c>
      <x:c r="M245" s="68" t="n">
        <x:v>0.089</x:v>
      </x:c>
      <x:c r="N245" s="68" t="n">
        <x:v>0.068</x:v>
      </x:c>
      <x:c r="O245" s="39" t="str">
        <x:v>岗位名称完全一致，但职业分类存在冲突；优先核对并修正分类，再合并标准岗位，来源产业关系必须保留。</x:v>
      </x:c>
    </x:row>
    <x:row r="246" ht="44" customHeight="1">
      <x:c r="A246" s="65" t="n">
        <x:v>245</x:v>
      </x:c>
      <x:c r="B246" s="39" t="str">
        <x:v>性能测试</x:v>
      </x:c>
      <x:c r="C246" s="42" t="n">
        <x:v>2</x:v>
      </x:c>
      <x:c r="D246" s="42" t="n">
        <x:f>C246-1</x:f>
        <x:v>1</x:v>
      </x:c>
      <x:c r="E246" s="42" t="n">
        <x:f>IF(F246="需拆分后合并",0,C246-1)</x:f>
        <x:v>1</x:v>
      </x:c>
      <x:c r="F246" s="39" t="str">
        <x:v>条件合并（先修分类）</x:v>
      </x:c>
      <x:c r="G246" s="39" t="str">
        <x:v>性能测试</x:v>
      </x:c>
      <x:c r="H246" s="39" t="str">
        <x:v>4-04-05-02；4-04-05-01</x:v>
      </x:c>
      <x:c r="I246" s="39" t="str">
        <x:v>计算机软件测试员；计算机程序设计员</x:v>
      </x:c>
      <x:c r="J246" s="39" t="str">
        <x:v>互联网技术 &gt; 测试 &gt; 性能测试；互联网技术 &gt; 运维/技术支持 &gt; 性能测试</x:v>
      </x:c>
      <x:c r="K246" s="39" t="str">
        <x:v>IC-L3-208；IC-L3-232</x:v>
      </x:c>
      <x:c r="L246" s="39" t="str">
        <x:v>57；81</x:v>
      </x:c>
      <x:c r="M246" s="68" t="n">
        <x:v>0.079</x:v>
      </x:c>
      <x:c r="N246" s="68" t="n">
        <x:v>0.084</x:v>
      </x:c>
      <x:c r="O246" s="39" t="str">
        <x:v>岗位名称完全一致，但职业分类存在冲突；优先核对并修正分类，再合并标准岗位，来源产业关系必须保留。</x:v>
      </x:c>
    </x:row>
    <x:row r="247" ht="44" customHeight="1">
      <x:c r="A247" s="65" t="n">
        <x:v>246</x:v>
      </x:c>
      <x:c r="B247" s="39" t="str">
        <x:v>需求工程师</x:v>
      </x:c>
      <x:c r="C247" s="42" t="n">
        <x:v>2</x:v>
      </x:c>
      <x:c r="D247" s="42" t="n">
        <x:f>C247-1</x:f>
        <x:v>1</x:v>
      </x:c>
      <x:c r="E247" s="42" t="n">
        <x:f>IF(F247="需拆分后合并",0,C247-1)</x:f>
        <x:v>1</x:v>
      </x:c>
      <x:c r="F247" s="39" t="str">
        <x:v>可直接合并</x:v>
      </x:c>
      <x:c r="G247" s="39" t="str">
        <x:v>需求工程师</x:v>
      </x:c>
      <x:c r="H247" s="39" t="str">
        <x:v>2-02-10-03</x:v>
      </x:c>
      <x:c r="I247" s="39" t="str">
        <x:v>计算机软件工程技术人员</x:v>
      </x:c>
      <x:c r="J247" s="39" t="str">
        <x:v>互联网技术 &gt; 后端开发 &gt; 需求工程师；产品 &gt; 互联网产品经理 &gt; 需求工程师</x:v>
      </x:c>
      <x:c r="K247" s="39" t="str">
        <x:v>IC-L3-181；IC-L3-258</x:v>
      </x:c>
      <x:c r="L247" s="39" t="str">
        <x:v>30；107</x:v>
      </x:c>
      <x:c r="M247" s="68" t="n">
        <x:v>0.198</x:v>
      </x:c>
      <x:c r="N247" s="68" t="n">
        <x:v>0.205</x:v>
      </x:c>
      <x:c r="O247" s="39" t="str">
        <x:v>岗位名称完全一致且职业分类一致；建议保留一个标准岗位，原记录转为来源/产业关联。</x:v>
      </x:c>
    </x:row>
    <x:row r="248" ht="44" customHeight="1">
      <x:c r="A248" s="65" t="n">
        <x:v>247</x:v>
      </x:c>
      <x:c r="B248" s="39" t="str">
        <x:v>验光师</x:v>
      </x:c>
      <x:c r="C248" s="42" t="n">
        <x:v>2</x:v>
      </x:c>
      <x:c r="D248" s="42" t="n">
        <x:f>C248-1</x:f>
        <x:v>1</x:v>
      </x:c>
      <x:c r="E248" s="42" t="n">
        <x:f>IF(F248="需拆分后合并",0,C248-1)</x:f>
        <x:v>1</x:v>
      </x:c>
      <x:c r="F248" s="39" t="str">
        <x:v>条件合并（先修分类）</x:v>
      </x:c>
      <x:c r="G248" s="39" t="str">
        <x:v>验光师</x:v>
      </x:c>
      <x:c r="H248" s="39" t="str">
        <x:v>2-05-01-19；2-05-08-01</x:v>
      </x:c>
      <x:c r="I248" s="39" t="str">
        <x:v>全科医师；内科护士</x:v>
      </x:c>
      <x:c r="J248" s="39" t="str">
        <x:v>医药/医疗 &gt; 医生/医技 &gt; 验光师；医药/医疗 &gt; 护理/护士 &gt; 验光师</x:v>
      </x:c>
      <x:c r="K248" s="39" t="str">
        <x:v>IC-L3-337；IC-L3-376</x:v>
      </x:c>
      <x:c r="L248" s="39" t="str">
        <x:v>186；225</x:v>
      </x:c>
      <x:c r="M248" s="68" t="n">
        <x:v>0.079</x:v>
      </x:c>
      <x:c r="N248" s="68" t="n">
        <x:v>0.062</x:v>
      </x:c>
      <x:c r="O248" s="39" t="str">
        <x:v>岗位名称完全一致，但职业分类存在冲突；优先核对并修正分类，再合并标准岗位，来源产业关系必须保留。</x:v>
      </x:c>
    </x:row>
    <x:row r="249" ht="44" customHeight="1">
      <x:c r="A249" s="65" t="n">
        <x:v>248</x:v>
      </x:c>
      <x:c r="B249" s="39" t="str">
        <x:v>养老护理员</x:v>
      </x:c>
      <x:c r="C249" s="42" t="n">
        <x:v>2</x:v>
      </x:c>
      <x:c r="D249" s="42" t="n">
        <x:f>C249-1</x:f>
        <x:v>1</x:v>
      </x:c>
      <x:c r="E249" s="42" t="n">
        <x:f>IF(F249="需拆分后合并",0,C249-1)</x:f>
        <x:v>1</x:v>
      </x:c>
      <x:c r="F249" s="39" t="str">
        <x:v>可直接合并</x:v>
      </x:c>
      <x:c r="G249" s="39" t="str">
        <x:v>养老护理员</x:v>
      </x:c>
      <x:c r="H249" s="39" t="str">
        <x:v>2-05-08-01</x:v>
      </x:c>
      <x:c r="I249" s="39" t="str">
        <x:v>内科护士</x:v>
      </x:c>
      <x:c r="J249" s="39" t="str">
        <x:v>医药/医疗 &gt; 护理/护士 &gt; 养老护理员；生活服务/零售 &gt; 家政服务 &gt; 养老护理员</x:v>
      </x:c>
      <x:c r="K249" s="39" t="str">
        <x:v>IC-L3-378；IC-L3-962</x:v>
      </x:c>
      <x:c r="L249" s="39" t="str">
        <x:v>227；811</x:v>
      </x:c>
      <x:c r="M249" s="68" t="n">
        <x:v>0.287</x:v>
      </x:c>
      <x:c r="N249" s="68" t="n">
        <x:v>0.094</x:v>
      </x:c>
      <x:c r="O249" s="39" t="str">
        <x:v>岗位名称完全一致且职业分类一致；建议保留一个标准岗位，原记录转为来源/产业关联。</x:v>
      </x:c>
    </x:row>
    <x:row r="250" ht="44" customHeight="1">
      <x:c r="A250" s="65" t="n">
        <x:v>249</x:v>
      </x:c>
      <x:c r="B250" s="39" t="str">
        <x:v>药库主任/药剂师</x:v>
      </x:c>
      <x:c r="C250" s="42" t="n">
        <x:v>2</x:v>
      </x:c>
      <x:c r="D250" s="42" t="n">
        <x:f>C250-1</x:f>
        <x:v>1</x:v>
      </x:c>
      <x:c r="E250" s="42" t="n">
        <x:f>IF(F250="需拆分后合并",0,C250-1)</x:f>
        <x:v>1</x:v>
      </x:c>
      <x:c r="F250" s="39" t="str">
        <x:v>条件合并（先修分类）</x:v>
      </x:c>
      <x:c r="G250" s="39" t="str">
        <x:v>药库主任/药剂师</x:v>
      </x:c>
      <x:c r="H250" s="39" t="str">
        <x:v>2-05-01-19；2-05-08-01</x:v>
      </x:c>
      <x:c r="I250" s="39" t="str">
        <x:v>全科医师；内科护士</x:v>
      </x:c>
      <x:c r="J250" s="39" t="str">
        <x:v>医药/医疗 &gt; 医生/医技 &gt; 药库主任/药剂师；医药/医疗 &gt; 护理/护士 &gt; 药库主任/药剂师</x:v>
      </x:c>
      <x:c r="K250" s="39" t="str">
        <x:v>IC-L3-332；IC-L3-374</x:v>
      </x:c>
      <x:c r="L250" s="39" t="str">
        <x:v>181；223</x:v>
      </x:c>
      <x:c r="M250" s="68" t="n">
        <x:v>0.11</x:v>
      </x:c>
      <x:c r="N250" s="68" t="n">
        <x:v>0.045</x:v>
      </x:c>
      <x:c r="O250" s="39" t="str">
        <x:v>岗位名称完全一致，但职业分类存在冲突；优先核对并修正分类，再合并标准岗位，来源产业关系必须保留。</x:v>
      </x:c>
    </x:row>
    <x:row r="251" ht="44" customHeight="1">
      <x:c r="A251" s="65" t="n">
        <x:v>250</x:v>
      </x:c>
      <x:c r="B251" s="39" t="str">
        <x:v>药品生产/质量管理</x:v>
      </x:c>
      <x:c r="C251" s="42" t="n">
        <x:v>2</x:v>
      </x:c>
      <x:c r="D251" s="42" t="n">
        <x:f>C251-1</x:f>
        <x:v>1</x:v>
      </x:c>
      <x:c r="E251" s="42" t="n">
        <x:f>IF(F251="需拆分后合并",0,C251-1)</x:f>
        <x:v>1</x:v>
      </x:c>
      <x:c r="F251" s="39" t="str">
        <x:v>可直接合并</x:v>
      </x:c>
      <x:c r="G251" s="39" t="str">
        <x:v>药品生产/质量管理</x:v>
      </x:c>
      <x:c r="H251" s="39" t="str">
        <x:v>2-02-29-03</x:v>
      </x:c>
      <x:c r="I251" s="39" t="str">
        <x:v>质量管理工程技术人员</x:v>
      </x:c>
      <x:c r="J251" s="39" t="str">
        <x:v>医药/医疗 &gt; 生物制药 &gt; 药品生产/质量管理；生产制造 &gt; 质量管理 &gt; 药品生产/质量管理</x:v>
      </x:c>
      <x:c r="K251" s="39" t="str">
        <x:v>IC-L3-394；IC-L3-895</x:v>
      </x:c>
      <x:c r="L251" s="39" t="str">
        <x:v>243；744</x:v>
      </x:c>
      <x:c r="M251" s="68" t="n">
        <x:v>0.176</x:v>
      </x:c>
      <x:c r="N251" s="68" t="n">
        <x:v>1</x:v>
      </x:c>
      <x:c r="O251" s="39" t="str">
        <x:v>岗位名称完全一致且职业分类一致；建议保留一个标准岗位，原记录转为来源/产业关联。</x:v>
      </x:c>
    </x:row>
    <x:row r="252" ht="44" customHeight="1">
      <x:c r="A252" s="65" t="n">
        <x:v>251</x:v>
      </x:c>
      <x:c r="B252" s="39" t="str">
        <x:v>药品市场推广经理</x:v>
      </x:c>
      <x:c r="C252" s="42" t="n">
        <x:v>2</x:v>
      </x:c>
      <x:c r="D252" s="42" t="n">
        <x:f>C252-1</x:f>
        <x:v>1</x:v>
      </x:c>
      <x:c r="E252" s="42" t="n">
        <x:f>IF(F252="需拆分后合并",0,C252-1)</x:f>
        <x:v>1</x:v>
      </x:c>
      <x:c r="F252" s="39" t="str">
        <x:v>条件合并（先修分类）</x:v>
      </x:c>
      <x:c r="G252" s="39" t="str">
        <x:v>药品市场推广经理</x:v>
      </x:c>
      <x:c r="H252" s="39" t="str">
        <x:v>4-01-02-01；2-05-07-01</x:v>
      </x:c>
      <x:c r="I252" s="39" t="str">
        <x:v>营销员；影像技师</x:v>
      </x:c>
      <x:c r="J252" s="39" t="str">
        <x:v>医药/医疗 &gt; 医疗销售 &gt; 药品市场推广经理；医药/医疗 &gt; 生物制药 &gt; 药品市场推广经理</x:v>
      </x:c>
      <x:c r="K252" s="39" t="str">
        <x:v>IC-L3-360；IC-L3-392</x:v>
      </x:c>
      <x:c r="L252" s="39" t="str">
        <x:v>209；241</x:v>
      </x:c>
      <x:c r="M252" s="68" t="n">
        <x:v>0.218</x:v>
      </x:c>
      <x:c r="N252" s="68" t="n">
        <x:v>0.143</x:v>
      </x:c>
      <x:c r="O252" s="39" t="str">
        <x:v>岗位名称完全一致，但职业分类存在冲突；优先核对并修正分类，再合并标准岗位，来源产业关系必须保留。</x:v>
      </x:c>
    </x:row>
    <x:row r="253" ht="44" customHeight="1">
      <x:c r="A253" s="65" t="n">
        <x:v>252</x:v>
      </x:c>
      <x:c r="B253" s="39" t="str">
        <x:v>药品市场推广主管</x:v>
      </x:c>
      <x:c r="C253" s="42" t="n">
        <x:v>2</x:v>
      </x:c>
      <x:c r="D253" s="42" t="n">
        <x:f>C253-1</x:f>
        <x:v>1</x:v>
      </x:c>
      <x:c r="E253" s="42" t="n">
        <x:f>IF(F253="需拆分后合并",0,C253-1)</x:f>
        <x:v>1</x:v>
      </x:c>
      <x:c r="F253" s="39" t="str">
        <x:v>条件合并（先修分类）</x:v>
      </x:c>
      <x:c r="G253" s="39" t="str">
        <x:v>药品市场推广主管</x:v>
      </x:c>
      <x:c r="H253" s="39" t="str">
        <x:v>4-01-02-01；2-05-07-01</x:v>
      </x:c>
      <x:c r="I253" s="39" t="str">
        <x:v>营销员；影像技师</x:v>
      </x:c>
      <x:c r="J253" s="39" t="str">
        <x:v>医药/医疗 &gt; 医疗销售 &gt; 药品市场推广主管；医药/医疗 &gt; 生物制药 &gt; 药品市场推广主管</x:v>
      </x:c>
      <x:c r="K253" s="39" t="str">
        <x:v>IC-L3-359；IC-L3-391</x:v>
      </x:c>
      <x:c r="L253" s="39" t="str">
        <x:v>208；240</x:v>
      </x:c>
      <x:c r="M253" s="68" t="n">
        <x:v>0.19</x:v>
      </x:c>
      <x:c r="N253" s="68" t="n">
        <x:v>0.172</x:v>
      </x:c>
      <x:c r="O253" s="39" t="str">
        <x:v>岗位名称完全一致，但职业分类存在冲突；优先核对并修正分类，再合并标准岗位，来源产业关系必须保留。</x:v>
      </x:c>
    </x:row>
    <x:row r="254" ht="44" customHeight="1">
      <x:c r="A254" s="65" t="n">
        <x:v>253</x:v>
      </x:c>
      <x:c r="B254" s="39" t="str">
        <x:v>药品市场推广专员</x:v>
      </x:c>
      <x:c r="C254" s="42" t="n">
        <x:v>2</x:v>
      </x:c>
      <x:c r="D254" s="42" t="n">
        <x:f>C254-1</x:f>
        <x:v>1</x:v>
      </x:c>
      <x:c r="E254" s="42" t="n">
        <x:f>IF(F254="需拆分后合并",0,C254-1)</x:f>
        <x:v>1</x:v>
      </x:c>
      <x:c r="F254" s="39" t="str">
        <x:v>条件合并（先修分类）</x:v>
      </x:c>
      <x:c r="G254" s="39" t="str">
        <x:v>药品市场推广专员</x:v>
      </x:c>
      <x:c r="H254" s="39" t="str">
        <x:v>4-01-02-01；2-05-07-01</x:v>
      </x:c>
      <x:c r="I254" s="39" t="str">
        <x:v>营销员；影像技师</x:v>
      </x:c>
      <x:c r="J254" s="39" t="str">
        <x:v>医药/医疗 &gt; 医疗销售 &gt; 药品市场推广专员；医药/医疗 &gt; 生物制药 &gt; 药品市场推广专员</x:v>
      </x:c>
      <x:c r="K254" s="39" t="str">
        <x:v>IC-L3-358；IC-L3-390</x:v>
      </x:c>
      <x:c r="L254" s="39" t="str">
        <x:v>207；239</x:v>
      </x:c>
      <x:c r="M254" s="68" t="n">
        <x:v>0.203</x:v>
      </x:c>
      <x:c r="N254" s="68" t="n">
        <x:v>0.185</x:v>
      </x:c>
      <x:c r="O254" s="39" t="str">
        <x:v>岗位名称完全一致，但职业分类存在冲突；优先核对并修正分类，再合并标准岗位，来源产业关系必须保留。</x:v>
      </x:c>
    </x:row>
    <x:row r="255" ht="44" customHeight="1">
      <x:c r="A255" s="65" t="n">
        <x:v>254</x:v>
      </x:c>
      <x:c r="B255" s="39" t="str">
        <x:v>医疗器械生产/质量管理</x:v>
      </x:c>
      <x:c r="C255" s="42" t="n">
        <x:v>2</x:v>
      </x:c>
      <x:c r="D255" s="42" t="n">
        <x:f>C255-1</x:f>
        <x:v>1</x:v>
      </x:c>
      <x:c r="E255" s="42" t="n">
        <x:f>IF(F255="需拆分后合并",0,C255-1)</x:f>
        <x:v>1</x:v>
      </x:c>
      <x:c r="F255" s="39" t="str">
        <x:v>可直接合并</x:v>
      </x:c>
      <x:c r="G255" s="39" t="str">
        <x:v>医疗器械生产/质量管理</x:v>
      </x:c>
      <x:c r="H255" s="39" t="str">
        <x:v>2-02-29-03</x:v>
      </x:c>
      <x:c r="I255" s="39" t="str">
        <x:v>质量管理工程技术人员</x:v>
      </x:c>
      <x:c r="J255" s="39" t="str">
        <x:v>医药/医疗 &gt; 医疗器械 &gt; 医疗器械生产/质量管理；生产制造 &gt; 质量管理 &gt; 医疗器械生产/质量管理</x:v>
      </x:c>
      <x:c r="K255" s="39" t="str">
        <x:v>IC-L3-346；IC-L3-888</x:v>
      </x:c>
      <x:c r="L255" s="39" t="str">
        <x:v>195；737</x:v>
      </x:c>
      <x:c r="M255" s="68" t="n">
        <x:v>0.189</x:v>
      </x:c>
      <x:c r="N255" s="68" t="n">
        <x:v>0.175</x:v>
      </x:c>
      <x:c r="O255" s="39" t="str">
        <x:v>岗位名称完全一致且职业分类一致；建议保留一个标准岗位，原记录转为来源/产业关联。</x:v>
      </x:c>
    </x:row>
    <x:row r="256" ht="44" customHeight="1">
      <x:c r="A256" s="65" t="n">
        <x:v>255</x:v>
      </x:c>
      <x:c r="B256" s="39" t="str">
        <x:v>医疗器械市场推广</x:v>
      </x:c>
      <x:c r="C256" s="42" t="n">
        <x:v>2</x:v>
      </x:c>
      <x:c r="D256" s="42" t="n">
        <x:f>C256-1</x:f>
        <x:v>1</x:v>
      </x:c>
      <x:c r="E256" s="42" t="n">
        <x:f>IF(F256="需拆分后合并",0,C256-1)</x:f>
        <x:v>1</x:v>
      </x:c>
      <x:c r="F256" s="39" t="str">
        <x:v>条件合并（先修分类）</x:v>
      </x:c>
      <x:c r="G256" s="39" t="str">
        <x:v>医疗器械市场推广</x:v>
      </x:c>
      <x:c r="H256" s="39" t="str">
        <x:v>2-05-07-01；4-01-02-01</x:v>
      </x:c>
      <x:c r="I256" s="39" t="str">
        <x:v>影像技师；营销员</x:v>
      </x:c>
      <x:c r="J256" s="39" t="str">
        <x:v>医药/医疗 &gt; 医疗器械 &gt; 医疗器械市场推广；医药/医疗 &gt; 医疗销售 &gt; 医疗器械市场推广</x:v>
      </x:c>
      <x:c r="K256" s="39" t="str">
        <x:v>IC-L3-344；IC-L3-352</x:v>
      </x:c>
      <x:c r="L256" s="39" t="str">
        <x:v>193；201</x:v>
      </x:c>
      <x:c r="M256" s="68" t="n">
        <x:v>0.138</x:v>
      </x:c>
      <x:c r="N256" s="68" t="n">
        <x:v>0.132</x:v>
      </x:c>
      <x:c r="O256" s="39" t="str">
        <x:v>岗位名称完全一致，但职业分类存在冲突；优先核对并修正分类，再合并标准岗位，来源产业关系必须保留。</x:v>
      </x:c>
    </x:row>
    <x:row r="257" ht="44" customHeight="1">
      <x:c r="A257" s="65" t="n">
        <x:v>256</x:v>
      </x:c>
      <x:c r="B257" s="39" t="str">
        <x:v>医疗器械销售代表</x:v>
      </x:c>
      <x:c r="C257" s="42" t="n">
        <x:v>2</x:v>
      </x:c>
      <x:c r="D257" s="42" t="n">
        <x:f>C257-1</x:f>
        <x:v>1</x:v>
      </x:c>
      <x:c r="E257" s="42" t="n">
        <x:f>IF(F257="需拆分后合并",0,C257-1)</x:f>
        <x:v>1</x:v>
      </x:c>
      <x:c r="F257" s="39" t="str">
        <x:v>可直接合并</x:v>
      </x:c>
      <x:c r="G257" s="39" t="str">
        <x:v>医疗器械销售代表</x:v>
      </x:c>
      <x:c r="H257" s="39" t="str">
        <x:v>4-01-02-01</x:v>
      </x:c>
      <x:c r="I257" s="39" t="str">
        <x:v>营销员</x:v>
      </x:c>
      <x:c r="J257" s="39" t="str">
        <x:v>医药/医疗 &gt; 医疗器械 &gt; 医疗器械销售代表；医药/医疗 &gt; 医疗销售 &gt; 医疗器械销售代表</x:v>
      </x:c>
      <x:c r="K257" s="39" t="str">
        <x:v>IC-L3-349；IC-L3-353</x:v>
      </x:c>
      <x:c r="L257" s="39" t="str">
        <x:v>198；202</x:v>
      </x:c>
      <x:c r="M257" s="68" t="n">
        <x:v>0.231</x:v>
      </x:c>
      <x:c r="N257" s="68" t="n">
        <x:v>0.168</x:v>
      </x:c>
      <x:c r="O257" s="39" t="str">
        <x:v>岗位名称完全一致且职业分类一致；建议保留一个标准岗位，原记录转为来源/产业关联。</x:v>
      </x:c>
    </x:row>
    <x:row r="258" ht="44" customHeight="1">
      <x:c r="A258" s="65" t="n">
        <x:v>257</x:v>
      </x:c>
      <x:c r="B258" s="39" t="str">
        <x:v>医疗器械注册</x:v>
      </x:c>
      <x:c r="C258" s="42" t="n">
        <x:v>2</x:v>
      </x:c>
      <x:c r="D258" s="42" t="n">
        <x:f>C258-1</x:f>
        <x:v>1</x:v>
      </x:c>
      <x:c r="E258" s="42" t="n">
        <x:f>IF(F258="需拆分后合并",0,C258-1)</x:f>
        <x:v>1</x:v>
      </x:c>
      <x:c r="F258" s="39" t="str">
        <x:v>可直接合并</x:v>
      </x:c>
      <x:c r="G258" s="39" t="str">
        <x:v>医疗器械注册</x:v>
      </x:c>
      <x:c r="H258" s="39" t="str">
        <x:v>2-05-07-01</x:v>
      </x:c>
      <x:c r="I258" s="39" t="str">
        <x:v>影像技师</x:v>
      </x:c>
      <x:c r="J258" s="39" t="str">
        <x:v>医药/医疗 &gt; 医疗器械 &gt; 医疗器械注册；医药/医疗 &gt; 生物制药 &gt; 医疗器械注册</x:v>
      </x:c>
      <x:c r="K258" s="39" t="str">
        <x:v>IC-L3-345；IC-L3-402</x:v>
      </x:c>
      <x:c r="L258" s="39" t="str">
        <x:v>194；251</x:v>
      </x:c>
      <x:c r="M258" s="68" t="n">
        <x:v>0.075</x:v>
      </x:c>
      <x:c r="N258" s="68" t="n">
        <x:v>0.044</x:v>
      </x:c>
      <x:c r="O258" s="39" t="str">
        <x:v>岗位名称完全一致且职业分类一致；建议保留一个标准岗位，原记录转为来源/产业关联。</x:v>
      </x:c>
    </x:row>
    <x:row r="259" ht="44" customHeight="1">
      <x:c r="A259" s="65" t="n">
        <x:v>258</x:v>
      </x:c>
      <x:c r="B259" s="39" t="str">
        <x:v>医药代表</x:v>
      </x:c>
      <x:c r="C259" s="42" t="n">
        <x:v>2</x:v>
      </x:c>
      <x:c r="D259" s="42" t="n">
        <x:f>C259-1</x:f>
        <x:v>1</x:v>
      </x:c>
      <x:c r="E259" s="42" t="n">
        <x:f>IF(F259="需拆分后合并",0,C259-1)</x:f>
        <x:v>1</x:v>
      </x:c>
      <x:c r="F259" s="39" t="str">
        <x:v>可直接合并</x:v>
      </x:c>
      <x:c r="G259" s="39" t="str">
        <x:v>医药代表</x:v>
      </x:c>
      <x:c r="H259" s="39" t="str">
        <x:v>2-06-07-07</x:v>
      </x:c>
      <x:c r="I259" s="39" t="str">
        <x:v>医药代表</x:v>
      </x:c>
      <x:c r="J259" s="39" t="str">
        <x:v>医药/医疗 &gt; 医疗销售 &gt; 医药代表；医药/医疗 &gt; 生物制药 &gt; 医药代表</x:v>
      </x:c>
      <x:c r="K259" s="39" t="str">
        <x:v>IC-L3-355；IC-L3-382</x:v>
      </x:c>
      <x:c r="L259" s="39" t="str">
        <x:v>204；231</x:v>
      </x:c>
      <x:c r="M259" s="68" t="n">
        <x:v>0.225</x:v>
      </x:c>
      <x:c r="N259" s="68" t="n">
        <x:v>1</x:v>
      </x:c>
      <x:c r="O259" s="39" t="str">
        <x:v>岗位名称完全一致且职业分类一致；建议保留一个标准岗位，原记录转为来源/产业关联。</x:v>
      </x:c>
    </x:row>
    <x:row r="260" ht="44" customHeight="1">
      <x:c r="A260" s="65" t="n">
        <x:v>259</x:v>
      </x:c>
      <x:c r="B260" s="39" t="str">
        <x:v>医药学术推广</x:v>
      </x:c>
      <x:c r="C260" s="42" t="n">
        <x:v>2</x:v>
      </x:c>
      <x:c r="D260" s="42" t="n">
        <x:f>C260-1</x:f>
        <x:v>1</x:v>
      </x:c>
      <x:c r="E260" s="42" t="n">
        <x:f>IF(F260="需拆分后合并",0,C260-1)</x:f>
        <x:v>1</x:v>
      </x:c>
      <x:c r="F260" s="39" t="str">
        <x:v>可直接合并</x:v>
      </x:c>
      <x:c r="G260" s="39" t="str">
        <x:v>医药学术推广</x:v>
      </x:c>
      <x:c r="H260" s="39" t="str">
        <x:v>2-06-07-07</x:v>
      </x:c>
      <x:c r="I260" s="39" t="str">
        <x:v>医药代表</x:v>
      </x:c>
      <x:c r="J260" s="39" t="str">
        <x:v>医药/医疗 &gt; 医疗销售 &gt; 医药学术推广；医药/医疗 &gt; 生物制药 &gt; 医药学术推广</x:v>
      </x:c>
      <x:c r="K260" s="39" t="str">
        <x:v>IC-L3-356；IC-L3-383</x:v>
      </x:c>
      <x:c r="L260" s="39" t="str">
        <x:v>205；232</x:v>
      </x:c>
      <x:c r="M260" s="68" t="n">
        <x:v>0.234</x:v>
      </x:c>
      <x:c r="N260" s="68" t="n">
        <x:v>0.087</x:v>
      </x:c>
      <x:c r="O260" s="39" t="str">
        <x:v>岗位名称完全一致且职业分类一致；建议保留一个标准岗位，原记录转为来源/产业关联。</x:v>
      </x:c>
    </x:row>
    <x:row r="261" ht="44" customHeight="1">
      <x:c r="A261" s="65" t="n">
        <x:v>260</x:v>
      </x:c>
      <x:c r="B261" s="39" t="str">
        <x:v>医院管理人员</x:v>
      </x:c>
      <x:c r="C261" s="42" t="n">
        <x:v>2</x:v>
      </x:c>
      <x:c r="D261" s="42" t="n">
        <x:f>C261-1</x:f>
        <x:v>1</x:v>
      </x:c>
      <x:c r="E261" s="42" t="n">
        <x:f>IF(F261="需拆分后合并",0,C261-1)</x:f>
        <x:v>1</x:v>
      </x:c>
      <x:c r="F261" s="39" t="str">
        <x:v>条件合并（先修分类）</x:v>
      </x:c>
      <x:c r="G261" s="39" t="str">
        <x:v>医院管理人员</x:v>
      </x:c>
      <x:c r="H261" s="39" t="str">
        <x:v>2-05-01-19；2-05-08-01</x:v>
      </x:c>
      <x:c r="I261" s="39" t="str">
        <x:v>全科医师；内科护士</x:v>
      </x:c>
      <x:c r="J261" s="39" t="str">
        <x:v>医药/医疗 &gt; 医生/医技 &gt; 医院管理人员；医药/医疗 &gt; 护理/护士 &gt; 医院管理人员</x:v>
      </x:c>
      <x:c r="K261" s="39" t="str">
        <x:v>IC-L3-321；IC-L3-370</x:v>
      </x:c>
      <x:c r="L261" s="39" t="str">
        <x:v>170；219</x:v>
      </x:c>
      <x:c r="M261" s="68" t="n">
        <x:v>0.106</x:v>
      </x:c>
      <x:c r="N261" s="68" t="n">
        <x:v>0.061</x:v>
      </x:c>
      <x:c r="O261" s="39" t="str">
        <x:v>岗位名称完全一致，但职业分类存在冲突；优先核对并修正分类，再合并标准岗位，来源产业关系必须保留。</x:v>
      </x:c>
    </x:row>
    <x:row r="262" ht="44" customHeight="1">
      <x:c r="A262" s="65" t="n">
        <x:v>261</x:v>
      </x:c>
      <x:c r="B262" s="39" t="str">
        <x:v>艺术/设计总监</x:v>
      </x:c>
      <x:c r="C262" s="42" t="n">
        <x:v>2</x:v>
      </x:c>
      <x:c r="D262" s="42" t="n">
        <x:f>C262-1</x:f>
        <x:v>1</x:v>
      </x:c>
      <x:c r="E262" s="42" t="n">
        <x:f>IF(F262="需拆分后合并",0,C262-1)</x:f>
        <x:v>1</x:v>
      </x:c>
      <x:c r="F262" s="39" t="str">
        <x:v>条件合并（先修分类）</x:v>
      </x:c>
      <x:c r="G262" s="39" t="str">
        <x:v>艺术/设计总监</x:v>
      </x:c>
      <x:c r="H262" s="39" t="str">
        <x:v>2-09-06-01；2-02-07-01</x:v>
      </x:c>
      <x:c r="I262" s="39" t="str">
        <x:v>视觉传达设计人员；机械设计工程技术人员</x:v>
      </x:c>
      <x:c r="J262" s="39" t="str">
        <x:v>文化/传媒 &gt; 影视/媒体 &gt; 艺术/设计总监；设计 &gt; 工业设计 &gt; 艺术/设计总监</x:v>
      </x:c>
      <x:c r="K262" s="39" t="str">
        <x:v>IC-L3-673；IC-L3-1129</x:v>
      </x:c>
      <x:c r="L262" s="39" t="str">
        <x:v>522；978</x:v>
      </x:c>
      <x:c r="M262" s="68" t="n">
        <x:v>0.085</x:v>
      </x:c>
      <x:c r="N262" s="68" t="n">
        <x:v>0.023</x:v>
      </x:c>
      <x:c r="O262" s="39" t="str">
        <x:v>岗位名称完全一致，但职业分类存在冲突；优先核对并修正分类，再合并标准岗位，来源产业关系必须保留。</x:v>
      </x:c>
    </x:row>
    <x:row r="263" ht="44" customHeight="1">
      <x:c r="A263" s="65" t="n">
        <x:v>262</x:v>
      </x:c>
      <x:c r="B263" s="39" t="str">
        <x:v>音乐老师</x:v>
      </x:c>
      <x:c r="C263" s="42" t="n">
        <x:v>2</x:v>
      </x:c>
      <x:c r="D263" s="42" t="n">
        <x:f>C263-1</x:f>
        <x:v>1</x:v>
      </x:c>
      <x:c r="E263" s="42" t="n">
        <x:f>IF(F263="需拆分后合并",0,C263-1)</x:f>
        <x:v>1</x:v>
      </x:c>
      <x:c r="F263" s="39" t="str">
        <x:v>可直接合并</x:v>
      </x:c>
      <x:c r="G263" s="39" t="str">
        <x:v>音乐老师</x:v>
      </x:c>
      <x:c r="H263" s="39" t="str">
        <x:v>2-09-07-01</x:v>
      </x:c>
      <x:c r="I263" s="39" t="str">
        <x:v>教练员</x:v>
      </x:c>
      <x:c r="J263" s="39" t="str">
        <x:v>生活服务/零售 &gt; 服务员 &gt; 音乐老师；科研/教育/培训 &gt; 教师 &gt; 音乐老师</x:v>
      </x:c>
      <x:c r="K263" s="39" t="str">
        <x:v>IC-L3-979；IC-L3-1044</x:v>
      </x:c>
      <x:c r="L263" s="39" t="str">
        <x:v>828；893</x:v>
      </x:c>
      <x:c r="M263" s="68" t="n">
        <x:v>0.053</x:v>
      </x:c>
      <x:c r="N263" s="68" t="n">
        <x:v>0.059</x:v>
      </x:c>
      <x:c r="O263" s="39" t="str">
        <x:v>岗位名称完全一致且职业分类一致；建议保留一个标准岗位，原记录转为来源/产业关联。</x:v>
      </x:c>
    </x:row>
    <x:row r="264" ht="44" customHeight="1">
      <x:c r="A264" s="65" t="n">
        <x:v>263</x:v>
      </x:c>
      <x:c r="B264" s="39" t="str">
        <x:v>用户研究</x:v>
      </x:c>
      <x:c r="C264" s="42" t="n">
        <x:v>2</x:v>
      </x:c>
      <x:c r="D264" s="42" t="n">
        <x:f>C264-1</x:f>
        <x:v>1</x:v>
      </x:c>
      <x:c r="E264" s="42" t="n">
        <x:f>IF(F264="需拆分后合并",0,C264-1)</x:f>
        <x:v>1</x:v>
      </x:c>
      <x:c r="F264" s="39" t="str">
        <x:v>条件合并（先修分类）</x:v>
      </x:c>
      <x:c r="G264" s="39" t="str">
        <x:v>用户研究</x:v>
      </x:c>
      <x:c r="H264" s="39" t="str">
        <x:v>2-02-10-03；2-09-06-01</x:v>
      </x:c>
      <x:c r="I264" s="39" t="str">
        <x:v>计算机软件工程技术人员；视觉传达设计人员</x:v>
      </x:c>
      <x:c r="J264" s="39" t="str">
        <x:v>产品 &gt; 互联网产品经理 &gt; 用户研究；设计 &gt; 互联网设计 &gt; 用户研究</x:v>
      </x:c>
      <x:c r="K264" s="39" t="str">
        <x:v>IC-L3-255；IC-L3-1110</x:v>
      </x:c>
      <x:c r="L264" s="39" t="str">
        <x:v>104；959</x:v>
      </x:c>
      <x:c r="M264" s="68" t="n">
        <x:v>0.192</x:v>
      </x:c>
      <x:c r="N264" s="68" t="n">
        <x:v>0.176</x:v>
      </x:c>
      <x:c r="O264" s="39" t="str">
        <x:v>岗位名称完全一致，但职业分类存在冲突；优先核对并修正分类，再合并标准岗位，来源产业关系必须保留。</x:v>
      </x:c>
    </x:row>
    <x:row r="265" ht="44" customHeight="1">
      <x:c r="A265" s="65" t="n">
        <x:v>264</x:v>
      </x:c>
      <x:c r="B265" s="39" t="str">
        <x:v>用户运营</x:v>
      </x:c>
      <x:c r="C265" s="42" t="n">
        <x:v>2</x:v>
      </x:c>
      <x:c r="D265" s="42" t="n">
        <x:f>C265-1</x:f>
        <x:v>1</x:v>
      </x:c>
      <x:c r="E265" s="42" t="n">
        <x:f>IF(F265="需拆分后合并",0,C265-1)</x:f>
        <x:v>1</x:v>
      </x:c>
      <x:c r="F265" s="39" t="str">
        <x:v>可直接合并</x:v>
      </x:c>
      <x:c r="G265" s="39" t="str">
        <x:v>用户运营</x:v>
      </x:c>
      <x:c r="H265" s="39" t="str">
        <x:v>4-04-05-01</x:v>
      </x:c>
      <x:c r="I265" s="39" t="str">
        <x:v>计算机程序设计员</x:v>
      </x:c>
      <x:c r="J265" s="39" t="str">
        <x:v>互联网技术 &gt; 运维/技术支持 &gt; 用户运营；运营 &gt; 业务运营 &gt; 用户运营</x:v>
      </x:c>
      <x:c r="K265" s="39" t="str">
        <x:v>IC-L3-235；IC-L3-1237</x:v>
      </x:c>
      <x:c r="L265" s="39" t="str">
        <x:v>84；1086</x:v>
      </x:c>
      <x:c r="M265" s="68" t="n">
        <x:v>0.073</x:v>
      </x:c>
      <x:c r="N265" s="68" t="n">
        <x:v>0.05</x:v>
      </x:c>
      <x:c r="O265" s="39" t="str">
        <x:v>岗位名称完全一致且职业分类一致；建议保留一个标准岗位，原记录转为来源/产业关联。</x:v>
      </x:c>
    </x:row>
    <x:row r="266" ht="44" customHeight="1">
      <x:c r="A266" s="65" t="n">
        <x:v>265</x:v>
      </x:c>
      <x:c r="B266" s="39" t="str">
        <x:v>游戏测试</x:v>
      </x:c>
      <x:c r="C266" s="42" t="n">
        <x:v>2</x:v>
      </x:c>
      <x:c r="D266" s="42" t="n">
        <x:f>C266-1</x:f>
        <x:v>1</x:v>
      </x:c>
      <x:c r="E266" s="42" t="n">
        <x:f>IF(F266="需拆分后合并",0,C266-1)</x:f>
        <x:v>1</x:v>
      </x:c>
      <x:c r="F266" s="39" t="str">
        <x:v>可直接合并</x:v>
      </x:c>
      <x:c r="G266" s="39" t="str">
        <x:v>游戏测试</x:v>
      </x:c>
      <x:c r="H266" s="39" t="str">
        <x:v>2-09-06-01</x:v>
      </x:c>
      <x:c r="I266" s="39" t="str">
        <x:v>视觉传达设计人员</x:v>
      </x:c>
      <x:c r="J266" s="39" t="str">
        <x:v>互联网技术 &gt; 测试 &gt; 游戏测试；互联网技术 &gt; 游戏开发 &gt; 游戏测试</x:v>
      </x:c>
      <x:c r="K266" s="39" t="str">
        <x:v>IC-L3-212；IC-L3-217</x:v>
      </x:c>
      <x:c r="L266" s="39" t="str">
        <x:v>61；66</x:v>
      </x:c>
      <x:c r="M266" s="68" t="n">
        <x:v>0.102</x:v>
      </x:c>
      <x:c r="N266" s="68" t="n">
        <x:v>0.053</x:v>
      </x:c>
      <x:c r="O266" s="39" t="str">
        <x:v>岗位名称完全一致且职业分类一致；建议保留一个标准岗位，原记录转为来源/产业关联。</x:v>
      </x:c>
    </x:row>
    <x:row r="267" ht="44" customHeight="1">
      <x:c r="A267" s="65" t="n">
        <x:v>266</x:v>
      </x:c>
      <x:c r="B267" s="39" t="str">
        <x:v>游戏动画师</x:v>
      </x:c>
      <x:c r="C267" s="42" t="n">
        <x:v>2</x:v>
      </x:c>
      <x:c r="D267" s="42" t="n">
        <x:f>C267-1</x:f>
        <x:v>1</x:v>
      </x:c>
      <x:c r="E267" s="42" t="n">
        <x:f>IF(F267="需拆分后合并",0,C267-1)</x:f>
        <x:v>1</x:v>
      </x:c>
      <x:c r="F267" s="39" t="str">
        <x:v>可直接合并</x:v>
      </x:c>
      <x:c r="G267" s="39" t="str">
        <x:v>游戏动画师</x:v>
      </x:c>
      <x:c r="H267" s="39" t="str">
        <x:v>2-09-06-01</x:v>
      </x:c>
      <x:c r="I267" s="39" t="str">
        <x:v>视觉传达设计人员</x:v>
      </x:c>
      <x:c r="J267" s="39" t="str">
        <x:v>互联网技术 &gt; 游戏开发 &gt; 游戏动画师；设计 &gt; 游戏设计 &gt; 游戏动画师</x:v>
      </x:c>
      <x:c r="K267" s="39" t="str">
        <x:v>IC-L3-221；IC-L3-1173</x:v>
      </x:c>
      <x:c r="L267" s="39" t="str">
        <x:v>70；1022</x:v>
      </x:c>
      <x:c r="M267" s="68" t="n">
        <x:v>0.084</x:v>
      </x:c>
      <x:c r="N267" s="68" t="n">
        <x:v>0.041</x:v>
      </x:c>
      <x:c r="O267" s="39" t="str">
        <x:v>岗位名称完全一致且职业分类一致；建议保留一个标准岗位，原记录转为来源/产业关联。</x:v>
      </x:c>
    </x:row>
    <x:row r="268" ht="44" customHeight="1">
      <x:c r="A268" s="65" t="n">
        <x:v>267</x:v>
      </x:c>
      <x:c r="B268" s="39" t="str">
        <x:v>游戏数值策划</x:v>
      </x:c>
      <x:c r="C268" s="42" t="n">
        <x:v>2</x:v>
      </x:c>
      <x:c r="D268" s="42" t="n">
        <x:f>C268-1</x:f>
        <x:v>1</x:v>
      </x:c>
      <x:c r="E268" s="42" t="n">
        <x:f>IF(F268="需拆分后合并",0,C268-1)</x:f>
        <x:v>1</x:v>
      </x:c>
      <x:c r="F268" s="39" t="str">
        <x:v>可直接合并</x:v>
      </x:c>
      <x:c r="G268" s="39" t="str">
        <x:v>游戏数值策划</x:v>
      </x:c>
      <x:c r="H268" s="39" t="str">
        <x:v>2-09-06-01</x:v>
      </x:c>
      <x:c r="I268" s="39" t="str">
        <x:v>视觉传达设计人员</x:v>
      </x:c>
      <x:c r="J268" s="39" t="str">
        <x:v>产品 &gt; 游戏策划 &gt; 游戏数值策划；设计 &gt; 游戏设计 &gt; 游戏数值策划</x:v>
      </x:c>
      <x:c r="K268" s="39" t="str">
        <x:v>IC-L3-269；IC-L3-1179</x:v>
      </x:c>
      <x:c r="L268" s="39" t="str">
        <x:v>118；1028</x:v>
      </x:c>
      <x:c r="M268" s="68" t="n">
        <x:v>0.105</x:v>
      </x:c>
      <x:c r="N268" s="68" t="n">
        <x:v>0.072</x:v>
      </x:c>
      <x:c r="O268" s="39" t="str">
        <x:v>岗位名称完全一致且职业分类一致；建议保留一个标准岗位，原记录转为来源/产业关联。</x:v>
      </x:c>
    </x:row>
    <x:row r="269" ht="44" customHeight="1">
      <x:c r="A269" s="65" t="n">
        <x:v>268</x:v>
      </x:c>
      <x:c r="B269" s="39" t="str">
        <x:v>游戏特效设计师</x:v>
      </x:c>
      <x:c r="C269" s="42" t="n">
        <x:v>2</x:v>
      </x:c>
      <x:c r="D269" s="42" t="n">
        <x:f>C269-1</x:f>
        <x:v>1</x:v>
      </x:c>
      <x:c r="E269" s="42" t="n">
        <x:f>IF(F269="需拆分后合并",0,C269-1)</x:f>
        <x:v>1</x:v>
      </x:c>
      <x:c r="F269" s="39" t="str">
        <x:v>可直接合并</x:v>
      </x:c>
      <x:c r="G269" s="39" t="str">
        <x:v>游戏特效设计师</x:v>
      </x:c>
      <x:c r="H269" s="39" t="str">
        <x:v>2-09-06-01</x:v>
      </x:c>
      <x:c r="I269" s="39" t="str">
        <x:v>视觉传达设计人员</x:v>
      </x:c>
      <x:c r="J269" s="39" t="str">
        <x:v>互联网技术 &gt; 游戏开发 &gt; 游戏特效设计师；设计 &gt; 游戏设计 &gt; 游戏特效设计师</x:v>
      </x:c>
      <x:c r="K269" s="39" t="str">
        <x:v>IC-L3-220；IC-L3-1176</x:v>
      </x:c>
      <x:c r="L269" s="39" t="str">
        <x:v>69；1025</x:v>
      </x:c>
      <x:c r="M269" s="68" t="n">
        <x:v>0.086</x:v>
      </x:c>
      <x:c r="N269" s="68" t="n">
        <x:v>0.045</x:v>
      </x:c>
      <x:c r="O269" s="39" t="str">
        <x:v>岗位名称完全一致且职业分类一致；建议保留一个标准岗位，原记录转为来源/产业关联。</x:v>
      </x:c>
    </x:row>
    <x:row r="270" ht="44" customHeight="1">
      <x:c r="A270" s="65" t="n">
        <x:v>269</x:v>
      </x:c>
      <x:c r="B270" s="39" t="str">
        <x:v>游戏运营</x:v>
      </x:c>
      <x:c r="C270" s="42" t="n">
        <x:v>2</x:v>
      </x:c>
      <x:c r="D270" s="42" t="n">
        <x:f>C270-1</x:f>
        <x:v>1</x:v>
      </x:c>
      <x:c r="E270" s="42" t="n">
        <x:f>IF(F270="需拆分后合并",0,C270-1)</x:f>
        <x:v>1</x:v>
      </x:c>
      <x:c r="F270" s="39" t="str">
        <x:v>可直接合并</x:v>
      </x:c>
      <x:c r="G270" s="39" t="str">
        <x:v>游戏运营</x:v>
      </x:c>
      <x:c r="H270" s="39" t="str">
        <x:v>2-09-06-01</x:v>
      </x:c>
      <x:c r="I270" s="39" t="str">
        <x:v>视觉传达设计人员</x:v>
      </x:c>
      <x:c r="J270" s="39" t="str">
        <x:v>互联网技术 &gt; 游戏开发 &gt; 游戏运营；运营 &gt; 业务运营 &gt; 游戏运营</x:v>
      </x:c>
      <x:c r="K270" s="39" t="str">
        <x:v>IC-L3-218；IC-L3-1236</x:v>
      </x:c>
      <x:c r="L270" s="39" t="str">
        <x:v>67；1085</x:v>
      </x:c>
      <x:c r="M270" s="68" t="n">
        <x:v>0.069</x:v>
      </x:c>
      <x:c r="N270" s="68" t="n">
        <x:v>0.071</x:v>
      </x:c>
      <x:c r="O270" s="39" t="str">
        <x:v>岗位名称完全一致且职业分类一致；建议保留一个标准岗位，原记录转为来源/产业关联。</x:v>
      </x:c>
    </x:row>
    <x:row r="271" ht="44" customHeight="1">
      <x:c r="A271" s="65" t="n">
        <x:v>270</x:v>
      </x:c>
      <x:c r="B271" s="39" t="str">
        <x:v>游戏制作人</x:v>
      </x:c>
      <x:c r="C271" s="42" t="n">
        <x:v>2</x:v>
      </x:c>
      <x:c r="D271" s="42" t="n">
        <x:f>C271-1</x:f>
        <x:v>1</x:v>
      </x:c>
      <x:c r="E271" s="42" t="n">
        <x:f>IF(F271="需拆分后合并",0,C271-1)</x:f>
        <x:v>1</x:v>
      </x:c>
      <x:c r="F271" s="39" t="str">
        <x:v>可直接合并</x:v>
      </x:c>
      <x:c r="G271" s="39" t="str">
        <x:v>游戏制作人</x:v>
      </x:c>
      <x:c r="H271" s="39" t="str">
        <x:v>2-09-06-01</x:v>
      </x:c>
      <x:c r="I271" s="39" t="str">
        <x:v>视觉传达设计人员</x:v>
      </x:c>
      <x:c r="J271" s="39" t="str">
        <x:v>互联网技术 &gt; 游戏开发 &gt; 游戏制作人；产品 &gt; 游戏策划 &gt; 游戏制作人</x:v>
      </x:c>
      <x:c r="K271" s="39" t="str">
        <x:v>IC-L3-219；IC-L3-268</x:v>
      </x:c>
      <x:c r="L271" s="39" t="str">
        <x:v>68；117</x:v>
      </x:c>
      <x:c r="M271" s="68" t="n">
        <x:v>0.081</x:v>
      </x:c>
      <x:c r="N271" s="68" t="n">
        <x:v>0.076</x:v>
      </x:c>
      <x:c r="O271" s="39" t="str">
        <x:v>岗位名称完全一致且职业分类一致；建议保留一个标准岗位，原记录转为来源/产业关联。</x:v>
      </x:c>
    </x:row>
    <x:row r="272" ht="44" customHeight="1">
      <x:c r="A272" s="65" t="n">
        <x:v>271</x:v>
      </x:c>
      <x:c r="B272" s="39" t="str">
        <x:v>幼教</x:v>
      </x:c>
      <x:c r="C272" s="42" t="n">
        <x:v>2</x:v>
      </x:c>
      <x:c r="D272" s="42" t="n">
        <x:f>C272-1</x:f>
        <x:v>1</x:v>
      </x:c>
      <x:c r="E272" s="42" t="n">
        <x:f>IF(F272="需拆分后合并",0,C272-1)</x:f>
        <x:v>1</x:v>
      </x:c>
      <x:c r="F272" s="39" t="str">
        <x:v>可直接合并</x:v>
      </x:c>
      <x:c r="G272" s="39" t="str">
        <x:v>幼教</x:v>
      </x:c>
      <x:c r="H272" s="39" t="str">
        <x:v>2-08-03-00</x:v>
      </x:c>
      <x:c r="I272" s="39" t="str">
        <x:v>幼儿园教师</x:v>
      </x:c>
      <x:c r="J272" s="39" t="str">
        <x:v>科研/教育/培训 &gt; 教师 &gt; 幼教；科研/教育/培训 &gt; 特长教育/培训 &gt; 幼教</x:v>
      </x:c>
      <x:c r="K272" s="39" t="str">
        <x:v>IC-L3-1030；IC-L3-1067</x:v>
      </x:c>
      <x:c r="L272" s="39" t="str">
        <x:v>879；916</x:v>
      </x:c>
      <x:c r="M272" s="68" t="n">
        <x:v>0.091</x:v>
      </x:c>
      <x:c r="N272" s="68" t="n">
        <x:v>0.048</x:v>
      </x:c>
      <x:c r="O272" s="39" t="str">
        <x:v>岗位名称完全一致且职业分类一致；建议保留一个标准岗位，原记录转为来源/产业关联。</x:v>
      </x:c>
    </x:row>
    <x:row r="273" ht="44" customHeight="1">
      <x:c r="A273" s="65" t="n">
        <x:v>272</x:v>
      </x:c>
      <x:c r="B273" s="39" t="str">
        <x:v>语音/视频/图形开发</x:v>
      </x:c>
      <x:c r="C273" s="42" t="n">
        <x:v>2</x:v>
      </x:c>
      <x:c r="D273" s="42" t="n">
        <x:f>C273-1</x:f>
        <x:v>1</x:v>
      </x:c>
      <x:c r="E273" s="42" t="n">
        <x:f>IF(F273="需拆分后合并",0,C273-1)</x:f>
        <x:v>1</x:v>
      </x:c>
      <x:c r="F273" s="39" t="str">
        <x:v>条件合并（先修分类）</x:v>
      </x:c>
      <x:c r="G273" s="39" t="str">
        <x:v>语音/视频/图形开发</x:v>
      </x:c>
      <x:c r="H273" s="39" t="str">
        <x:v>2-02-10-03；2-02-09-02</x:v>
      </x:c>
      <x:c r="I273" s="39" t="str">
        <x:v>计算机软件工程技术人员；电子元器件工程技术人员</x:v>
      </x:c>
      <x:c r="J273" s="39" t="str">
        <x:v>互联网技术 &gt; 后端开发 &gt; 语音/视频/图形开发；通信/电子 &gt; 硬件开发 &gt; 语音/视频/图形开发</x:v>
      </x:c>
      <x:c r="K273" s="39" t="str">
        <x:v>IC-L3-179；IC-L3-1340</x:v>
      </x:c>
      <x:c r="L273" s="39" t="str">
        <x:v>28；1189</x:v>
      </x:c>
      <x:c r="M273" s="68" t="n">
        <x:v>0.078</x:v>
      </x:c>
      <x:c r="N273" s="68" t="n">
        <x:v>0.058</x:v>
      </x:c>
      <x:c r="O273" s="39" t="str">
        <x:v>岗位名称完全一致，但职业分类存在冲突；优先核对并修正分类，再合并标准岗位，来源产业关系必须保留。</x:v>
      </x:c>
    </x:row>
    <x:row r="274" ht="44" customHeight="1">
      <x:c r="A274" s="65" t="n">
        <x:v>273</x:v>
      </x:c>
      <x:c r="B274" s="39" t="str">
        <x:v>园艺/园林/景观设计</x:v>
      </x:c>
      <x:c r="C274" s="42" t="n">
        <x:v>2</x:v>
      </x:c>
      <x:c r="D274" s="42" t="n">
        <x:f>C274-1</x:f>
        <x:v>1</x:v>
      </x:c>
      <x:c r="E274" s="42" t="n">
        <x:f>IF(F274="需拆分后合并",0,C274-1)</x:f>
        <x:v>1</x:v>
      </x:c>
      <x:c r="F274" s="39" t="str">
        <x:v>条件合并（先修分类）</x:v>
      </x:c>
      <x:c r="G274" s="39" t="str">
        <x:v>园艺/园林/景观设计</x:v>
      </x:c>
      <x:c r="H274" s="39" t="str">
        <x:v>2-02-18-01；2-09-06-01</x:v>
      </x:c>
      <x:c r="I274" s="39" t="str">
        <x:v>建筑和市政设计工程技术人员；视觉传达设计人员</x:v>
      </x:c>
      <x:c r="J274" s="39" t="str">
        <x:v>建筑/房地产 &gt; 建筑规划与设计 &gt; 园艺/园林/景观设计；设计 &gt; 建筑/室内设计 &gt; 园艺/园林/景观设计</x:v>
      </x:c>
      <x:c r="K274" s="39" t="str">
        <x:v>IC-L3-607；IC-L3-1146</x:v>
      </x:c>
      <x:c r="L274" s="39" t="str">
        <x:v>456；995</x:v>
      </x:c>
      <x:c r="M274" s="68" t="n">
        <x:v>0.204</x:v>
      </x:c>
      <x:c r="N274" s="68" t="n">
        <x:v>0.12</x:v>
      </x:c>
      <x:c r="O274" s="39" t="str">
        <x:v>岗位名称完全一致，但职业分类存在冲突；优先核对并修正分类，再合并标准岗位，来源产业关系必须保留。</x:v>
      </x:c>
    </x:row>
    <x:row r="275" ht="44" customHeight="1">
      <x:c r="A275" s="65" t="n">
        <x:v>274</x:v>
      </x:c>
      <x:c r="B275" s="39" t="str">
        <x:v>原画师</x:v>
      </x:c>
      <x:c r="C275" s="42" t="n">
        <x:v>2</x:v>
      </x:c>
      <x:c r="D275" s="42" t="n">
        <x:f>C275-1</x:f>
        <x:v>1</x:v>
      </x:c>
      <x:c r="E275" s="42" t="n">
        <x:f>IF(F275="需拆分后合并",0,C275-1)</x:f>
        <x:v>1</x:v>
      </x:c>
      <x:c r="F275" s="39" t="str">
        <x:v>可直接合并</x:v>
      </x:c>
      <x:c r="G275" s="39" t="str">
        <x:v>原画师</x:v>
      </x:c>
      <x:c r="H275" s="39" t="str">
        <x:v>2-09-06-01</x:v>
      </x:c>
      <x:c r="I275" s="39" t="str">
        <x:v>视觉传达设计人员</x:v>
      </x:c>
      <x:c r="J275" s="39" t="str">
        <x:v>设计 &gt; 动画设计 &gt; 原画师；设计 &gt; 平面设计 &gt; 原画师</x:v>
      </x:c>
      <x:c r="K275" s="39" t="str">
        <x:v>IC-L3-1115；IC-L3-1136</x:v>
      </x:c>
      <x:c r="L275" s="39" t="str">
        <x:v>964；985</x:v>
      </x:c>
      <x:c r="M275" s="68" t="n">
        <x:v>0.067</x:v>
      </x:c>
      <x:c r="N275" s="68" t="n">
        <x:v>0.068</x:v>
      </x:c>
      <x:c r="O275" s="39" t="str">
        <x:v>岗位名称完全一致且职业分类一致；建议保留一个标准岗位，原记录转为来源/产业关联。</x:v>
      </x:c>
    </x:row>
    <x:row r="276" ht="44" customHeight="1">
      <x:c r="A276" s="65" t="n">
        <x:v>275</x:v>
      </x:c>
      <x:c r="B276" s="39" t="str">
        <x:v>展览/展示/店面设计</x:v>
      </x:c>
      <x:c r="C276" s="42" t="n">
        <x:v>2</x:v>
      </x:c>
      <x:c r="D276" s="42" t="n">
        <x:f>C276-1</x:f>
        <x:v>1</x:v>
      </x:c>
      <x:c r="E276" s="42" t="n">
        <x:f>IF(F276="需拆分后合并",0,C276-1)</x:f>
        <x:v>1</x:v>
      </x:c>
      <x:c r="F276" s="39" t="str">
        <x:v>可直接合并</x:v>
      </x:c>
      <x:c r="G276" s="39" t="str">
        <x:v>展览/展示/店面设计</x:v>
      </x:c>
      <x:c r="H276" s="39" t="str">
        <x:v>2-09-06-01</x:v>
      </x:c>
      <x:c r="I276" s="39" t="str">
        <x:v>视觉传达设计人员</x:v>
      </x:c>
      <x:c r="J276" s="39" t="str">
        <x:v>设计 &gt; 工业设计 &gt; 展览/展示/店面设计；设计 &gt; 平面设计 &gt; 展览/展示/店面设计</x:v>
      </x:c>
      <x:c r="K276" s="39" t="str">
        <x:v>IC-L3-1122；IC-L3-1139</x:v>
      </x:c>
      <x:c r="L276" s="39" t="str">
        <x:v>971；988</x:v>
      </x:c>
      <x:c r="M276" s="68" t="n">
        <x:v>0.13</x:v>
      </x:c>
      <x:c r="N276" s="68" t="n">
        <x:v>0.052</x:v>
      </x:c>
      <x:c r="O276" s="39" t="str">
        <x:v>岗位名称完全一致且职业分类一致；建议保留一个标准岗位，原记录转为来源/产业关联。</x:v>
      </x:c>
    </x:row>
    <x:row r="277" ht="44" customHeight="1">
      <x:c r="A277" s="65" t="n">
        <x:v>276</x:v>
      </x:c>
      <x:c r="B277" s="39" t="str">
        <x:v>照明设计</x:v>
      </x:c>
      <x:c r="C277" s="42" t="n">
        <x:v>2</x:v>
      </x:c>
      <x:c r="D277" s="42" t="n">
        <x:f>C277-1</x:f>
        <x:v>1</x:v>
      </x:c>
      <x:c r="E277" s="42" t="n">
        <x:f>IF(F277="需拆分后合并",0,C277-1)</x:f>
        <x:v>1</x:v>
      </x:c>
      <x:c r="F277" s="39" t="str">
        <x:v>可直接合并</x:v>
      </x:c>
      <x:c r="G277" s="39" t="str">
        <x:v>照明设计</x:v>
      </x:c>
      <x:c r="H277" s="39" t="str">
        <x:v>2-09-06-01</x:v>
      </x:c>
      <x:c r="I277" s="39" t="str">
        <x:v>视觉传达设计人员</x:v>
      </x:c>
      <x:c r="J277" s="39" t="str">
        <x:v>设计 &gt; 工业设计 &gt; 照明设计；设计 &gt; 建筑/室内设计 &gt; 照明设计</x:v>
      </x:c>
      <x:c r="K277" s="39" t="str">
        <x:v>IC-L3-1125；IC-L3-1160</x:v>
      </x:c>
      <x:c r="L277" s="39" t="str">
        <x:v>974；1009</x:v>
      </x:c>
      <x:c r="M277" s="68" t="n">
        <x:v>0.157</x:v>
      </x:c>
      <x:c r="N277" s="68" t="n">
        <x:v>0.101</x:v>
      </x:c>
      <x:c r="O277" s="39" t="str">
        <x:v>岗位名称完全一致且职业分类一致；建议保留一个标准岗位，原记录转为来源/产业关联。</x:v>
      </x:c>
    </x:row>
    <x:row r="278" ht="44" customHeight="1">
      <x:c r="A278" s="65" t="n">
        <x:v>277</x:v>
      </x:c>
      <x:c r="B278" s="39" t="str">
        <x:v>针灸/推拿</x:v>
      </x:c>
      <x:c r="C278" s="42" t="n">
        <x:v>2</x:v>
      </x:c>
      <x:c r="D278" s="42" t="n">
        <x:f>C278-1</x:f>
        <x:v>1</x:v>
      </x:c>
      <x:c r="E278" s="42" t="n">
        <x:f>IF(F278="需拆分后合并",0,C278-1)</x:f>
        <x:v>1</x:v>
      </x:c>
      <x:c r="F278" s="39" t="str">
        <x:v>条件合并（先修分类）</x:v>
      </x:c>
      <x:c r="G278" s="39" t="str">
        <x:v>针灸/推拿</x:v>
      </x:c>
      <x:c r="H278" s="39" t="str">
        <x:v>2-05-01-19；2-05-08-01</x:v>
      </x:c>
      <x:c r="I278" s="39" t="str">
        <x:v>全科医师；内科护士</x:v>
      </x:c>
      <x:c r="J278" s="39" t="str">
        <x:v>医药/医疗 &gt; 医生/医技 &gt; 针灸/推拿；医药/医疗 &gt; 护理/护士 &gt; 针灸/推拿</x:v>
      </x:c>
      <x:c r="K278" s="39" t="str">
        <x:v>IC-L3-335；IC-L3-365</x:v>
      </x:c>
      <x:c r="L278" s="39" t="str">
        <x:v>184；214</x:v>
      </x:c>
      <x:c r="M278" s="68" t="n">
        <x:v>0.086</x:v>
      </x:c>
      <x:c r="N278" s="68" t="n">
        <x:v>0.052</x:v>
      </x:c>
      <x:c r="O278" s="39" t="str">
        <x:v>岗位名称完全一致，但职业分类存在冲突；优先核对并修正分类，再合并标准岗位，来源产业关系必须保留。</x:v>
      </x:c>
    </x:row>
    <x:row r="279" ht="44" customHeight="1">
      <x:c r="A279" s="65" t="n">
        <x:v>278</x:v>
      </x:c>
      <x:c r="B279" s="39" t="str">
        <x:v>证券/期货/外汇经纪人</x:v>
      </x:c>
      <x:c r="C279" s="42" t="n">
        <x:v>2</x:v>
      </x:c>
      <x:c r="D279" s="42" t="n">
        <x:f>C279-1</x:f>
        <x:v>1</x:v>
      </x:c>
      <x:c r="E279" s="42" t="n">
        <x:f>IF(F279="需拆分后合并",0,C279-1)</x:f>
        <x:v>1</x:v>
      </x:c>
      <x:c r="F279" s="39" t="str">
        <x:v>可直接合并</x:v>
      </x:c>
      <x:c r="G279" s="39" t="str">
        <x:v>证券/期货/外汇经纪人</x:v>
      </x:c>
      <x:c r="H279" s="39" t="str">
        <x:v>2-06-11-03</x:v>
      </x:c>
      <x:c r="I279" s="39" t="str">
        <x:v>证券投资专业人员</x:v>
      </x:c>
      <x:c r="J279" s="39" t="str">
        <x:v>金融 &gt; 期货 &gt; 证券/期货/外汇经纪人；金融 &gt; 证券 &gt; 证券/期货/外汇经纪人</x:v>
      </x:c>
      <x:c r="K279" s="39" t="str">
        <x:v>IC-L3-1426；IC-L3-1432</x:v>
      </x:c>
      <x:c r="L279" s="39" t="str">
        <x:v>1275；1281</x:v>
      </x:c>
      <x:c r="M279" s="68" t="n">
        <x:v>0.211</x:v>
      </x:c>
      <x:c r="N279" s="68" t="n">
        <x:v>0.131</x:v>
      </x:c>
      <x:c r="O279" s="39" t="str">
        <x:v>岗位名称完全一致且职业分类一致；建议保留一个标准岗位，原记录转为来源/产业关联。</x:v>
      </x:c>
    </x:row>
    <x:row r="280" ht="44" customHeight="1">
      <x:c r="A280" s="65" t="n">
        <x:v>279</x:v>
      </x:c>
      <x:c r="B280" s="39" t="str">
        <x:v>直播运营</x:v>
      </x:c>
      <x:c r="C280" s="42" t="n">
        <x:v>2</x:v>
      </x:c>
      <x:c r="D280" s="42" t="n">
        <x:f>C280-1</x:f>
        <x:v>1</x:v>
      </x:c>
      <x:c r="E280" s="42" t="n">
        <x:f>IF(F280="需拆分后合并",0,C280-1)</x:f>
        <x:v>1</x:v>
      </x:c>
      <x:c r="F280" s="39" t="str">
        <x:v>可直接合并</x:v>
      </x:c>
      <x:c r="G280" s="39" t="str">
        <x:v>直播运营</x:v>
      </x:c>
      <x:c r="H280" s="39" t="str">
        <x:v>4-04-05-01</x:v>
      </x:c>
      <x:c r="I280" s="39" t="str">
        <x:v>计算机程序设计员</x:v>
      </x:c>
      <x:c r="J280" s="39" t="str">
        <x:v>互联网技术 &gt; 运维/技术支持 &gt; 直播运营；运营 &gt; 内容运营 &gt; 直播运营</x:v>
      </x:c>
      <x:c r="K280" s="39" t="str">
        <x:v>IC-L3-238；IC-L3-1248</x:v>
      </x:c>
      <x:c r="L280" s="39" t="str">
        <x:v>87；1097</x:v>
      </x:c>
      <x:c r="M280" s="68" t="n">
        <x:v>0.064</x:v>
      </x:c>
      <x:c r="N280" s="68" t="n">
        <x:v>0.083</x:v>
      </x:c>
      <x:c r="O280" s="39" t="str">
        <x:v>岗位名称完全一致且职业分类一致；建议保留一个标准岗位，原记录转为来源/产业关联。</x:v>
      </x:c>
    </x:row>
    <x:row r="281" ht="44" customHeight="1">
      <x:c r="A281" s="65" t="n">
        <x:v>280</x:v>
      </x:c>
      <x:c r="B281" s="39" t="str">
        <x:v>质量工程师</x:v>
      </x:c>
      <x:c r="C281" s="42" t="n">
        <x:v>2</x:v>
      </x:c>
      <x:c r="D281" s="42" t="n">
        <x:f>C281-1</x:f>
        <x:v>1</x:v>
      </x:c>
      <x:c r="E281" s="42" t="n">
        <x:f>IF(F281="需拆分后合并",0,C281-1)</x:f>
        <x:v>1</x:v>
      </x:c>
      <x:c r="F281" s="39" t="str">
        <x:v>可直接合并</x:v>
      </x:c>
      <x:c r="G281" s="39" t="str">
        <x:v>质量工程师</x:v>
      </x:c>
      <x:c r="H281" s="39" t="str">
        <x:v>2-02-29-03</x:v>
      </x:c>
      <x:c r="I281" s="39" t="str">
        <x:v>质量管理工程技术人员</x:v>
      </x:c>
      <x:c r="J281" s="39" t="str">
        <x:v>生产制造 &gt; 质量管理 &gt; 质量工程师；能源/环保/化工 &gt; 环保 &gt; 质量工程师</x:v>
      </x:c>
      <x:c r="K281" s="39" t="str">
        <x:v>IC-L3-900；IC-L3-1094</x:v>
      </x:c>
      <x:c r="L281" s="39" t="str">
        <x:v>749；943</x:v>
      </x:c>
      <x:c r="M281" s="68" t="n">
        <x:v>0.082</x:v>
      </x:c>
      <x:c r="N281" s="68" t="n">
        <x:v>0.046</x:v>
      </x:c>
      <x:c r="O281" s="39" t="str">
        <x:v>岗位名称完全一致且职业分类一致；建议保留一个标准岗位，原记录转为来源/产业关联。</x:v>
      </x:c>
    </x:row>
    <x:row r="282" ht="44" customHeight="1">
      <x:c r="A282" s="65" t="n">
        <x:v>281</x:v>
      </x:c>
      <x:c r="B282" s="39" t="str">
        <x:v>珠宝销售顾问</x:v>
      </x:c>
      <x:c r="C282" s="42" t="n">
        <x:v>2</x:v>
      </x:c>
      <x:c r="D282" s="42" t="n">
        <x:f>C282-1</x:f>
        <x:v>1</x:v>
      </x:c>
      <x:c r="E282" s="42" t="n">
        <x:f>IF(F282="需拆分后合并",0,C282-1)</x:f>
        <x:v>1</x:v>
      </x:c>
      <x:c r="F282" s="39" t="str">
        <x:v>可直接合并</x:v>
      </x:c>
      <x:c r="G282" s="39" t="str">
        <x:v>珠宝销售顾问</x:v>
      </x:c>
      <x:c r="H282" s="39" t="str">
        <x:v>4-01-02-01</x:v>
      </x:c>
      <x:c r="I282" s="39" t="str">
        <x:v>营销员</x:v>
      </x:c>
      <x:c r="J282" s="39" t="str">
        <x:v>销售/客服 &gt; 服务业销售 &gt; 珠宝销售顾问；生活服务/零售 &gt; 零售 &gt; 珠宝销售顾问</x:v>
      </x:c>
      <x:c r="K282" s="39" t="str">
        <x:v>IC-L3-430；IC-L3-1013</x:v>
      </x:c>
      <x:c r="L282" s="39" t="str">
        <x:v>279；862</x:v>
      </x:c>
      <x:c r="M282" s="68" t="n">
        <x:v>0.226</x:v>
      </x:c>
      <x:c r="N282" s="68" t="n">
        <x:v>0.202</x:v>
      </x:c>
      <x:c r="O282" s="39" t="str">
        <x:v>岗位名称完全一致且职业分类一致；建议保留一个标准岗位，原记录转为来源/产业关联。</x:v>
      </x:c>
    </x:row>
    <x:row r="283" ht="44" customHeight="1">
      <x:c r="A283" s="65" t="n">
        <x:v>282</x:v>
      </x:c>
      <x:c r="B283" s="39" t="str">
        <x:v>注塑工程师</x:v>
      </x:c>
      <x:c r="C283" s="42" t="n">
        <x:v>2</x:v>
      </x:c>
      <x:c r="D283" s="42" t="n">
        <x:f>C283-1</x:f>
        <x:v>1</x:v>
      </x:c>
      <x:c r="E283" s="42" t="n">
        <x:f>IF(F283="需拆分后合并",0,C283-1)</x:f>
        <x:v>1</x:v>
      </x:c>
      <x:c r="F283" s="39" t="str">
        <x:v>条件合并（先修分类）</x:v>
      </x:c>
      <x:c r="G283" s="39" t="str">
        <x:v>注塑工程师</x:v>
      </x:c>
      <x:c r="H283" s="39" t="str">
        <x:v>2-02-07-01；6-31-01-01</x:v>
      </x:c>
      <x:c r="I283" s="39" t="str">
        <x:v>机械设计工程技术人员；设备点检员</x:v>
      </x:c>
      <x:c r="J283" s="39" t="str">
        <x:v>生产制造 &gt; 工程/机械 &gt; 注塑工程师；生产制造 &gt; 技工 &gt; 注塑工程师</x:v>
      </x:c>
      <x:c r="K283" s="39" t="str">
        <x:v>IC-L3-798；IC-L3-828</x:v>
      </x:c>
      <x:c r="L283" s="39" t="str">
        <x:v>647；677</x:v>
      </x:c>
      <x:c r="M283" s="68" t="n">
        <x:v>0.091</x:v>
      </x:c>
      <x:c r="N283" s="68" t="n">
        <x:v>0.134</x:v>
      </x:c>
      <x:c r="O283" s="39" t="str">
        <x:v>岗位名称完全一致，但职业分类存在冲突；优先核对并修正分类，再合并标准岗位，来源产业关系必须保留。</x:v>
      </x:c>
    </x:row>
    <x:row r="284" ht="44" customHeight="1">
      <x:c r="A284" s="65" t="n">
        <x:v>283</x:v>
      </x:c>
      <x:c r="B284" s="39" t="str">
        <x:v>专柜彩妆顾问</x:v>
      </x:c>
      <x:c r="C284" s="42" t="n">
        <x:v>2</x:v>
      </x:c>
      <x:c r="D284" s="42" t="n">
        <x:f>C284-1</x:f>
        <x:v>1</x:v>
      </x:c>
      <x:c r="E284" s="42" t="n">
        <x:f>IF(F284="需拆分后合并",0,C284-1)</x:f>
        <x:v>1</x:v>
      </x:c>
      <x:c r="F284" s="39" t="str">
        <x:v>条件合并（先修分类）</x:v>
      </x:c>
      <x:c r="G284" s="39" t="str">
        <x:v>专柜彩妆顾问</x:v>
      </x:c>
      <x:c r="H284" s="39" t="str">
        <x:v>4-01-02-01；4-10-03-01</x:v>
      </x:c>
      <x:c r="I284" s="39" t="str">
        <x:v>营销员；美容师</x:v>
      </x:c>
      <x:c r="J284" s="39" t="str">
        <x:v>销售/客服 &gt; 服务业销售 &gt; 专柜彩妆顾问；生活服务/零售 &gt; 美容美发 &gt; 专柜彩妆顾问</x:v>
      </x:c>
      <x:c r="K284" s="39" t="str">
        <x:v>IC-L3-422；IC-L3-987</x:v>
      </x:c>
      <x:c r="L284" s="39" t="str">
        <x:v>271；836</x:v>
      </x:c>
      <x:c r="M284" s="68" t="n">
        <x:v>0.188</x:v>
      </x:c>
      <x:c r="N284" s="68" t="n">
        <x:v>0.146</x:v>
      </x:c>
      <x:c r="O284" s="39" t="str">
        <x:v>岗位名称完全一致，但职业分类存在冲突；优先核对并修正分类，再合并标准岗位，来源产业关系必须保留。</x:v>
      </x:c>
    </x:row>
    <x:row r="285" ht="44" customHeight="1">
      <x:c r="A285" s="65" t="n">
        <x:v>284</x:v>
      </x:c>
      <x:c r="B285" s="39" t="str">
        <x:v>资产管理</x:v>
      </x:c>
      <x:c r="C285" s="42" t="n">
        <x:v>2</x:v>
      </x:c>
      <x:c r="D285" s="42" t="n">
        <x:f>C285-1</x:f>
        <x:v>1</x:v>
      </x:c>
      <x:c r="E285" s="42" t="n">
        <x:f>IF(F285="需拆分后合并",0,C285-1)</x:f>
        <x:v>1</x:v>
      </x:c>
      <x:c r="F285" s="39" t="str">
        <x:v>条件合并（先修分类）</x:v>
      </x:c>
      <x:c r="G285" s="39" t="str">
        <x:v>资产管理</x:v>
      </x:c>
      <x:c r="H285" s="39" t="str">
        <x:v>2-06-03-00；2-06-11-01</x:v>
      </x:c>
      <x:c r="I285" s="39" t="str">
        <x:v>会计专业人员；证券保荐承销专业人员</x:v>
      </x:c>
      <x:c r="J285" s="39" t="str">
        <x:v>财务/税务/法务 &gt; 高级财务管理 &gt; 资产管理；金融 &gt; 银行 &gt; 资产管理</x:v>
      </x:c>
      <x:c r="K285" s="39" t="str">
        <x:v>IC-L3-1231；IC-L3-1464</x:v>
      </x:c>
      <x:c r="L285" s="39" t="str">
        <x:v>1080；1313</x:v>
      </x:c>
      <x:c r="M285" s="68" t="n">
        <x:v>0.088</x:v>
      </x:c>
      <x:c r="N285" s="68" t="n">
        <x:v>0.065</x:v>
      </x:c>
      <x:c r="O285" s="39" t="str">
        <x:v>岗位名称完全一致，但职业分类存在冲突；优先核对并修正分类，再合并标准岗位，来源产业关系必须保留。</x:v>
      </x:c>
    </x:row>
    <x:row r="286" ht="44" customHeight="1">
      <x:c r="A286" s="65" t="n">
        <x:v>285</x:v>
      </x:c>
      <x:c r="B286" s="39" t="str">
        <x:v>自动化运维工程师</x:v>
      </x:c>
      <x:c r="C286" s="42" t="n">
        <x:v>2</x:v>
      </x:c>
      <x:c r="D286" s="42" t="n">
        <x:f>C286-1</x:f>
        <x:v>1</x:v>
      </x:c>
      <x:c r="E286" s="42" t="n">
        <x:f>IF(F286="需拆分后合并",0,C286-1)</x:f>
        <x:v>1</x:v>
      </x:c>
      <x:c r="F286" s="39" t="str">
        <x:v>可直接合并</x:v>
      </x:c>
      <x:c r="G286" s="39" t="str">
        <x:v>自动化运维工程师</x:v>
      </x:c>
      <x:c r="H286" s="39" t="str">
        <x:v>4-04-05-01</x:v>
      </x:c>
      <x:c r="I286" s="39" t="str">
        <x:v>计算机程序设计员</x:v>
      </x:c>
      <x:c r="J286" s="39" t="str">
        <x:v>互联网技术 &gt; 运维/技术支持 &gt; 自动化运维工程师；生产制造 &gt; 工程/机械 &gt; 自动化运维工程师</x:v>
      </x:c>
      <x:c r="K286" s="39" t="str">
        <x:v>IC-L3-230；IC-L3-813</x:v>
      </x:c>
      <x:c r="L286" s="39" t="str">
        <x:v>79；662</x:v>
      </x:c>
      <x:c r="M286" s="68" t="n">
        <x:v>0.133</x:v>
      </x:c>
      <x:c r="N286" s="68" t="n">
        <x:v>0.056</x:v>
      </x:c>
      <x:c r="O286" s="39" t="str">
        <x:v>岗位名称完全一致且职业分类一致；建议保留一个标准岗位，原记录转为来源/产业关联。</x:v>
      </x:c>
    </x:row>
    <x:row r="287" ht="44" customHeight="1">
      <x:c r="A287" s="65" t="n">
        <x:v>286</x:v>
      </x:c>
      <x:c r="B287" s="39" t="str">
        <x:v>总编/副总编</x:v>
      </x:c>
      <x:c r="C287" s="42" t="n">
        <x:v>2</x:v>
      </x:c>
      <x:c r="D287" s="42" t="n">
        <x:f>C287-1</x:f>
        <x:v>1</x:v>
      </x:c>
      <x:c r="E287" s="42" t="n">
        <x:f>IF(F287="需拆分后合并",0,C287-1)</x:f>
        <x:v>1</x:v>
      </x:c>
      <x:c r="F287" s="39" t="str">
        <x:v>可直接合并</x:v>
      </x:c>
      <x:c r="G287" s="39" t="str">
        <x:v>总编/副总编</x:v>
      </x:c>
      <x:c r="H287" s="39" t="str">
        <x:v>2-09-06-01</x:v>
      </x:c>
      <x:c r="I287" s="39" t="str">
        <x:v>视觉传达设计人员</x:v>
      </x:c>
      <x:c r="J287" s="39" t="str">
        <x:v>文化/传媒 &gt; 影视/媒体 &gt; 总编/副总编；文化/传媒 &gt; 编辑/出版 &gt; 总编/副总编</x:v>
      </x:c>
      <x:c r="K287" s="39" t="str">
        <x:v>IC-L3-680；IC-L3-695</x:v>
      </x:c>
      <x:c r="L287" s="39" t="str">
        <x:v>529；544</x:v>
      </x:c>
      <x:c r="M287" s="68" t="n">
        <x:v>0.075</x:v>
      </x:c>
      <x:c r="N287" s="68" t="n">
        <x:v>0.058</x:v>
      </x:c>
      <x:c r="O287" s="39" t="str">
        <x:v>岗位名称完全一致且职业分类一致；建议保留一个标准岗位，原记录转为来源/产业关联。</x:v>
      </x:c>
    </x:row>
    <x:row r="288" ht="44" customHeight="1">
      <x:c r="A288" s="65" t="n">
        <x:v>287</x:v>
      </x:c>
      <x:c r="B288" s="39" t="str">
        <x:v>总工程师/副总工程师</x:v>
      </x:c>
      <x:c r="C288" s="42" t="n">
        <x:v>2</x:v>
      </x:c>
      <x:c r="D288" s="42" t="n">
        <x:f>C288-1</x:f>
        <x:v>1</x:v>
      </x:c>
      <x:c r="E288" s="42" t="n">
        <x:f>IF(F288="需拆分后合并",0,C288-1)</x:f>
        <x:v>1</x:v>
      </x:c>
      <x:c r="F288" s="39" t="str">
        <x:v>条件合并（先修分类）</x:v>
      </x:c>
      <x:c r="G288" s="39" t="str">
        <x:v>总工程师/副总工程师</x:v>
      </x:c>
      <x:c r="H288" s="39" t="str">
        <x:v>6-31-01-01；2-02-27-06</x:v>
      </x:c>
      <x:c r="I288" s="39" t="str">
        <x:v>设备点检员；健康安全环境工程技术人员</x:v>
      </x:c>
      <x:c r="J288" s="39" t="str">
        <x:v>生产制造 &gt; 生产/营运 &gt; 总工程师/副总工程师；能源/环保/化工 &gt; 环保 &gt; 总工程师/副总工程师</x:v>
      </x:c>
      <x:c r="K288" s="39" t="str">
        <x:v>IC-L3-863；IC-L3-1091</x:v>
      </x:c>
      <x:c r="L288" s="39" t="str">
        <x:v>712；940</x:v>
      </x:c>
      <x:c r="M288" s="68" t="n">
        <x:v>0.078</x:v>
      </x:c>
      <x:c r="N288" s="68" t="n">
        <x:v>0.05</x:v>
      </x:c>
      <x:c r="O288" s="39" t="str">
        <x:v>岗位名称完全一致，但职业分类存在冲突；优先核对并修正分类，再合并标准岗位，来源产业关系必须保留。</x:v>
      </x:c>
    </x:row>
    <x:row r="289" ht="44" customHeight="1">
      <x:c r="A289" s="65" t="n">
        <x:v>288</x:v>
      </x:c>
      <x:c r="B289" s="39" t="str">
        <x:v>总装工程师</x:v>
      </x:c>
      <x:c r="C289" s="42" t="n">
        <x:v>2</x:v>
      </x:c>
      <x:c r="D289" s="42" t="n">
        <x:f>C289-1</x:f>
        <x:v>1</x:v>
      </x:c>
      <x:c r="E289" s="42" t="n">
        <x:f>IF(F289="需拆分后合并",0,C289-1)</x:f>
        <x:v>1</x:v>
      </x:c>
      <x:c r="F289" s="39" t="str">
        <x:v>可直接合并</x:v>
      </x:c>
      <x:c r="G289" s="39" t="str">
        <x:v>总装工程师</x:v>
      </x:c>
      <x:c r="H289" s="39" t="str">
        <x:v>2-02-07-11</x:v>
      </x:c>
      <x:c r="I289" s="39" t="str">
        <x:v>汽车工程技术人员</x:v>
      </x:c>
      <x:c r="J289" s="39" t="str">
        <x:v>销售/客服 &gt; 汽车销售 &gt; 总装工程师；汽车 &gt; 汽车制造 &gt; 总装工程师</x:v>
      </x:c>
      <x:c r="K289" s="39" t="str">
        <x:v>IC-L3-434；IC-L3-712</x:v>
      </x:c>
      <x:c r="L289" s="39" t="str">
        <x:v>283；561</x:v>
      </x:c>
      <x:c r="M289" s="68" t="n">
        <x:v>0.094</x:v>
      </x:c>
      <x:c r="N289" s="68" t="n">
        <x:v>0.068</x:v>
      </x:c>
      <x:c r="O289" s="39" t="str">
        <x:v>岗位名称完全一致且职业分类一致；建议保留一个标准岗位，原记录转为来源/产业关联。</x:v>
      </x:c>
    </x:row>
    <x:row r="290" ht="44" customHeight="1">
      <x:c r="A290" s="65" t="n">
        <x:v>289</x:v>
      </x:c>
      <x:c r="B290" s="39" t="str">
        <x:v>作家/撰稿人</x:v>
      </x:c>
      <x:c r="C290" s="42" t="n">
        <x:v>2</x:v>
      </x:c>
      <x:c r="D290" s="42" t="n">
        <x:f>C290-1</x:f>
        <x:v>1</x:v>
      </x:c>
      <x:c r="E290" s="42" t="n">
        <x:f>IF(F290="需拆分后合并",0,C290-1)</x:f>
        <x:v>1</x:v>
      </x:c>
      <x:c r="F290" s="39" t="str">
        <x:v>可直接合并</x:v>
      </x:c>
      <x:c r="G290" s="39" t="str">
        <x:v>作家/撰稿人</x:v>
      </x:c>
      <x:c r="H290" s="39" t="str">
        <x:v>2-09-06-01</x:v>
      </x:c>
      <x:c r="I290" s="39" t="str">
        <x:v>视觉传达设计人员</x:v>
      </x:c>
      <x:c r="J290" s="39" t="str">
        <x:v>文化/传媒 &gt; 影视/媒体 &gt; 作家/撰稿人；文化/传媒 &gt; 编辑/出版 &gt; 作家/撰稿人</x:v>
      </x:c>
      <x:c r="K290" s="39" t="str">
        <x:v>IC-L3-679；IC-L3-693</x:v>
      </x:c>
      <x:c r="L290" s="39" t="str">
        <x:v>528；542</x:v>
      </x:c>
      <x:c r="M290" s="68" t="n">
        <x:v>0.079</x:v>
      </x:c>
      <x:c r="N290" s="68" t="n">
        <x:v>0.043</x:v>
      </x:c>
      <x:c r="O290" s="39" t="str">
        <x:v>岗位名称完全一致且职业分类一致；建议保留一个标准岗位，原记录转为来源/产业关联。</x:v>
      </x:c>
    </x:row>
    <x:row r="291" ht="44" customHeight="1">
      <x:c r="A291" s="65" t="n">
        <x:v>290</x:v>
      </x:c>
      <x:c r="B291" s="39" t="str">
        <x:v>CNC/数控操机</x:v>
      </x:c>
      <x:c r="C291" s="42" t="n">
        <x:v>2</x:v>
      </x:c>
      <x:c r="D291" s="42" t="n">
        <x:f>C291-1</x:f>
        <x:v>1</x:v>
      </x:c>
      <x:c r="E291" s="42" t="n">
        <x:f>IF(F291="需拆分后合并",0,C291-1)</x:f>
        <x:v>1</x:v>
      </x:c>
      <x:c r="F291" s="39" t="str">
        <x:v>条件合并（先修分类）</x:v>
      </x:c>
      <x:c r="G291" s="39" t="str">
        <x:v>CNC/数控操机</x:v>
      </x:c>
      <x:c r="H291" s="39" t="str">
        <x:v>2-02-07-01；6-31-01-01</x:v>
      </x:c>
      <x:c r="I291" s="39" t="str">
        <x:v>机械设计工程技术人员；设备点检员</x:v>
      </x:c>
      <x:c r="J291" s="39" t="str">
        <x:v>生产制造 &gt; 工程/机械 &gt; CNC/数控操机；生产制造 &gt; 机械加工 &gt; CNC/数控操机</x:v>
      </x:c>
      <x:c r="K291" s="39" t="str">
        <x:v>IC-L3-774；IC-L3-854</x:v>
      </x:c>
      <x:c r="L291" s="39" t="str">
        <x:v>623；703</x:v>
      </x:c>
      <x:c r="M291" s="68" t="n">
        <x:v>0.167</x:v>
      </x:c>
      <x:c r="N291" s="68" t="n">
        <x:v>0.201</x:v>
      </x:c>
      <x:c r="O291" s="39" t="str">
        <x:v>岗位名称完全一致，但职业分类存在冲突；优先核对并修正分类，再合并标准岗位，来源产业关系必须保留。</x:v>
      </x:c>
    </x:row>
    <x:row r="292" ht="44" customHeight="1">
      <x:c r="A292" s="65" t="n">
        <x:v>291</x:v>
      </x:c>
      <x:c r="B292" s="39" t="str">
        <x:v>EHS安全工程师</x:v>
      </x:c>
      <x:c r="C292" s="42" t="n">
        <x:v>2</x:v>
      </x:c>
      <x:c r="D292" s="42" t="n">
        <x:f>C292-1</x:f>
        <x:v>1</x:v>
      </x:c>
      <x:c r="E292" s="42" t="n">
        <x:f>IF(F292="需拆分后合并",0,C292-1)</x:f>
        <x:v>1</x:v>
      </x:c>
      <x:c r="F292" s="39" t="str">
        <x:v>可直接合并</x:v>
      </x:c>
      <x:c r="G292" s="39" t="str">
        <x:v>EHS安全工程师</x:v>
      </x:c>
      <x:c r="H292" s="39" t="str">
        <x:v>2-02-28-03</x:v>
      </x:c>
      <x:c r="I292" s="39" t="str">
        <x:v>安全生产管理工程技术人员</x:v>
      </x:c>
      <x:c r="J292" s="39" t="str">
        <x:v>生产制造 &gt; 生产安全 &gt; EHS安全工程师；生产制造 &gt; 质量管理 &gt; EHS安全工程师</x:v>
      </x:c>
      <x:c r="K292" s="39" t="str">
        <x:v>IC-L3-876；IC-L3-881</x:v>
      </x:c>
      <x:c r="L292" s="39" t="str">
        <x:v>725；730</x:v>
      </x:c>
      <x:c r="M292" s="68" t="n">
        <x:v>0.299</x:v>
      </x:c>
      <x:c r="N292" s="68" t="n">
        <x:v>0.394</x:v>
      </x:c>
      <x:c r="O292" s="39" t="str">
        <x:v>岗位名称完全一致且职业分类一致；建议保留一个标准岗位，原记录转为来源/产业关联。</x:v>
      </x:c>
    </x:row>
    <x:row r="293" ht="44" customHeight="1">
      <x:c r="A293" s="65" t="n">
        <x:v>292</x:v>
      </x:c>
      <x:c r="B293" s="39" t="str">
        <x:v>EHS安全经理/主管</x:v>
      </x:c>
      <x:c r="C293" s="42" t="n">
        <x:v>2</x:v>
      </x:c>
      <x:c r="D293" s="42" t="n">
        <x:f>C293-1</x:f>
        <x:v>1</x:v>
      </x:c>
      <x:c r="E293" s="42" t="n">
        <x:f>IF(F293="需拆分后合并",0,C293-1)</x:f>
        <x:v>1</x:v>
      </x:c>
      <x:c r="F293" s="39" t="str">
        <x:v>可直接合并</x:v>
      </x:c>
      <x:c r="G293" s="39" t="str">
        <x:v>EHS安全经理/主管</x:v>
      </x:c>
      <x:c r="H293" s="39" t="str">
        <x:v>2-02-28-03</x:v>
      </x:c>
      <x:c r="I293" s="39" t="str">
        <x:v>安全生产管理工程技术人员</x:v>
      </x:c>
      <x:c r="J293" s="39" t="str">
        <x:v>生产制造 &gt; 生产安全 &gt; EHS安全经理/主管；生产制造 &gt; 质量管理 &gt; EHS安全经理/主管</x:v>
      </x:c>
      <x:c r="K293" s="39" t="str">
        <x:v>IC-L3-877；IC-L3-882</x:v>
      </x:c>
      <x:c r="L293" s="39" t="str">
        <x:v>726；731</x:v>
      </x:c>
      <x:c r="M293" s="68" t="n">
        <x:v>0.219</x:v>
      </x:c>
      <x:c r="N293" s="68" t="n">
        <x:v>1</x:v>
      </x:c>
      <x:c r="O293" s="39" t="str">
        <x:v>岗位名称完全一致且职业分类一致；建议保留一个标准岗位，原记录转为来源/产业关联。</x:v>
      </x:c>
    </x:row>
    <x:row r="294" ht="44" customHeight="1">
      <x:c r="A294" s="65" t="n">
        <x:v>293</x:v>
      </x:c>
      <x:c r="B294" s="39" t="str">
        <x:v>ERP实施顾问</x:v>
      </x:c>
      <x:c r="C294" s="42" t="n">
        <x:v>2</x:v>
      </x:c>
      <x:c r="D294" s="42" t="n">
        <x:f>C294-1</x:f>
        <x:v>1</x:v>
      </x:c>
      <x:c r="E294" s="42" t="n">
        <x:f>IF(F294="需拆分后合并",0,C294-1)</x:f>
        <x:v>1</x:v>
      </x:c>
      <x:c r="F294" s="39" t="str">
        <x:v>条件合并（先修分类）</x:v>
      </x:c>
      <x:c r="G294" s="39" t="str">
        <x:v>ERP实施顾问</x:v>
      </x:c>
      <x:c r="H294" s="39" t="str">
        <x:v>4-04-05-01；2-02-30-04</x:v>
      </x:c>
      <x:c r="I294" s="39" t="str">
        <x:v>计算机程序设计员；项目管理工程技术人员</x:v>
      </x:c>
      <x:c r="J294" s="39" t="str">
        <x:v>互联网技术 &gt; 运维/技术支持 &gt; ERP实施顾问；项目经理/管理 &gt; 项目经理/管理 &gt; ERP实施顾问</x:v>
      </x:c>
      <x:c r="K294" s="39" t="str">
        <x:v>IC-L3-223；IC-L3-1471</x:v>
      </x:c>
      <x:c r="L294" s="39" t="str">
        <x:v>72；1320</x:v>
      </x:c>
      <x:c r="M294" s="68" t="n">
        <x:v>0.191</x:v>
      </x:c>
      <x:c r="N294" s="68" t="n">
        <x:v>0.159</x:v>
      </x:c>
      <x:c r="O294" s="39" t="str">
        <x:v>岗位名称完全一致，但职业分类存在冲突；优先核对并修正分类，再合并标准岗位，来源产业关系必须保留。</x:v>
      </x:c>
    </x:row>
    <x:row r="295" ht="44" customHeight="1">
      <x:c r="A295" s="65" t="n">
        <x:v>294</x:v>
      </x:c>
      <x:c r="B295" s="39" t="str">
        <x:v>PCB工程师</x:v>
      </x:c>
      <x:c r="C295" s="42" t="n">
        <x:v>2</x:v>
      </x:c>
      <x:c r="D295" s="42" t="n">
        <x:f>C295-1</x:f>
        <x:v>1</x:v>
      </x:c>
      <x:c r="E295" s="42" t="n">
        <x:f>IF(F295="需拆分后合并",0,C295-1)</x:f>
        <x:v>1</x:v>
      </x:c>
      <x:c r="F295" s="39" t="str">
        <x:v>条件合并（先修分类）</x:v>
      </x:c>
      <x:c r="G295" s="39" t="str">
        <x:v>PCB工程师</x:v>
      </x:c>
      <x:c r="H295" s="39" t="str">
        <x:v>2-02-38-05；2-02-09-02</x:v>
      </x:c>
      <x:c r="I295" s="39" t="str">
        <x:v>智能制造工程技术人员；电子元器件工程技术人员</x:v>
      </x:c>
      <x:c r="J295" s="39" t="str">
        <x:v>能源/环保/化工 &gt; 能源 &gt; PCB工程师；通信/电子 &gt; 电子/电器/仪器仪表 &gt; PCB工程师</x:v>
      </x:c>
      <x:c r="K295" s="39" t="str">
        <x:v>IC-L3-1102；IC-L3-1298</x:v>
      </x:c>
      <x:c r="L295" s="39" t="str">
        <x:v>951；1147</x:v>
      </x:c>
      <x:c r="M295" s="68" t="n">
        <x:v>0.116</x:v>
      </x:c>
      <x:c r="N295" s="68" t="n">
        <x:v>0.066</x:v>
      </x:c>
      <x:c r="O295" s="39" t="str">
        <x:v>岗位名称完全一致，但职业分类存在冲突；优先核对并修正分类，再合并标准岗位，来源产业关系必须保留。</x:v>
      </x:c>
    </x:row>
    <x:row r="296" ht="44" customHeight="1">
      <x:c r="A296" s="66" t="n">
        <x:v>295</x:v>
      </x:c>
      <x:c r="B296" s="40" t="str">
        <x:v>UI设计师</x:v>
      </x:c>
      <x:c r="C296" s="43" t="n">
        <x:v>2</x:v>
      </x:c>
      <x:c r="D296" s="43" t="n">
        <x:f>C296-1</x:f>
        <x:v>1</x:v>
      </x:c>
      <x:c r="E296" s="43" t="n">
        <x:f>IF(F296="需拆分后合并",0,C296-1)</x:f>
        <x:v>1</x:v>
      </x:c>
      <x:c r="F296" s="40" t="str">
        <x:v>可直接合并</x:v>
      </x:c>
      <x:c r="G296" s="40" t="str">
        <x:v>UI设计师</x:v>
      </x:c>
      <x:c r="H296" s="40" t="str">
        <x:v>2-09-06-01</x:v>
      </x:c>
      <x:c r="I296" s="40" t="str">
        <x:v>视觉传达设计人员</x:v>
      </x:c>
      <x:c r="J296" s="40" t="str">
        <x:v>设计 &gt; 互联网设计 &gt; UI设计师；设计 &gt; 平面设计 &gt; UI设计师</x:v>
      </x:c>
      <x:c r="K296" s="40" t="str">
        <x:v>IC-L3-1104；IC-L3-1135</x:v>
      </x:c>
      <x:c r="L296" s="40" t="str">
        <x:v>953；984</x:v>
      </x:c>
      <x:c r="M296" s="69" t="n">
        <x:v>0.112</x:v>
      </x:c>
      <x:c r="N296" s="69" t="n">
        <x:v>0.048</x:v>
      </x:c>
      <x:c r="O296" s="40" t="str">
        <x:v>岗位名称完全一致且职业分类一致；建议保留一个标准岗位，原记录转为来源/产业关联。</x:v>
      </x:c>
    </x:row>
  </x:sheetData>
  <x:conditionalFormatting sqref="F2:F296">
    <x:cfRule type="containsText" dxfId="4" priority="1" operator="containsText" text="可直接合并"/>
    <x:cfRule type="containsText" dxfId="5" priority="2" operator="containsText" text="条件合并"/>
    <x:cfRule type="containsText" dxfId="6" priority="3" operator="containsText" text="需拆分"/>
    <x:cfRule type="containsText" dxfId="7" priority="4" operator="containsText" text="不建议直接合并"/>
  </x:conditionalFormatting>
  <x:pageMargins left="0.7" right="0.7" top="0.75" bottom="0.75" header="0.3" footer="0.3"/>
  <x:tableParts count="1">
    <x:tablePart xmlns:r="http://schemas.openxmlformats.org/officeDocument/2006/relationships" r:id="R618f86f20ed044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20" hidden="0" customWidth="1"/>
    <x:col min="4" max="4" width="23" hidden="0" customWidth="1"/>
    <x:col min="5" max="5" width="10" hidden="0" customWidth="1"/>
    <x:col min="6" max="6" width="18" hidden="0" customWidth="1"/>
    <x:col min="7" max="7" width="11" hidden="0" customWidth="1"/>
    <x:col min="8" max="8" width="52" hidden="0" customWidth="1"/>
    <x:col min="9" max="9" width="18" hidden="0" customWidth="1"/>
    <x:col min="10" max="10" width="28" hidden="0" customWidth="1"/>
    <x:col min="11" max="11" width="52" hidden="0" customWidth="1"/>
    <x:col min="12" max="12" width="52" hidden="0" customWidth="1"/>
  </x:cols>
  <x:sheetData>
    <x:row r="1" ht="28" customHeight="1">
      <x:c r="A1" s="14" t="str">
        <x:v>重复组序号</x:v>
      </x:c>
      <x:c r="B1" s="30" t="str">
        <x:v>重复岗位名</x:v>
      </x:c>
      <x:c r="C1" s="30" t="str">
        <x:v>组级建议</x:v>
      </x:c>
      <x:c r="D1" s="30" t="str">
        <x:v>建议标准名</x:v>
      </x:c>
      <x:c r="E1" s="30" t="str">
        <x:v>源表行号</x:v>
      </x:c>
      <x:c r="F1" s="30" t="str">
        <x:v>position_id</x:v>
      </x:c>
      <x:c r="G1" s="30" t="str">
        <x:v>产业目录ID</x:v>
      </x:c>
      <x:c r="H1" s="30" t="str">
        <x:v>产业目录路径</x:v>
      </x:c>
      <x:c r="I1" s="30" t="str">
        <x:v>职业分类代码</x:v>
      </x:c>
      <x:c r="J1" s="30" t="str">
        <x:v>职业分类名称</x:v>
      </x:c>
      <x:c r="K1" s="30" t="str">
        <x:v>岗位概述摘录</x:v>
      </x:c>
      <x:c r="L1" s="15" t="str">
        <x:v>任职要求摘录</x:v>
      </x:c>
    </x:row>
    <x:row r="2" ht="52" customHeight="1">
      <x:c r="A2" s="41" t="n">
        <x:v>1</x:v>
      </x:c>
      <x:c r="B2" s="38" t="str">
        <x:v>系统工程师</x:v>
      </x:c>
      <x:c r="C2" s="38" t="str">
        <x:v>需拆分后合并</x:v>
      </x:c>
      <x:c r="D2" s="38" t="str">
        <x:v>待补专业方向限定词</x:v>
      </x:c>
      <x:c r="E2" s="41" t="n">
        <x:v>32</x:v>
      </x:c>
      <x:c r="F2" s="38" t="str">
        <x:v>IC-L3-183</x:v>
      </x:c>
      <x:c r="G2" s="41" t="n">
        <x:v>183</x:v>
      </x:c>
      <x:c r="H2" s="38" t="str">
        <x:v>互联网技术 &gt; 后端开发 &gt; 系统工程师</x:v>
      </x:c>
      <x:c r="I2" s="38" t="str">
        <x:v>2-02-10-03</x:v>
      </x:c>
      <x:c r="J2" s="38" t="str">
        <x:v>计算机软件工程技术人员</x:v>
      </x:c>
      <x:c r="K2" s="38" t="str">
        <x:v>系统工程师是专门从事后端系统设计与优化的专业人员。该职位的核心目标是通过构建高可用、高性能的技术架构，保障系统稳定运行。在日常工作中，需要进行服务器部署维护、系统性能监控、故障排查处理等工作。</x:v>
      </x:c>
      <x:c r="L2" s="38" t="str">
        <x:v>1. 设计系统架构方案 2. 开发后端服务组件 3. 优化系统性能指标 4. 排查处理系统故障 5. 制定技术实施标准 6. 编写系统技术文档</x:v>
      </x:c>
    </x:row>
    <x:row r="3" ht="52" customHeight="1">
      <x:c r="A3" s="42" t="n">
        <x:v>1</x:v>
      </x:c>
      <x:c r="B3" s="39" t="str">
        <x:v>系统工程师</x:v>
      </x:c>
      <x:c r="C3" s="39" t="str">
        <x:v>需拆分后合并</x:v>
      </x:c>
      <x:c r="D3" s="39" t="str">
        <x:v>待补专业方向限定词</x:v>
      </x:c>
      <x:c r="E3" s="42" t="n">
        <x:v>75</x:v>
      </x:c>
      <x:c r="F3" s="39" t="str">
        <x:v>IC-L3-226</x:v>
      </x:c>
      <x:c r="G3" s="42" t="n">
        <x:v>226</x:v>
      </x:c>
      <x:c r="H3" s="39" t="str">
        <x:v>互联网技术 &gt; 运维/技术支持 &gt; 系统工程师</x:v>
      </x:c>
      <x:c r="I3" s="39" t="str">
        <x:v>4-04-05-01</x:v>
      </x:c>
      <x:c r="J3" s="39" t="str">
        <x:v>计算机程序设计员</x:v>
      </x:c>
      <x:c r="K3" s="39" t="str">
        <x:v>系统工程师是互联网技术领域中不可或缺的专业人才，负责确保公司IT基础设施的高效运行与安全稳定，其工作直接关系到企业服务的质量和用户体验。作为连接软件开发与用户需求的重要桥梁，系统工程师的核心目标在于通过优化系统架构、提升服务器性能、保障网络安全等措施，为企业创造更加流畅、可靠的技术环境，从而支持业务的快速发展并增强市场竞争力。此外，该职位还需要与其他部门密切…</x:v>
      </x:c>
      <x:c r="L3" s="39" t="str">
        <x:v>1. 负责设计、实施及维护公司内部网络架构和外部接入方案，确保网络通信畅通无阻，满足日常运营需求。 2. 定期检查并优化操作系统配置，提高服务器利用率和响应速度，减少宕机时间，保障业务连续性。 3. 制定并执行严格的安全策略，预防潜在威胁，及时处理突发事件，保护公司数据资产免受侵害。 4. 为前端应用提供技术支持，协助开发人员调试程序，快速定位并解决问题，保…</x:v>
      </x:c>
    </x:row>
    <x:row r="4" ht="52" customHeight="1">
      <x:c r="A4" s="42" t="n">
        <x:v>1</x:v>
      </x:c>
      <x:c r="B4" s="39" t="str">
        <x:v>系统工程师</x:v>
      </x:c>
      <x:c r="C4" s="39" t="str">
        <x:v>需拆分后合并</x:v>
      </x:c>
      <x:c r="D4" s="39" t="str">
        <x:v>待补专业方向限定词</x:v>
      </x:c>
      <x:c r="E4" s="42" t="n">
        <x:v>615</x:v>
      </x:c>
      <x:c r="F4" s="39" t="str">
        <x:v>IC-L3-766</x:v>
      </x:c>
      <x:c r="G4" s="42" t="n">
        <x:v>766</x:v>
      </x:c>
      <x:c r="H4" s="39" t="str">
        <x:v>汽车 &gt; 汽车销售与服务 &gt; 系统工程师</x:v>
      </x:c>
      <x:c r="I4" s="39" t="str">
        <x:v>4-02-02-01</x:v>
      </x:c>
      <x:c r="J4" s="39" t="str">
        <x:v>客运车辆驾驶员</x:v>
      </x:c>
      <x:c r="K4" s="39" t="str">
        <x:v>系统工程师是专门从事汽车销售与服务信息系统开发与维护的专业人员。该职位的核心目标是通过设计、优化和保障关键业务系统，提升企业数字化运营效率。在日常工作中，需要进行系统需求分析、技术方案设计、系统部署实施及性能监控等工作。</x:v>
      </x:c>
      <x:c r="L4" s="39" t="str">
        <x:v>1. 维护信息系统运行 2. 优化业务流程系统 3. 处理系统故障问题 4. 开发业务管理模块 5. 保障数据安全存储 6. 培训用户系统操作</x:v>
      </x:c>
    </x:row>
    <x:row r="5" ht="52" customHeight="1">
      <x:c r="A5" s="42" t="n">
        <x:v>1</x:v>
      </x:c>
      <x:c r="B5" s="39" t="str">
        <x:v>系统工程师</x:v>
      </x:c>
      <x:c r="C5" s="39" t="str">
        <x:v>需拆分后合并</x:v>
      </x:c>
      <x:c r="D5" s="39" t="str">
        <x:v>待补专业方向限定词</x:v>
      </x:c>
      <x:c r="E5" s="42" t="n">
        <x:v>655</x:v>
      </x:c>
      <x:c r="F5" s="39" t="str">
        <x:v>IC-L3-806</x:v>
      </x:c>
      <x:c r="G5" s="42" t="n">
        <x:v>806</x:v>
      </x:c>
      <x:c r="H5" s="39" t="str">
        <x:v>生产制造 &gt; 工程/机械 &gt; 系统工程师</x:v>
      </x:c>
      <x:c r="I5" s="39" t="str">
        <x:v>2-02-07-01</x:v>
      </x:c>
      <x:c r="J5" s="39" t="str">
        <x:v>机械设计工程技术人员</x:v>
      </x:c>
      <x:c r="K5" s="39" t="str">
        <x:v>系统工程师是专门从事机械系统设计与优化的专业人员。该职位的核心目标是通过分析系统需求和技术方案，确保机械系统的高效可靠运行。在日常工作中，需要进行系统架构设计、性能测试评估、故障诊断及技术文档编写等工作。</x:v>
      </x:c>
      <x:c r="L5" s="39" t="str">
        <x:v>1. 设计机械系统方案 2. 优化生产工艺流程 3. 维护设备运行稳定 4. 分析系统故障问题 5. 编制技术文档资料 6. 协调跨部门项目</x:v>
      </x:c>
    </x:row>
    <x:row r="6" ht="52" customHeight="1">
      <x:c r="A6" s="42" t="n">
        <x:v>1</x:v>
      </x:c>
      <x:c r="B6" s="39" t="str">
        <x:v>系统工程师</x:v>
      </x:c>
      <x:c r="C6" s="39" t="str">
        <x:v>需拆分后合并</x:v>
      </x:c>
      <x:c r="D6" s="39" t="str">
        <x:v>待补专业方向限定词</x:v>
      </x:c>
      <x:c r="E6" s="42" t="n">
        <x:v>1199</x:v>
      </x:c>
      <x:c r="F6" s="39" t="str">
        <x:v>IC-L3-1350</x:v>
      </x:c>
      <x:c r="G6" s="42" t="n">
        <x:v>1350</x:v>
      </x:c>
      <x:c r="H6" s="39" t="str">
        <x:v>通信/电子 &gt; 硬件开发 &gt; 系统工程师</x:v>
      </x:c>
      <x:c r="I6" s="39" t="str">
        <x:v>2-02-09-02</x:v>
      </x:c>
      <x:c r="J6" s="39" t="str">
        <x:v>电子元器件工程技术人员</x:v>
      </x:c>
      <x:c r="K6" s="39" t="str">
        <x:v>系统工程师是专门从事硬件系统设计与集成的专业人员。该职位的核心目标是通过优化系统架构和协调硬件组件，确保产品性能与可靠性。在日常工作中，需要进行需求分析、系统设计、性能测试以及跨部门技术协调等工作。</x:v>
      </x:c>
      <x:c r="L6" s="39" t="str">
        <x:v>1. 设计硬件系统架构 2. 开发硬件解决方案 3. 测试系统性能指标 4. 优化硬件运行效率 5. 编写技术文档报告 6. 解决系统故障问题</x:v>
      </x:c>
    </x:row>
    <x:row r="7" ht="52" customHeight="1">
      <x:c r="A7" s="42" t="n">
        <x:v>2</x:v>
      </x:c>
      <x:c r="B7" s="39" t="str">
        <x:v>出纳</x:v>
      </x:c>
      <x:c r="C7" s="39" t="str">
        <x:v>条件合并（先修分类）</x:v>
      </x:c>
      <x:c r="D7" s="39" t="str">
        <x:v>出纳</x:v>
      </x:c>
      <x:c r="E7" s="42" t="n">
        <x:v>155</x:v>
      </x:c>
      <x:c r="F7" s="39" t="str">
        <x:v>IC-L3-306</x:v>
      </x:c>
      <x:c r="G7" s="42" t="n">
        <x:v>306</x:v>
      </x:c>
      <x:c r="H7" s="39" t="str">
        <x:v>人事/行政 &gt; 行政/后勤 &gt; 出纳</x:v>
      </x:c>
      <x:c r="I7" s="39" t="str">
        <x:v>3-01-02-01</x:v>
      </x:c>
      <x:c r="J7" s="39" t="str">
        <x:v>机要员</x:v>
      </x:c>
      <x:c r="K7" s="39" t="str">
        <x:v>出纳是专门从事资金收付管理的专业人员。该职位的核心目标是通过准确的资金收支处理，确保企业现金流安全高效运转。在日常工作中，需要进行现金保管、银行结算、账目登记、票据审核及日常报销处理等工作。</x:v>
      </x:c>
      <x:c r="L7" s="39" t="str">
        <x:v>1. 办理现金收支业务 2. 登记现金日记账簿 3. 核对银行对账单 4. 保管财务票据 5. 编制资金日报表 6. 执行报销审核</x:v>
      </x:c>
    </x:row>
    <x:row r="8" ht="52" customHeight="1">
      <x:c r="A8" s="42" t="n">
        <x:v>2</x:v>
      </x:c>
      <x:c r="B8" s="39" t="str">
        <x:v>出纳</x:v>
      </x:c>
      <x:c r="C8" s="39" t="str">
        <x:v>条件合并（先修分类）</x:v>
      </x:c>
      <x:c r="D8" s="39" t="str">
        <x:v>出纳</x:v>
      </x:c>
      <x:c r="E8" s="42" t="n">
        <x:v>1041</x:v>
      </x:c>
      <x:c r="F8" s="39" t="str">
        <x:v>IC-L3-1192</x:v>
      </x:c>
      <x:c r="G8" s="42" t="n">
        <x:v>1192</x:v>
      </x:c>
      <x:c r="H8" s="39" t="str">
        <x:v>财务/税务/法务 &gt; 会计 &gt; 出纳</x:v>
      </x:c>
      <x:c r="I8" s="39" t="str">
        <x:v>2-06-03-00</x:v>
      </x:c>
      <x:c r="J8" s="39" t="str">
        <x:v>会计专业人员</x:v>
      </x:c>
      <x:c r="K8" s="39" t="str">
        <x:v>出纳作为财务/税务/法务行业中不可或缺的一部分，是确保企业资金流安全与准确的关键角色。通过日常的现金管理活动，如支付账单、处理客户付款等，出纳员不仅支持了公司内部的财务运作，还维护了与外部合作伙伴的良好关系。此外，出纳还需要与会计部门紧密合作，确保所有交易记录准确无误，为管理层提供可靠的数据支持，从而帮助公司在复杂的市场环境中做出正确的决策。随着工作经验的增…</x:v>
      </x:c>
      <x:c r="L8" s="39" t="str">
        <x:v>1. 负责日常现金收支业务，包括但不限于接收现金和支票存款，以及发放工资和报销款项，确保每笔交易的准确性与及时性。 2. 定期核对银行账户余额与公司账簿记录的一致性，编制月度银行对账单，发现并解决任何差异问题，以保证财务数据的真实性和完整性。 3. 协助准备各类财务报表，如现金流量表、资产负债表等，为管理层提供决策所需的财务信息。 4. 保管好公司的现金及有…</x:v>
      </x:c>
    </x:row>
    <x:row r="9" ht="52" customHeight="1">
      <x:c r="A9" s="42" t="n">
        <x:v>2</x:v>
      </x:c>
      <x:c r="B9" s="39" t="str">
        <x:v>出纳</x:v>
      </x:c>
      <x:c r="C9" s="39" t="str">
        <x:v>条件合并（先修分类）</x:v>
      </x:c>
      <x:c r="D9" s="39" t="str">
        <x:v>出纳</x:v>
      </x:c>
      <x:c r="E9" s="42" t="n">
        <x:v>1053</x:v>
      </x:c>
      <x:c r="F9" s="39" t="str">
        <x:v>IC-L3-1204</x:v>
      </x:c>
      <x:c r="G9" s="42" t="n">
        <x:v>1204</x:v>
      </x:c>
      <x:c r="H9" s="39" t="str">
        <x:v>财务/税务/法务 &gt; 合规 &gt; 出纳</x:v>
      </x:c>
      <x:c r="I9" s="39" t="str">
        <x:v>2-06-03-00</x:v>
      </x:c>
      <x:c r="J9" s="39" t="str">
        <x:v>会计专业人员</x:v>
      </x:c>
      <x:c r="K9" s="39" t="str">
        <x:v>出纳是专门从事企业资金收支管理的专业人员。该职位的核心目标是通过严格执行财务制度和合规流程，确保企业资金安全与流转效率。在日常工作中，需要进行现金收付、银行结算、账务登记及资金日报编制等工作。</x:v>
      </x:c>
      <x:c r="L9" s="39" t="str">
        <x:v>1. 管理日常现金收支 2. 登记核对银行账目 3. 审核报销单据凭证 4. 编制资金日报报表 5. 保管财务印章票据 6. 配合合规审计检查</x:v>
      </x:c>
    </x:row>
    <x:row r="10" ht="52" customHeight="1">
      <x:c r="A10" s="42" t="n">
        <x:v>2</x:v>
      </x:c>
      <x:c r="B10" s="39" t="str">
        <x:v>出纳</x:v>
      </x:c>
      <x:c r="C10" s="39" t="str">
        <x:v>条件合并（先修分类）</x:v>
      </x:c>
      <x:c r="D10" s="39" t="str">
        <x:v>出纳</x:v>
      </x:c>
      <x:c r="E10" s="42" t="n">
        <x:v>1064</x:v>
      </x:c>
      <x:c r="F10" s="39" t="str">
        <x:v>IC-L3-1215</x:v>
      </x:c>
      <x:c r="G10" s="42" t="n">
        <x:v>1215</x:v>
      </x:c>
      <x:c r="H10" s="39" t="str">
        <x:v>财务/税务/法务 &gt; 财务 &gt; 出纳</x:v>
      </x:c>
      <x:c r="I10" s="39" t="str">
        <x:v>2-06-03-00</x:v>
      </x:c>
      <x:c r="J10" s="39" t="str">
        <x:v>会计专业人员</x:v>
      </x:c>
      <x:c r="K10" s="39" t="str">
        <x:v>出纳是财务/税务/法务行业中不可或缺的角色之一，负责处理公司日常的现金收支事务，确保资金流动的安全与准确。作为连接企业内部与外部金融活动的关键节点，出纳员不仅需要具备良好的会计知识，还应掌握一定的法律常识，以应对各种财务法规的变化。 该职位的核心目标在于维护公司财务记录的真实性和完整性，通过精确地记录每一笔交易来支持管理层做出正确的经营决策。同时，出纳工作直…</x:v>
      </x:c>
      <x:c r="L10" s="39" t="str">
        <x:v>1. 负责公司所有现金收付业务的操作，包括但不限于银行转账、现金支付等，确保每笔交易的准确无误。 2. 定期核对银行账户余额与实际库存现金，及时发现并解决差异问题，保证账实相符。 3. 编制每日、每周及每月的资金报表，提供给上级领导审查，以便于监控公司的资金状况。 4. 协助完成月末结账流程，包括整理相关凭证、制作记账凭证等，确保财务数据的一致性。 5. 遵…</x:v>
      </x:c>
    </x:row>
    <x:row r="11" ht="52" customHeight="1">
      <x:c r="A11" s="42" t="n">
        <x:v>3</x:v>
      </x:c>
      <x:c r="B11" s="39" t="str">
        <x:v>风险控制</x:v>
      </x:c>
      <x:c r="C11" s="39" t="str">
        <x:v>需拆分后合并</x:v>
      </x:c>
      <x:c r="D11" s="39" t="str">
        <x:v>待补专业方向限定词</x:v>
      </x:c>
      <x:c r="E11" s="42" t="n">
        <x:v>1052</x:v>
      </x:c>
      <x:c r="F11" s="39" t="str">
        <x:v>IC-L3-1203</x:v>
      </x:c>
      <x:c r="G11" s="42" t="n">
        <x:v>1203</x:v>
      </x:c>
      <x:c r="H11" s="39" t="str">
        <x:v>财务/税务/法务 &gt; 合规 &gt; 风险控制</x:v>
      </x:c>
      <x:c r="I11" s="39" t="str">
        <x:v>2-06-03-00</x:v>
      </x:c>
      <x:c r="J11" s="39" t="str">
        <x:v>会计专业人员</x:v>
      </x:c>
      <x:c r="K11" s="39" t="str">
        <x:v>风险控制专员是财务/税务/法务领域中至关重要的角色，负责确保企业遵守相关法律法规，维护公司利益不受损害。通过建立和实施有效的内部控制体系，他们能够帮助企业识别并管理潜在的风险因素，从而保障企业的稳定运营与可持续发展。在日常工作中，风险控制人员需要与其他部门密切合作，如财务、审计等，共同构建全面的风险管理体系；同时，随着业务规模的扩大和技术的进步，该职位也面临…</x:v>
      </x:c>
      <x:c r="L11" s="39" t="str">
        <x:v>1. 定期审查并更新公司的内部控制系统，确保其符合最新的法律法规及行业标准，以降低违规操作带来的法律风险。 2. 对公司内外部环境进行风险评估，制定相应的预防措施，包括但不限于财务风险、市场风险、操作风险等，旨在将各类风险控制在可接受水平内。 3. 与各部门沟通协调，提供专业的风险管理建议，协助解决实际问题，提高整体风险防控能力。 4. 跟踪记录所有已知风险…</x:v>
      </x:c>
    </x:row>
    <x:row r="12" ht="52" customHeight="1">
      <x:c r="A12" s="42" t="n">
        <x:v>3</x:v>
      </x:c>
      <x:c r="B12" s="39" t="str">
        <x:v>风险控制</x:v>
      </x:c>
      <x:c r="C12" s="39" t="str">
        <x:v>需拆分后合并</x:v>
      </x:c>
      <x:c r="D12" s="39" t="str">
        <x:v>待补专业方向限定词</x:v>
      </x:c>
      <x:c r="E12" s="42" t="n">
        <x:v>1261</x:v>
      </x:c>
      <x:c r="F12" s="39" t="str">
        <x:v>IC-L3-1412</x:v>
      </x:c>
      <x:c r="G12" s="42" t="n">
        <x:v>1412</x:v>
      </x:c>
      <x:c r="H12" s="39" t="str">
        <x:v>金融 &gt; 保险 &gt; 风险控制</x:v>
      </x:c>
      <x:c r="I12" s="39" t="str">
        <x:v>2-06-10-01</x:v>
      </x:c>
      <x:c r="J12" s="39" t="str">
        <x:v>精算专业人员</x:v>
      </x:c>
      <x:c r="K12" s="39" t="str">
        <x:v>风险控制是专门从事保险业务风险评估与管理的专业人员。该职位的核心目标是通过识别、分析和管控风险，实现公司业务稳健发展。在日常工作中，需要进行风险数据监测、承保风险评估、理赔风险审核以及制定风险防控策略等工作。</x:v>
      </x:c>
      <x:c r="L12" s="39" t="str">
        <x:v>1. 制定风控政策制度 2. 评估保险产品风险 3. 监控业务风险指标 4. 分析理赔数据风险 5. 实施风险预警机制 6. 优化风险管理流程</x:v>
      </x:c>
    </x:row>
    <x:row r="13" ht="52" customHeight="1">
      <x:c r="A13" s="42" t="n">
        <x:v>3</x:v>
      </x:c>
      <x:c r="B13" s="39" t="str">
        <x:v>风险控制</x:v>
      </x:c>
      <x:c r="C13" s="39" t="str">
        <x:v>需拆分后合并</x:v>
      </x:c>
      <x:c r="D13" s="39" t="str">
        <x:v>待补专业方向限定词</x:v>
      </x:c>
      <x:c r="E13" s="42" t="n">
        <x:v>1297</x:v>
      </x:c>
      <x:c r="F13" s="39" t="str">
        <x:v>IC-L3-1448</x:v>
      </x:c>
      <x:c r="G13" s="42" t="n">
        <x:v>1448</x:v>
      </x:c>
      <x:c r="H13" s="39" t="str">
        <x:v>金融 &gt; 金融 &gt; 风险控制</x:v>
      </x:c>
      <x:c r="I13" s="39" t="str">
        <x:v>2-06-11-02</x:v>
      </x:c>
      <x:c r="J13" s="39" t="str">
        <x:v>证券交易专业人员</x:v>
      </x:c>
      <x:c r="K13" s="39" t="str">
        <x:v>风险控制作为金融行业中不可或缺的一环，承担着评估、监测和管理潜在财务风险的重要任务，确保金融机构能够稳健运营并实现可持续发展。通过建立和完善风险管理体系，该职位不仅能够帮助公司识别和量化各类金融活动中的不确定性因素，还能够在危机发生时提供有效的应对策略，从而保护公司资产和股东利益免受损失。此外，风险控制部门通常与业务部门、合规部门及信息技术部门紧密合作，共同…</x:v>
      </x:c>
      <x:c r="L13" s="39" t="str">
        <x:v>1. 制定并实施风险评估政策和程序，确保所有金融产品和服务符合法律法规要求，降低操作风险。 2. 定期审查市场数据和内部交易记录，识别异常波动或潜在风险点，及时向高级管理层报告并提出改进建议。 3. 与相关部门协作，参与新产品开发过程中的风险评估，确保新业务模式在推出前已充分考虑各种可能的风险因素。 4. 组织开展定期的风险培训，提高全体员工的风险意识和处理…</x:v>
      </x:c>
    </x:row>
    <x:row r="14" ht="52" customHeight="1">
      <x:c r="A14" s="42" t="n">
        <x:v>3</x:v>
      </x:c>
      <x:c r="B14" s="39" t="str">
        <x:v>风险控制</x:v>
      </x:c>
      <x:c r="C14" s="39" t="str">
        <x:v>需拆分后合并</x:v>
      </x:c>
      <x:c r="D14" s="39" t="str">
        <x:v>待补专业方向限定词</x:v>
      </x:c>
      <x:c r="E14" s="42" t="n">
        <x:v>1318</x:v>
      </x:c>
      <x:c r="F14" s="39" t="str">
        <x:v>IC-L3-1469</x:v>
      </x:c>
      <x:c r="G14" s="42" t="n">
        <x:v>1469</x:v>
      </x:c>
      <x:c r="H14" s="39" t="str">
        <x:v>金融 &gt; 银行 &gt; 风险控制</x:v>
      </x:c>
      <x:c r="I14" s="39" t="str">
        <x:v>2-06-11-01</x:v>
      </x:c>
      <x:c r="J14" s="39" t="str">
        <x:v>证券保荐承销专业人员</x:v>
      </x:c>
      <x:c r="K14" s="39" t="str">
        <x:v>风险控制职位在金融行业中扮演着至关重要的角色，特别是在银行业务中。作为风险控制专员，您将负责识别、评估并管理各种潜在风险，确保公司资产安全与业务稳定运行，同时促进合规经营，为银行创造长期价值。此外，本岗位还需与其他部门紧密合作，如信贷审批、资产管理等，共同构建全面的风险管理体系，以应对市场变化带来的挑战。随着工作经验的积累和个人能力的提升，风险控制专员有广阔…</x:v>
      </x:c>
      <x:c r="L14" s="39" t="str">
        <x:v>1. 定期收集并分析市场数据，监控各类金融产品的风险状况，及时发现异常波动并向管理层报告。 2. 制定和完善风险管理制度和流程，确保所有业务活动符合法律法规要求及内部风控标准。 3. 对新推出的金融产品进行风险评估，提出改进建议或限制条件，降低潜在损失概率。 4. 协助处理突发事件，如信用违约、市场剧烈波动等，采取有效措施减少负面影响。 5. 组织定期培训，…</x:v>
      </x:c>
    </x:row>
    <x:row r="15" ht="52" customHeight="1">
      <x:c r="A15" s="42" t="n">
        <x:v>4</x:v>
      </x:c>
      <x:c r="B15" s="39" t="str">
        <x:v>技术总监</x:v>
      </x:c>
      <x:c r="C15" s="39" t="str">
        <x:v>需拆分后合并</x:v>
      </x:c>
      <x:c r="D15" s="39" t="str">
        <x:v>待补专业方向限定词</x:v>
      </x:c>
      <x:c r="E15" s="42" t="n">
        <x:v>33</x:v>
      </x:c>
      <x:c r="F15" s="39" t="str">
        <x:v>IC-L3-184</x:v>
      </x:c>
      <x:c r="G15" s="42" t="n">
        <x:v>184</x:v>
      </x:c>
      <x:c r="H15" s="39" t="str">
        <x:v>互联网技术 &gt; 技术管理 &gt; 技术总监</x:v>
      </x:c>
      <x:c r="I15" s="39" t="str">
        <x:v>2-02-10-03</x:v>
      </x:c>
      <x:c r="J15" s="39" t="str">
        <x:v>计算机软件工程技术人员</x:v>
      </x:c>
      <x:c r="K15" s="39" t="str">
        <x:v>技术总监是互联网技术行业中极为关键的角色，他们不仅负责指导公司的技术战略，确保技术创新与业务目标相一致，还承担着引领团队克服技术挑战、实现产品和服务持续优化的重要使命。作为公司技术领域的领军人物，技术总监的核心目标在于制定并执行高效的技术策略，以支持公司的长期发展愿景，提高市场竞争力；同时，通过优化内部流程和技术架构，降低运营成本，提升工作效率。此外，技术总…</x:v>
      </x:c>
      <x:c r="L15" s="39" t="str">
        <x:v>1. 制定并实施公司的技术发展战略，确保技术路线图与企业整体目标相匹配，推动技术创新，保持公司在行业内的领先地位。 2. 管理并指导技术研发团队，设定明确的工作目标，监督项目进度，解决复杂的技术难题，保证产品质量和交付时间符合预期。 3. 与跨职能团队密切配合，包括但不限于产品管理、市场营销等部门，确保技术解决方案能够有效满足市场需求，增强客户体验。 4. …</x:v>
      </x:c>
    </x:row>
    <x:row r="16" ht="52" customHeight="1">
      <x:c r="A16" s="42" t="n">
        <x:v>4</x:v>
      </x:c>
      <x:c r="B16" s="39" t="str">
        <x:v>技术总监</x:v>
      </x:c>
      <x:c r="C16" s="39" t="str">
        <x:v>需拆分后合并</x:v>
      </x:c>
      <x:c r="D16" s="39" t="str">
        <x:v>待补专业方向限定词</x:v>
      </x:c>
      <x:c r="E16" s="42" t="n">
        <x:v>88</x:v>
      </x:c>
      <x:c r="F16" s="39" t="str">
        <x:v>IC-L3-239</x:v>
      </x:c>
      <x:c r="G16" s="42" t="n">
        <x:v>239</x:v>
      </x:c>
      <x:c r="H16" s="39" t="str">
        <x:v>互联网技术 &gt; 运维/技术支持 &gt; 技术总监</x:v>
      </x:c>
      <x:c r="I16" s="39" t="str">
        <x:v>4-04-05-01</x:v>
      </x:c>
      <x:c r="J16" s="39" t="str">
        <x:v>计算机程序设计员</x:v>
      </x:c>
      <x:c r="K16" s="39" t="str">
        <x:v>技术总监是专门从事运维技术战略规划和团队管理的专业人员。该职位的核心目标是通过构建高效稳定的技术架构，保障系统持续可靠运行。在日常工作中，需要进行技术团队管理、运维体系优化、技术方案制定及实施等工作。</x:v>
      </x:c>
      <x:c r="L16" s="39" t="str">
        <x:v>1. 制定技术发展战略 2. 领导运维团队建设 3. 优化技术支持流程 4. 监督系统稳定运行 5. 协调跨部门技术合作 6. 评估新技术应用方案</x:v>
      </x:c>
    </x:row>
    <x:row r="17" ht="52" customHeight="1">
      <x:c r="A17" s="42" t="n">
        <x:v>4</x:v>
      </x:c>
      <x:c r="B17" s="39" t="str">
        <x:v>技术总监</x:v>
      </x:c>
      <x:c r="C17" s="39" t="str">
        <x:v>需拆分后合并</x:v>
      </x:c>
      <x:c r="D17" s="39" t="str">
        <x:v>待补专业方向限定词</x:v>
      </x:c>
      <x:c r="E17" s="42" t="n">
        <x:v>656</x:v>
      </x:c>
      <x:c r="F17" s="39" t="str">
        <x:v>IC-L3-807</x:v>
      </x:c>
      <x:c r="G17" s="42" t="n">
        <x:v>807</x:v>
      </x:c>
      <x:c r="H17" s="39" t="str">
        <x:v>生产制造 &gt; 工程/机械 &gt; 技术总监</x:v>
      </x:c>
      <x:c r="I17" s="39" t="str">
        <x:v>2-02-07-01</x:v>
      </x:c>
      <x:c r="J17" s="39" t="str">
        <x:v>机械设计工程技术人员</x:v>
      </x:c>
      <x:c r="K17" s="39" t="str">
        <x:v>技术总监是负责工程技术战略规划与实施的高级专业人员。该职位的核心目标是通过技术创新和团队管理，提升企业工程机械领域的核心竞争力。在日常工作中，需要进行技术方案评审、研发团队管理、跨部门协作及行业技术趋势分析等工作。</x:v>
      </x:c>
      <x:c r="L17" s="39" t="str">
        <x:v>1. 制定技术发展战略 2. 领导技术团队建设 3. 监督工程项目实施 4. 优化机械设计方案 5. 推动技术创新应用 6. 把控产品质量标准</x:v>
      </x:c>
    </x:row>
    <x:row r="18" ht="52" customHeight="1">
      <x:c r="A18" s="42" t="n">
        <x:v>4</x:v>
      </x:c>
      <x:c r="B18" s="39" t="str">
        <x:v>技术总监</x:v>
      </x:c>
      <x:c r="C18" s="39" t="str">
        <x:v>需拆分后合并</x:v>
      </x:c>
      <x:c r="D18" s="39" t="str">
        <x:v>待补专业方向限定词</x:v>
      </x:c>
      <x:c r="E18" s="42" t="n">
        <x:v>1135</x:v>
      </x:c>
      <x:c r="F18" s="39" t="str">
        <x:v>IC-L3-1286</x:v>
      </x:c>
      <x:c r="G18" s="42" t="n">
        <x:v>1286</x:v>
      </x:c>
      <x:c r="H18" s="39" t="str">
        <x:v>通信/电子 &gt; 技术项目管理 &gt; 技术总监</x:v>
      </x:c>
      <x:c r="I18" s="39" t="str">
        <x:v>2-02-30-04</x:v>
      </x:c>
      <x:c r="J18" s="39" t="str">
        <x:v>项目管理工程技术人员</x:v>
      </x:c>
      <x:c r="K18" s="39" t="str">
        <x:v>技术总监是通信/电子行业中不可或缺的关键角色，负责确保公司技术战略与业务目标的一致性。通过领导技术创新和技术实施，他们不仅推动了产品和服务的发展，还促进了整个行业的进步。作为公司技术领域的最高领导者，技术总监的核心目标在于制定并执行高效的技术策略，以支持公司的长期发展和市场竞争力。他们需要不断探索新的技术趋势，评估其对公司业务的影响，并据此调整技术路线图，确…</x:v>
      </x:c>
      <x:c r="L18" s="39" t="str">
        <x:v>1. 负责制定和实施公司的技术发展战略，确保技术路线与业务目标相匹配，引领公司技术创新。 2. 组织并指导技术团队完成项目研发工作，确保按时交付高质量的产品或服务，满足客户需求。 3. 与市场营销、产品设计等部门紧密合作，准确把握市场动态和技术发展趋势，为公司决策提供科学依据。 4. 监控项目进度及质量，及时解决项目中出现的问题，保证项目顺利推进。 5. 建…</x:v>
      </x:c>
    </x:row>
    <x:row r="19" ht="52" customHeight="1">
      <x:c r="A19" s="42" t="n">
        <x:v>5</x:v>
      </x:c>
      <x:c r="B19" s="39" t="str">
        <x:v>旅游顾问</x:v>
      </x:c>
      <x:c r="C19" s="39" t="str">
        <x:v>可直接合并</x:v>
      </x:c>
      <x:c r="D19" s="39" t="str">
        <x:v>旅游顾问</x:v>
      </x:c>
      <x:c r="E19" s="42" t="n">
        <x:v>278</x:v>
      </x:c>
      <x:c r="F19" s="39" t="str">
        <x:v>IC-L3-429</x:v>
      </x:c>
      <x:c r="G19" s="42" t="n">
        <x:v>429</x:v>
      </x:c>
      <x:c r="H19" s="39" t="str">
        <x:v>销售/客服 &gt; 服务业销售 &gt; 旅游顾问</x:v>
      </x:c>
      <x:c r="I19" s="39" t="str">
        <x:v>4-07-01-01</x:v>
      </x:c>
      <x:c r="J19" s="39" t="str">
        <x:v>租赁业务员</x:v>
      </x:c>
      <x:c r="K19" s="39" t="str">
        <x:v>旅游顾问是销售/客服行业中不可或缺的角色，在服务业销售领域尤其重要。作为旅游顾问，您将成为连接公司与客户之间的桥梁，通过提供专业的旅行建议和服务，帮助客户规划完美的旅行体验。您将利用自己的专业知识和热情，确保每位客户的旅行需求得到满足，从而促进公司业务的增长和品牌声誉的提升。此外，旅游顾问还需与其他部门紧密合作，如市场部、产品开发部等，共同优化服务流程，提高…</x:v>
      </x:c>
      <x:c r="L19" s="39" t="str">
        <x:v>1. 通过电话、邮件、社交媒体等多种渠道，积极主动地与潜在及现有客户沟通，了解他们的旅行偏好和需求，为其推荐合适的旅游线路和产品。 2. 根据客户需求定制个性化行程方案，包括但不限于景点选择、交通安排、住宿预订等，确保行程合理且符合预算要求。 3. 及时响应客户咨询，耐心解答关于旅游产品的疑问，处理预订过程中的各种问题，保证服务质量。 4. 定期跟进客户反馈…</x:v>
      </x:c>
    </x:row>
    <x:row r="20" ht="52" customHeight="1">
      <x:c r="A20" s="42" t="n">
        <x:v>5</x:v>
      </x:c>
      <x:c r="B20" s="39" t="str">
        <x:v>旅游顾问</x:v>
      </x:c>
      <x:c r="C20" s="39" t="str">
        <x:v>可直接合并</x:v>
      </x:c>
      <x:c r="D20" s="39" t="str">
        <x:v>旅游顾问</x:v>
      </x:c>
      <x:c r="E20" s="42" t="n">
        <x:v>288</x:v>
      </x:c>
      <x:c r="F20" s="39" t="str">
        <x:v>IC-L3-439</x:v>
      </x:c>
      <x:c r="G20" s="42" t="n">
        <x:v>439</x:v>
      </x:c>
      <x:c r="H20" s="39" t="str">
        <x:v>销售/客服 &gt; 销售人员 &gt; 旅游顾问</x:v>
      </x:c>
      <x:c r="I20" s="39" t="str">
        <x:v>4-07-01-01</x:v>
      </x:c>
      <x:c r="J20" s="39" t="str">
        <x:v>租赁业务员</x:v>
      </x:c>
      <x:c r="K20" s="39" t="str">
        <x:v>旅游顾问是销售/客服行业中不可或缺的角色之一，通过提供专业的旅游咨询服务，帮助客户选择最合适的旅行方案，不仅能够提升客户的旅行体验，还能增强公司品牌形象。作为旅游顾问，核心目标在于深入了解客户需求，结合市场上的旅游资源，设计出满足不同客户群体需求的个性化旅行计划，从而促进销售增长，提高客户满意度与忠诚度，为公司创造持续的经济收益。此外，旅游顾问还需要与产品开…</x:v>
      </x:c>
      <x:c r="L20" s="39" t="str">
        <x:v>1. 通过电话、邮件或面对面的方式，积极主动地与潜在客户沟通，了解其旅行偏好及预算限制，推荐适合的旅游产品和服务。 2. 根据客户需求，制定详细的行程安排，包括交通、住宿、餐饮、景点游览等各个环节，确保整个旅程顺畅无阻。 3. 负责处理客户的预订请求，准确记录订单信息，协调相关部门完成票务、酒店等预订工作。 4. 定期跟踪客户反馈，收集市场信息，及时调整服务…</x:v>
      </x:c>
    </x:row>
    <x:row r="21" ht="52" customHeight="1">
      <x:c r="A21" s="42" t="n">
        <x:v>5</x:v>
      </x:c>
      <x:c r="B21" s="39" t="str">
        <x:v>旅游顾问</x:v>
      </x:c>
      <x:c r="C21" s="39" t="str">
        <x:v>可直接合并</x:v>
      </x:c>
      <x:c r="D21" s="39" t="str">
        <x:v>旅游顾问</x:v>
      </x:c>
      <x:c r="E21" s="42" t="n">
        <x:v>1217</x:v>
      </x:c>
      <x:c r="F21" s="39" t="str">
        <x:v>IC-L3-1368</x:v>
      </x:c>
      <x:c r="G21" s="42" t="n">
        <x:v>1368</x:v>
      </x:c>
      <x:c r="H21" s="39" t="str">
        <x:v>酒店/旅游 &gt; 旅游 &gt; 旅游顾问</x:v>
      </x:c>
      <x:c r="I21" s="39" t="str">
        <x:v>4-07-01-01</x:v>
      </x:c>
      <x:c r="J21" s="39" t="str">
        <x:v>租赁业务员</x:v>
      </x:c>
      <x:c r="K21" s="39" t="str">
        <x:v>旅游顾问是酒店与旅游业中不可或缺的专业角色，他们通过提供个性化旅行建议和服务，帮助客户规划完美的旅行体验。作为连接游客与目的地之间的桥梁，旅游顾问不仅提升了客户满意度，还促进了旅游产品的销售，增强了品牌忠诚度，对于旅行社或酒店集团来说，旅游顾问是提升服务质量、实现业务增长的关键力量。在日常工作中，旅游顾问需要与其他部门紧密合作，如销售、市场营销和客户服务团队…</x:v>
      </x:c>
      <x:c r="L21" s="39" t="str">
        <x:v>1. 了解客户需求，根据客户的兴趣、预算及时间安排，为其量身定制旅游计划，确保每位客户都能获得满意的旅行体验。 2. 熟悉国内外热门旅游线路及景点特色，及时更新旅游资讯，向客户提供最新、最准确的信息，提高客户预订率。 3. 负责处理客户咨询，解答关于行程安排、交通住宿等方面的疑问，解决客户在旅行过程中遇到的问题，维护良好的客户关系。 4. 协助销售团队完成业…</x:v>
      </x:c>
    </x:row>
    <x:row r="22" ht="52" customHeight="1">
      <x:c r="A22" s="42" t="n">
        <x:v>5</x:v>
      </x:c>
      <x:c r="B22" s="39" t="str">
        <x:v>旅游顾问</x:v>
      </x:c>
      <x:c r="C22" s="39" t="str">
        <x:v>可直接合并</x:v>
      </x:c>
      <x:c r="D22" s="39" t="str">
        <x:v>旅游顾问</x:v>
      </x:c>
      <x:c r="E22" s="42" t="n">
        <x:v>1225</x:v>
      </x:c>
      <x:c r="F22" s="39" t="str">
        <x:v>IC-L3-1376</x:v>
      </x:c>
      <x:c r="G22" s="42" t="n">
        <x:v>1376</x:v>
      </x:c>
      <x:c r="H22" s="39" t="str">
        <x:v>酒店/旅游 &gt; 酒店 &gt; 旅游顾问</x:v>
      </x:c>
      <x:c r="I22" s="39" t="str">
        <x:v>4-07-01-01</x:v>
      </x:c>
      <x:c r="J22" s="39" t="str">
        <x:v>租赁业务员</x:v>
      </x:c>
      <x:c r="K22" s="39" t="str">
        <x:v>旅游顾问是酒店行业中不可或缺的角色之一，他们通过提供专业的旅行建议和服务，帮助客户规划满意的旅程，提升客户的旅行体验，从而增强酒店的品牌形象和客户忠诚度。该职位的核心目标在于深入了解客户需求，结合酒店资源和目的地特色，为客户量身定制旅游方案，确保客户获得独特而难忘的旅行经历，同时为公司创造额外收入来源，提高客户满意度和市场竞争力。旅游顾问需要与销售、客服等多…</x:v>
      </x:c>
      <x:c r="L22" s="39" t="str">
        <x:v>1. 通过面对面咨询、电话或在线方式与客户沟通，了解其旅行偏好、预算限制及特殊需求，提供个性化旅行建议。 2. 根据客户需求设计合理的行程安排，包括但不限于交通、住宿、餐饮、景点游览等方面，确保行程顺畅且符合预期。 3. 负责收集并整理目的地相关信息，如天气预报、当地文化习俗等，为客户提供全面周到的信息支持，帮助其更好地享受旅行过程。 4. 协助解决客户在旅…</x:v>
      </x:c>
    </x:row>
    <x:row r="23" ht="52" customHeight="1">
      <x:c r="A23" s="42" t="n">
        <x:v>6</x:v>
      </x:c>
      <x:c r="B23" s="39" t="str">
        <x:v>射频工程师</x:v>
      </x:c>
      <x:c r="C23" s="39" t="str">
        <x:v>条件合并（先修分类）</x:v>
      </x:c>
      <x:c r="D23" s="39" t="str">
        <x:v>射频工程师</x:v>
      </x:c>
      <x:c r="E23" s="42" t="n">
        <x:v>454</x:v>
      </x:c>
      <x:c r="F23" s="39" t="str">
        <x:v>IC-L3-605</x:v>
      </x:c>
      <x:c r="G23" s="42" t="n">
        <x:v>605</x:v>
      </x:c>
      <x:c r="H23" s="39" t="str">
        <x:v>建筑/房地产 &gt; 建筑工程 &gt; 射频工程师</x:v>
      </x:c>
      <x:c r="I23" s="39" t="str">
        <x:v>2-02-18-01</x:v>
      </x:c>
      <x:c r="J23" s="39" t="str">
        <x:v>建筑和市政设计工程技术人员</x:v>
      </x:c>
      <x:c r="K23" s="39" t="str">
        <x:v>射频工程师是专门从事建筑智能化系统中无线通信技术应用的专业人员。该职位的核心目标是通过设计和优化射频系统，确保建筑物内无线通信设备的高效稳定运行。在日常工作中，需要进行射频系统规划、信号测试分析、设备调试及故障排查等工作。</x:v>
      </x:c>
      <x:c r="L23" s="39" t="str">
        <x:v>1. 设计射频通信系统 2. 优化无线信号覆盖 3. 测试射频设备性能 4. 分析电磁干扰问题 5. 维护基站设备运行 6. 编制技术方案文档</x:v>
      </x:c>
    </x:row>
    <x:row r="24" ht="52" customHeight="1">
      <x:c r="A24" s="42" t="n">
        <x:v>6</x:v>
      </x:c>
      <x:c r="B24" s="39" t="str">
        <x:v>射频工程师</x:v>
      </x:c>
      <x:c r="C24" s="39" t="str">
        <x:v>条件合并（先修分类）</x:v>
      </x:c>
      <x:c r="D24" s="39" t="str">
        <x:v>射频工程师</x:v>
      </x:c>
      <x:c r="E24" s="42" t="n">
        <x:v>678</x:v>
      </x:c>
      <x:c r="F24" s="39" t="str">
        <x:v>IC-L3-829</x:v>
      </x:c>
      <x:c r="G24" s="42" t="n">
        <x:v>829</x:v>
      </x:c>
      <x:c r="H24" s="39" t="str">
        <x:v>生产制造 &gt; 技工 &gt; 射频工程师</x:v>
      </x:c>
      <x:c r="I24" s="39" t="str">
        <x:v>6-31-01-01</x:v>
      </x:c>
      <x:c r="J24" s="39" t="str">
        <x:v>设备点检员</x:v>
      </x:c>
      <x:c r="K24" s="39" t="str">
        <x:v>射频工程师是专门从事射频系统设计与调试的专业技术人员。该职位的核心目标是通过优化射频电路性能，确保无线通信设备的稳定传输。在日常工作中，需要进行射频电路设计、测试与调试、故障排查及技术文档编写等工作。</x:v>
      </x:c>
      <x:c r="L24" s="39" t="str">
        <x:v>1. 设计射频电路方案 2. 调试射频系统性能 3. 测试射频器件参数 4. 优化射频信号质量 5. 解决射频干扰问题 6. 编制射频技术文档</x:v>
      </x:c>
    </x:row>
    <x:row r="25" ht="52" customHeight="1">
      <x:c r="A25" s="42" t="n">
        <x:v>6</x:v>
      </x:c>
      <x:c r="B25" s="39" t="str">
        <x:v>射频工程师</x:v>
      </x:c>
      <x:c r="C25" s="39" t="str">
        <x:v>条件合并（先修分类）</x:v>
      </x:c>
      <x:c r="D25" s="39" t="str">
        <x:v>射频工程师</x:v>
      </x:c>
      <x:c r="E25" s="42" t="n">
        <x:v>1187</x:v>
      </x:c>
      <x:c r="F25" s="39" t="str">
        <x:v>IC-L3-1338</x:v>
      </x:c>
      <x:c r="G25" s="42" t="n">
        <x:v>1338</x:v>
      </x:c>
      <x:c r="H25" s="39" t="str">
        <x:v>通信/电子 &gt; 硬件开发 &gt; 射频工程师</x:v>
      </x:c>
      <x:c r="I25" s="39" t="str">
        <x:v>2-02-09-02</x:v>
      </x:c>
      <x:c r="J25" s="39" t="str">
        <x:v>电子元器件工程技术人员</x:v>
      </x:c>
      <x:c r="K25" s="39" t="str">
        <x:v>射频工程师是专门从事射频电路与系统设计的专业人员。该职位的核心目标是通过研发高性能射频硬件，实现无线通信设备的稳定性和可靠性。在日常工作中，需要进行射频电路设计、仿真优化、原型测试及EMC问题解决等工作。</x:v>
      </x:c>
      <x:c r="L25" s="39" t="str">
        <x:v>1. 设计射频电路方案 2. 调试射频系统性能 3. 优化射频信号质量 4. 测试射频设备指标 5. 解决射频干扰问题 6. 编写射频技术文档</x:v>
      </x:c>
    </x:row>
    <x:row r="26" ht="52" customHeight="1">
      <x:c r="A26" s="42" t="n">
        <x:v>6</x:v>
      </x:c>
      <x:c r="B26" s="39" t="str">
        <x:v>射频工程师</x:v>
      </x:c>
      <x:c r="C26" s="39" t="str">
        <x:v>条件合并（先修分类）</x:v>
      </x:c>
      <x:c r="D26" s="39" t="str">
        <x:v>射频工程师</x:v>
      </x:c>
      <x:c r="E26" s="42" t="n">
        <x:v>1205</x:v>
      </x:c>
      <x:c r="F26" s="39" t="str">
        <x:v>IC-L3-1356</x:v>
      </x:c>
      <x:c r="G26" s="42" t="n">
        <x:v>1356</x:v>
      </x:c>
      <x:c r="H26" s="39" t="str">
        <x:v>通信/电子 &gt; 通信技术开发与应用 &gt; 射频工程师</x:v>
      </x:c>
      <x:c r="I26" s="39" t="str">
        <x:v>2-02-10-01</x:v>
      </x:c>
      <x:c r="J26" s="39" t="str">
        <x:v>通信工程技术人员</x:v>
      </x:c>
      <x:c r="K26" s="39" t="str">
        <x:v>射频工程师是通信/电子行业中不可或缺的技术专家，负责设计、测试和优化无线通信系统的关键组件。这一职位不仅要求深厚的专业知识，还需要良好的创新意识和解决问题的能力，以确保通信系统的高效运行和性能提升。作为射频工程师，在公司中扮演着技术创新和产品开发的重要角色，其工作直接关系到公司产品的竞争力和市场占有率，通过不断优化射频解决方案，能够显著提高公司的技术水平和服…</x:v>
      </x:c>
      <x:c r="L26" s="39" t="str">
        <x:v>射频工程师的主要职责包括：负责射频模块的设计与开发，包括射频电路、天线设计及射频测试；进行射频信号的分析与优化，确保信号传输的稳定性和可靠性；参与产品开发的各个阶段，从需求分析到产品测试，确保射频性能符合设计要求；进行射频器件选型与供应商评估，确保器件性能满足项目需求；负责射频相关技术文档的编写与维护，包括设计文档、测试报告等；与团队成员紧密合作，解决射频设…</x:v>
      </x:c>
    </x:row>
    <x:row r="27" ht="52" customHeight="1">
      <x:c r="A27" s="42" t="n">
        <x:v>7</x:v>
      </x:c>
      <x:c r="B27" s="39" t="str">
        <x:v>项目经理</x:v>
      </x:c>
      <x:c r="C27" s="39" t="str">
        <x:v>需拆分后合并</x:v>
      </x:c>
      <x:c r="D27" s="39" t="str">
        <x:v>待补专业方向限定词</x:v>
      </x:c>
      <x:c r="E27" s="42" t="n">
        <x:v>40</x:v>
      </x:c>
      <x:c r="F27" s="39" t="str">
        <x:v>IC-L3-191</x:v>
      </x:c>
      <x:c r="G27" s="42" t="n">
        <x:v>191</x:v>
      </x:c>
      <x:c r="H27" s="39" t="str">
        <x:v>互联网技术 &gt; 技术管理 &gt; 项目经理</x:v>
      </x:c>
      <x:c r="I27" s="39" t="str">
        <x:v>2-02-10-03</x:v>
      </x:c>
      <x:c r="J27" s="39" t="str">
        <x:v>计算机软件工程技术人员</x:v>
      </x:c>
      <x:c r="K27" s="39" t="str">
        <x:v>项目经理是互联网技术行业中不可或缺的角色，他们负责确保项目按时按质完成，同时协调资源以实现公司战略目标。作为连接技术和业务的关键人物，项目经理不仅需要具备深厚的技术背景，还需拥有良好的沟通能力和项目管理知识，以确保团队成员之间的有效合作。 在公司中，项目经理的核心目标是通过优化项目流程和提升团队效率，来降低项目成本并提高产品质量。这不仅有助于增强客户满意度，…</x:v>
      </x:c>
      <x:c r="L27" s="39" t="str">
        <x:v>1. 制定详细的项目计划，包括但不限于时间表、预算、资源配置等，确保项目顺利进行并达成既定目标。 2. 监控项目的执行情况，及时识别潜在风险并采取预防措施，保证项目质量符合预期标准。 3. 与跨职能团队成员保持良好沟通，促进信息共享和技术交流，构建高效协作的工作环境。 4. 定期向管理层报告项目进度及成果，提出改进建议，支持决策制定过程。 5. 负责项目结束…</x:v>
      </x:c>
    </x:row>
    <x:row r="28" ht="52" customHeight="1">
      <x:c r="A28" s="42" t="n">
        <x:v>7</x:v>
      </x:c>
      <x:c r="B28" s="39" t="str">
        <x:v>项目经理</x:v>
      </x:c>
      <x:c r="C28" s="39" t="str">
        <x:v>需拆分后合并</x:v>
      </x:c>
      <x:c r="D28" s="39" t="str">
        <x:v>待补专业方向限定词</x:v>
      </x:c>
      <x:c r="E28" s="42" t="n">
        <x:v>115</x:v>
      </x:c>
      <x:c r="F28" s="39" t="str">
        <x:v>IC-L3-266</x:v>
      </x:c>
      <x:c r="G28" s="42" t="n">
        <x:v>266</x:v>
      </x:c>
      <x:c r="H28" s="39" t="str">
        <x:v>产品 &gt; 其他产品经理 &gt; 项目经理</x:v>
      </x:c>
      <x:c r="I28" s="39" t="str">
        <x:v>2-06-07-16</x:v>
      </x:c>
      <x:c r="J28" s="39" t="str">
        <x:v>技术经理人</x:v>
      </x:c>
      <x:c r="K28" s="39" t="str">
        <x:v>项目经理是专门从事项目规划与执行管理的专业人员。该职位的核心目标是通过统筹资源、把控进度，确保项目在预算和时限内高质量交付。在日常工作中，需要进行需求分析、制定计划、协调团队、监控风险及评估项目成果等工作。</x:v>
      </x:c>
      <x:c r="L28" s="39" t="str">
        <x:v>1. 制定项目计划 2. 统筹项目资源 3. 监控项目进度 4. 控制项目成本 5. 协调跨部门合作 6. 评估项目成果</x:v>
      </x:c>
    </x:row>
    <x:row r="29" ht="52" customHeight="1">
      <x:c r="A29" s="42" t="n">
        <x:v>7</x:v>
      </x:c>
      <x:c r="B29" s="39" t="str">
        <x:v>项目经理</x:v>
      </x:c>
      <x:c r="C29" s="39" t="str">
        <x:v>需拆分后合并</x:v>
      </x:c>
      <x:c r="D29" s="39" t="str">
        <x:v>待补专业方向限定词</x:v>
      </x:c>
      <x:c r="E29" s="42" t="n">
        <x:v>1142</x:v>
      </x:c>
      <x:c r="F29" s="39" t="str">
        <x:v>IC-L3-1293</x:v>
      </x:c>
      <x:c r="G29" s="42" t="n">
        <x:v>1293</x:v>
      </x:c>
      <x:c r="H29" s="39" t="str">
        <x:v>通信/电子 &gt; 技术项目管理 &gt; 项目经理</x:v>
      </x:c>
      <x:c r="I29" s="39" t="str">
        <x:v>2-02-30-04</x:v>
      </x:c>
      <x:c r="J29" s="39" t="str">
        <x:v>项目管理工程技术人员</x:v>
      </x:c>
      <x:c r="K29" s="39" t="str">
        <x:v>项目经理是通信/电子行业中不可或缺的角色，他们负责确保项目从概念到完成的顺利推进，通过优化资源配置和时间管理来实现项目目标。作为技术与管理之间的桥梁，项目经理不仅需要具备深厚的技术背景，还应拥有良好的沟通协调能力，以确保项目能够按时、按质、按预算地交付。在团队合作方面，项目经理将与跨部门的专业人员紧密合作，共同解决项目中遇到的问题，同时为团队成员提供成长机会…</x:v>
      </x:c>
      <x:c r="L29" s="39" t="str">
        <x:v>1. 制定详细的项目计划，包括项目的时间表、成本预算以及风险管理策略，确保项目目标的达成。 2. 负责项目执行过程中的监控与控制，定期检查项目进度，及时调整计划以应对可能出现的风险或变更。 3. 协调内外部资源，与客户、供应商及其他相关方建立并维护良好的合作关系，保证项目需求得到准确理解和满足。 4. 组织并主持项目会议，记录会议纪要，跟踪行动计划的落实情况…</x:v>
      </x:c>
    </x:row>
    <x:row r="30" ht="52" customHeight="1">
      <x:c r="A30" s="42" t="n">
        <x:v>7</x:v>
      </x:c>
      <x:c r="B30" s="39" t="str">
        <x:v>项目经理</x:v>
      </x:c>
      <x:c r="C30" s="39" t="str">
        <x:v>需拆分后合并</x:v>
      </x:c>
      <x:c r="D30" s="39" t="str">
        <x:v>待补专业方向限定词</x:v>
      </x:c>
      <x:c r="E30" s="42" t="n">
        <x:v>1328</x:v>
      </x:c>
      <x:c r="F30" s="39" t="str">
        <x:v>IC-L3-1479</x:v>
      </x:c>
      <x:c r="G30" s="42" t="n">
        <x:v>1479</x:v>
      </x:c>
      <x:c r="H30" s="39" t="str">
        <x:v>项目经理/管理 &gt; 项目经理/管理 &gt; 项目经理</x:v>
      </x:c>
      <x:c r="I30" s="39" t="str">
        <x:v>2-02-30-04</x:v>
      </x:c>
      <x:c r="J30" s="39" t="str">
        <x:v>项目管理工程技术人员</x:v>
      </x:c>
      <x:c r="K30" s="39" t="str">
        <x:v>项目经理是企业运营中不可或缺的角色，他们负责确保项目从启动到完成的每一个环节都能高效有序地进行。在这个角色中，项目经理不仅需要具备强大的组织协调能力，还要能够有效地沟通各方需求，确保项目的顺利推进。 作为项目经理，其核心目标在于通过合理规划资源、时间及成本，确保项目按时按质完成，从而实现公司既定的战略目标。这一过程中，项目经理需要不断优化流程，提高效率，同时…</x:v>
      </x:c>
      <x:c r="L30" s="39" t="str">
        <x:v>1. 负责制定项目计划，明确项目目标、里程碑及关键路径，确保所有参与者对项目有清晰的认识。 2. 组织并主持定期会议，跟踪项目进度，解决项目执行过程中的问题，确保项目按计划推进。 3. 与客户保持良好沟通，了解客户需求变化，及时调整项目方案以满足客户要求。 4. 管理项目预算，控制成本，确保项目在预算范围内高质量完成。 5. 对项目成果进行评估，总结经验教训…</x:v>
      </x:c>
    </x:row>
    <x:row r="31" ht="52" customHeight="1">
      <x:c r="A31" s="42" t="n">
        <x:v>8</x:v>
      </x:c>
      <x:c r="B31" s="39" t="str">
        <x:v>营养师</x:v>
      </x:c>
      <x:c r="C31" s="39" t="str">
        <x:v>条件合并（先修分类）</x:v>
      </x:c>
      <x:c r="D31" s="39" t="str">
        <x:v>营养师</x:v>
      </x:c>
      <x:c r="E31" s="42" t="n">
        <x:v>182</x:v>
      </x:c>
      <x:c r="F31" s="39" t="str">
        <x:v>IC-L3-333</x:v>
      </x:c>
      <x:c r="G31" s="42" t="n">
        <x:v>333</x:v>
      </x:c>
      <x:c r="H31" s="39" t="str">
        <x:v>医药/医疗 &gt; 医生/医技 &gt; 营养师</x:v>
      </x:c>
      <x:c r="I31" s="39" t="str">
        <x:v>2-05-01-19</x:v>
      </x:c>
      <x:c r="J31" s="39" t="str">
        <x:v>全科医师</x:v>
      </x:c>
      <x:c r="K31" s="39" t="str">
        <x:v>营养师是医药/医疗行业中不可或缺的专业人才，在维护和促进公众健康方面发挥着重要作用。作为连接患者与治疗方案之间的桥梁，营养师通过科学的方法评估个体或群体的营养状况，制定合理的饮食计划，以达到预防疾病、改善健康的目的，从而提高患者的生活质量。 在医疗机构中，营养师的核心目标是确保患者获得最佳的营养支持，这不仅有助于疾病的康复，还能有效降低并发症的发生率，减轻医…</x:v>
      </x:c>
      <x:c r="L31" s="39" t="str">
        <x:v>1. 为患者进行营养评估，收集病史资料，分析患者的营养需求，制定个性化营养治疗方案。 2. 定期监测患者的身体状况变化，调整营养方案，确保其符合患者的康复进程。 3. 开展营养咨询活动，普及健康饮食知识，提高患者自我保健能力。 4. 协助医护人员实施营养支持计划，跟踪记录患者的营养状况及反应，及时反馈给主治医师。 5. 参与科研项目，收集整理相关数据，撰写研…</x:v>
      </x:c>
    </x:row>
    <x:row r="32" ht="52" customHeight="1">
      <x:c r="A32" s="42" t="n">
        <x:v>8</x:v>
      </x:c>
      <x:c r="B32" s="39" t="str">
        <x:v>营养师</x:v>
      </x:c>
      <x:c r="C32" s="39" t="str">
        <x:v>条件合并（先修分类）</x:v>
      </x:c>
      <x:c r="D32" s="39" t="str">
        <x:v>营养师</x:v>
      </x:c>
      <x:c r="E32" s="42" t="n">
        <x:v>222</x:v>
      </x:c>
      <x:c r="F32" s="39" t="str">
        <x:v>IC-L3-373</x:v>
      </x:c>
      <x:c r="G32" s="42" t="n">
        <x:v>373</x:v>
      </x:c>
      <x:c r="H32" s="39" t="str">
        <x:v>医药/医疗 &gt; 护理/护士 &gt; 营养师</x:v>
      </x:c>
      <x:c r="I32" s="39" t="str">
        <x:v>2-05-08-01</x:v>
      </x:c>
      <x:c r="J32" s="39" t="str">
        <x:v>内科护士</x:v>
      </x:c>
      <x:c r="K32" s="39" t="str">
        <x:v>营养师是专门从事临床营养支持与饮食指导的专业人员。该职位的核心目标是通过制定个性化营养方案，促进患者康复并预防营养相关疾病。在日常工作中，需要进行营养评估、膳食设计、营养教育及饮食干预效果监测等工作。</x:v>
      </x:c>
      <x:c r="L32" s="39" t="str">
        <x:v>1. 评估患者营养状况 2. 制定个性化饮食方案 3. 指导患者营养摄入 4. 监测营养干预效果 5. 提供营养知识培训 6. 更新营养护理记录</x:v>
      </x:c>
    </x:row>
    <x:row r="33" ht="52" customHeight="1">
      <x:c r="A33" s="42" t="n">
        <x:v>8</x:v>
      </x:c>
      <x:c r="B33" s="39" t="str">
        <x:v>营养师</x:v>
      </x:c>
      <x:c r="C33" s="39" t="str">
        <x:v>条件合并（先修分类）</x:v>
      </x:c>
      <x:c r="D33" s="39" t="str">
        <x:v>营养师</x:v>
      </x:c>
      <x:c r="E33" s="42" t="n">
        <x:v>793</x:v>
      </x:c>
      <x:c r="F33" s="39" t="str">
        <x:v>IC-L3-944</x:v>
      </x:c>
      <x:c r="G33" s="42" t="n">
        <x:v>944</x:v>
      </x:c>
      <x:c r="H33" s="39" t="str">
        <x:v>生活服务/零售 &gt; 保健理疗 &gt; 营养师</x:v>
      </x:c>
      <x:c r="I33" s="39" t="str">
        <x:v>4-14-02-01</x:v>
      </x:c>
      <x:c r="J33" s="39" t="str">
        <x:v>营养师</x:v>
      </x:c>
      <x:c r="K33" s="39" t="str">
        <x:v>营养师是专门从事膳食营养与健康管理的专业人员。该职位的核心目标是通过科学评估和个性化营养方案，帮助客户改善健康状况。在日常工作中，需要进行营养评估、膳食计划制定、营养咨询及健康指导等工作。</x:v>
      </x:c>
      <x:c r="L33" s="39" t="str">
        <x:v>1. 评估客户营养状况 2. 制定个性化饮食方案 3. 指导健康食材选择 4. 监测营养改善效果 5. 开展营养知识培训 6. 更新营养保健方案</x:v>
      </x:c>
    </x:row>
    <x:row r="34" ht="52" customHeight="1">
      <x:c r="A34" s="42" t="n">
        <x:v>8</x:v>
      </x:c>
      <x:c r="B34" s="39" t="str">
        <x:v>营养师</x:v>
      </x:c>
      <x:c r="C34" s="39" t="str">
        <x:v>条件合并（先修分类）</x:v>
      </x:c>
      <x:c r="D34" s="39" t="str">
        <x:v>营养师</x:v>
      </x:c>
      <x:c r="E34" s="42" t="n">
        <x:v>819</x:v>
      </x:c>
      <x:c r="F34" s="39" t="str">
        <x:v>IC-L3-970</x:v>
      </x:c>
      <x:c r="G34" s="42" t="n">
        <x:v>970</x:v>
      </x:c>
      <x:c r="H34" s="39" t="str">
        <x:v>生活服务/零售 &gt; 服务员 &gt; 营养师</x:v>
      </x:c>
      <x:c r="I34" s="39" t="str">
        <x:v>4-03-02-05</x:v>
      </x:c>
      <x:c r="J34" s="39" t="str">
        <x:v>餐厅服务员</x:v>
      </x:c>
      <x:c r="K34" s="39" t="str">
        <x:v>营养师是专门从事膳食营养指导与管理的专业人员。该职位的核心目标是通过科学配餐与营养教育，提升服务对象的健康水平和餐饮服务质量。在日常工作中，需要进行营养评估、膳食方案设计、营养知识宣教以及餐饮服务监督等工作。</x:v>
      </x:c>
      <x:c r="L34" s="39" t="str">
        <x:v>1. 设计营养餐单 2. 评估膳食营养 3. 指导饮食搭配 4. 监测食品安全 5. 解答营养咨询 6. 更新健康知识</x:v>
      </x:c>
    </x:row>
    <x:row r="35" ht="52" customHeight="1">
      <x:c r="A35" s="42" t="n">
        <x:v>9</x:v>
      </x:c>
      <x:c r="B35" s="39" t="str">
        <x:v>资料员</x:v>
      </x:c>
      <x:c r="C35" s="39" t="str">
        <x:v>可直接合并</x:v>
      </x:c>
      <x:c r="D35" s="39" t="str">
        <x:v>资料员</x:v>
      </x:c>
      <x:c r="E35" s="42" t="n">
        <x:v>450</x:v>
      </x:c>
      <x:c r="F35" s="39" t="str">
        <x:v>IC-L3-601</x:v>
      </x:c>
      <x:c r="G35" s="42" t="n">
        <x:v>601</x:v>
      </x:c>
      <x:c r="H35" s="39" t="str">
        <x:v>建筑/房地产 &gt; 建筑工程 &gt; 资料员</x:v>
      </x:c>
      <x:c r="I35" s="39" t="str">
        <x:v>3-01-02-02</x:v>
      </x:c>
      <x:c r="J35" s="39" t="str">
        <x:v>秘书</x:v>
      </x:c>
      <x:c r="K35" s="39" t="str">
        <x:v>资料员在建筑/房地产行业中扮演着至关重要的角色，负责项目文件的整理与管理，确保所有文档资料准确无误并及时更新，从而保障项目的顺利进行。通过高效的信息管理和沟通协调，资料员能够帮助团队成员快速获取所需信息，提高工作效率，降低因信息不畅导致的风险，是公司实现高质量建设目标的重要支撑。此外，资料员还需与其他部门密切合作，如工程部、设计部等，以确保资料的一致性和完整…</x:v>
      </x:c>
      <x:c r="L35" s="39" t="str">
        <x:v>1. 负责收集、整理及归档各类工程项目文件资料，确保资料完整、准确、安全，便于查阅和追溯。 2. 定期检查项目文档状态，及时发现并解决存在的问题，保证资料的时效性和有效性。 3. 协助编制施工日志、会议纪要等日常记录，支持项目进度跟踪和质量控制工作。 4. 与项目各方保持良好沟通，及时传递相关信息，促进项目内部及外部的合作顺畅。 5. 参与制定和完善公司档案…</x:v>
      </x:c>
    </x:row>
    <x:row r="36" ht="52" customHeight="1">
      <x:c r="A36" s="42" t="n">
        <x:v>9</x:v>
      </x:c>
      <x:c r="B36" s="39" t="str">
        <x:v>资料员</x:v>
      </x:c>
      <x:c r="C36" s="39" t="str">
        <x:v>可直接合并</x:v>
      </x:c>
      <x:c r="D36" s="39" t="str">
        <x:v>资料员</x:v>
      </x:c>
      <x:c r="E36" s="42" t="n">
        <x:v>616</x:v>
      </x:c>
      <x:c r="F36" s="39" t="str">
        <x:v>IC-L3-767</x:v>
      </x:c>
      <x:c r="G36" s="42" t="n">
        <x:v>767</x:v>
      </x:c>
      <x:c r="H36" s="39" t="str">
        <x:v>汽车 &gt; 汽车销售与服务 &gt; 资料员</x:v>
      </x:c>
      <x:c r="I36" s="39" t="str">
        <x:v>3-01-02-02</x:v>
      </x:c>
      <x:c r="J36" s="39" t="str">
        <x:v>秘书</x:v>
      </x:c>
      <x:c r="K36" s="39" t="str">
        <x:v>资料员是专门从事汽车销售与服务领域文档管理的专业人员。该职位的核心目标是通过规范化的资料管理，确保业务资料的完整性与可追溯性。在日常工作中，需要进行销售合同归档、维修记录整理、客户档案维护等工作。</x:v>
      </x:c>
      <x:c r="L36" s="39" t="str">
        <x:v>1. 收集客户档案资料 2. 整理销售服务单据 3. 录入系统数据信息 4. 维护档案完整准确 5. 协助办理车辆手续 6. 定期归档重要文件</x:v>
      </x:c>
    </x:row>
    <x:row r="37" ht="52" customHeight="1">
      <x:c r="A37" s="42" t="n">
        <x:v>9</x:v>
      </x:c>
      <x:c r="B37" s="39" t="str">
        <x:v>资料员</x:v>
      </x:c>
      <x:c r="C37" s="39" t="str">
        <x:v>可直接合并</x:v>
      </x:c>
      <x:c r="D37" s="39" t="str">
        <x:v>资料员</x:v>
      </x:c>
      <x:c r="E37" s="42" t="n">
        <x:v>822</x:v>
      </x:c>
      <x:c r="F37" s="39" t="str">
        <x:v>IC-L3-973</x:v>
      </x:c>
      <x:c r="G37" s="42" t="n">
        <x:v>973</x:v>
      </x:c>
      <x:c r="H37" s="39" t="str">
        <x:v>生活服务/零售 &gt; 服务员 &gt; 资料员</x:v>
      </x:c>
      <x:c r="I37" s="39" t="str">
        <x:v>3-01-02-02</x:v>
      </x:c>
      <x:c r="J37" s="39" t="str">
        <x:v>秘书</x:v>
      </x:c>
      <x:c r="K37" s="39" t="str">
        <x:v>资料员是专门从事信息收集与管理的专业人员。该职位的核心目标是通过系统化整理服务数据，提升运营效率和服务质量。在日常工作中，需要进行客户档案维护、服务记录统计、数据报表编制等工作。</x:v>
      </x:c>
      <x:c r="L37" s="39" t="str">
        <x:v>1. 收集客户资料 2. 整理服务记录 3. 更新档案信息 4. 保管重要文件 5. 协助查询数据 6. 维护资料系统</x:v>
      </x:c>
    </x:row>
    <x:row r="38" ht="52" customHeight="1">
      <x:c r="A38" s="42" t="n">
        <x:v>9</x:v>
      </x:c>
      <x:c r="B38" s="39" t="str">
        <x:v>资料员</x:v>
      </x:c>
      <x:c r="C38" s="39" t="str">
        <x:v>可直接合并</x:v>
      </x:c>
      <x:c r="D38" s="39" t="str">
        <x:v>资料员</x:v>
      </x:c>
      <x:c r="E38" s="42" t="n">
        <x:v>942</x:v>
      </x:c>
      <x:c r="F38" s="39" t="str">
        <x:v>IC-L3-1093</x:v>
      </x:c>
      <x:c r="G38" s="42" t="n">
        <x:v>1093</x:v>
      </x:c>
      <x:c r="H38" s="39" t="str">
        <x:v>能源/环保/化工 &gt; 环保 &gt; 资料员</x:v>
      </x:c>
      <x:c r="I38" s="39" t="str">
        <x:v>3-01-02-02</x:v>
      </x:c>
      <x:c r="J38" s="39" t="str">
        <x:v>秘书</x:v>
      </x:c>
      <x:c r="K38" s="39" t="str">
        <x:v>资料员是专门从事环保项目资料管理的专业人员。该职位的核心目标是通过规范化的文档管理，确保项目资料的完整性和可追溯性。在日常工作中，需要进行项目资料收集、分类归档、编制台账以及配合监管部门检查等工作。</x:v>
      </x:c>
      <x:c r="L38" s="39" t="str">
        <x:v>1. 收集环保项目资料 2. 整理归档技术文件 3. 维护资料管理系统 4. 编制环保数据报表 5. 协助项目验收工作 6. 更新法规标准文件</x:v>
      </x:c>
    </x:row>
    <x:row r="39" ht="52" customHeight="1">
      <x:c r="A39" s="42" t="n">
        <x:v>10</x:v>
      </x:c>
      <x:c r="B39" s="39" t="str">
        <x:v>材料工程师</x:v>
      </x:c>
      <x:c r="C39" s="39" t="str">
        <x:v>条件合并（先修分类）</x:v>
      </x:c>
      <x:c r="D39" s="39" t="str">
        <x:v>材料工程师</x:v>
      </x:c>
      <x:c r="E39" s="42" t="n">
        <x:v>644</x:v>
      </x:c>
      <x:c r="F39" s="39" t="str">
        <x:v>IC-L3-795</x:v>
      </x:c>
      <x:c r="G39" s="42" t="n">
        <x:v>795</x:v>
      </x:c>
      <x:c r="H39" s="39" t="str">
        <x:v>生产制造 &gt; 工程/机械 &gt; 材料工程师</x:v>
      </x:c>
      <x:c r="I39" s="39" t="str">
        <x:v>2-02-07-01</x:v>
      </x:c>
      <x:c r="J39" s="39" t="str">
        <x:v>机械设计工程技术人员</x:v>
      </x:c>
      <x:c r="K39" s="39" t="str">
        <x:v>材料工程师是生产制造行业中不可或缺的专业人才，他们通过科学的方法研究和开发新材料，以满足产品的性能要求，从而提升产品质量和降低成本。该职位的核心目标在于通过材料的创新与优化，确保产品从设计到生产的整个流程中能够高效运行，同时对公司的技术创新和市场竞争力产生积极影响。材料工程师不仅需要与研发部门紧密合作，共同解决产品开发过程中的技术难题，还需要与其他如采购、生…</x:v>
      </x:c>
      <x:c r="L39" s="39" t="str">
        <x:v>材料工程师的主要职责包括：负责新材料的研发与测试，优化材料性能以满足产品需求；进行材料成本分析，选择性价比高的材料供应商；监督材料采购、入库、存储及使用过程，确保材料质量；参与产品设计评审，提供材料方面的专业意见；制定并执行材料管理流程，确保材料使用符合公司标准和法规要求。</x:v>
      </x:c>
    </x:row>
    <x:row r="40" ht="52" customHeight="1">
      <x:c r="A40" s="42" t="n">
        <x:v>10</x:v>
      </x:c>
      <x:c r="B40" s="39" t="str">
        <x:v>材料工程师</x:v>
      </x:c>
      <x:c r="C40" s="39" t="str">
        <x:v>条件合并（先修分类）</x:v>
      </x:c>
      <x:c r="D40" s="39" t="str">
        <x:v>材料工程师</x:v>
      </x:c>
      <x:c r="E40" s="42" t="n">
        <x:v>939</x:v>
      </x:c>
      <x:c r="F40" s="39" t="str">
        <x:v>IC-L3-1090</x:v>
      </x:c>
      <x:c r="G40" s="42" t="n">
        <x:v>1090</x:v>
      </x:c>
      <x:c r="H40" s="39" t="str">
        <x:v>能源/环保/化工 &gt; 环保 &gt; 材料工程师</x:v>
      </x:c>
      <x:c r="I40" s="39" t="str">
        <x:v>2-02-27-06</x:v>
      </x:c>
      <x:c r="J40" s="39" t="str">
        <x:v>健康安全环境工程技术人员</x:v>
      </x:c>
      <x:c r="K40" s="39" t="str">
        <x:v>材料工程师是专门从事环保材料研发与应用的专业人员。该职位的核心目标是通过开发高性能环保材料，实现资源高效利用与污染减排。在日常工作中，需要进行新材料研发、性能测试、生产工艺优化以及环保材料应用方案设计等工作。</x:v>
      </x:c>
      <x:c r="L40" s="39" t="str">
        <x:v>1. 研发环保新材料 2. 优化材料生产工艺 3. 测试材料性能指标 4. 分析材料环保特性 5. 解决材料应用问题 6. 编制技术规范文档</x:v>
      </x:c>
    </x:row>
    <x:row r="41" ht="52" customHeight="1">
      <x:c r="A41" s="42" t="n">
        <x:v>10</x:v>
      </x:c>
      <x:c r="B41" s="39" t="str">
        <x:v>材料工程师</x:v>
      </x:c>
      <x:c r="C41" s="39" t="str">
        <x:v>条件合并（先修分类）</x:v>
      </x:c>
      <x:c r="D41" s="39" t="str">
        <x:v>材料工程师</x:v>
      </x:c>
      <x:c r="E41" s="42" t="n">
        <x:v>1186</x:v>
      </x:c>
      <x:c r="F41" s="39" t="str">
        <x:v>IC-L3-1337</x:v>
      </x:c>
      <x:c r="G41" s="42" t="n">
        <x:v>1337</x:v>
      </x:c>
      <x:c r="H41" s="39" t="str">
        <x:v>通信/电子 &gt; 硬件开发 &gt; 材料工程师</x:v>
      </x:c>
      <x:c r="I41" s="39" t="str">
        <x:v>2-02-09-02</x:v>
      </x:c>
      <x:c r="J41" s="39" t="str">
        <x:v>电子元器件工程技术人员</x:v>
      </x:c>
      <x:c r="K41" s="39" t="str">
        <x:v>材料工程师是专门从事材料研发与应用的专业人员。该职位的核心目标是通过优化材料性能与工艺，实现硬件产品在可靠性、成本及性能方面的突破。在日常工作中，需要进行材料选型测试、工艺参数优化、失效分析及新材料开发等工作。</x:v>
      </x:c>
      <x:c r="L41" s="39" t="str">
        <x:v>1. 研发新型材料 2. 测试材料性能 3. 优化材料工艺 4. 分析材料失效 5. 撰写技术文档 6. 支持产品开发</x:v>
      </x:c>
    </x:row>
    <x:row r="42" ht="52" customHeight="1">
      <x:c r="A42" s="42" t="n">
        <x:v>11</x:v>
      </x:c>
      <x:c r="B42" s="39" t="str">
        <x:v>测试工程师</x:v>
      </x:c>
      <x:c r="C42" s="39" t="str">
        <x:v>需拆分后合并</x:v>
      </x:c>
      <x:c r="D42" s="39" t="str">
        <x:v>待补专业方向限定词</x:v>
      </x:c>
      <x:c r="E42" s="42" t="n">
        <x:v>58</x:v>
      </x:c>
      <x:c r="F42" s="39" t="str">
        <x:v>IC-L3-209</x:v>
      </x:c>
      <x:c r="G42" s="42" t="n">
        <x:v>209</x:v>
      </x:c>
      <x:c r="H42" s="39" t="str">
        <x:v>互联网技术 &gt; 测试 &gt; 测试工程师</x:v>
      </x:c>
      <x:c r="I42" s="39" t="str">
        <x:v>4-04-05-02</x:v>
      </x:c>
      <x:c r="J42" s="39" t="str">
        <x:v>计算机软件测试员</x:v>
      </x:c>
      <x:c r="K42" s="39" t="str">
        <x:v>测试工程师在互联网技术行业中扮演着至关重要的角色，负责确保软件产品的质量和稳定性，是连接开发与用户之间的桥梁。通过严谨的测试流程，他们能够提前发现并解决潜在问题，保障产品的顺利上线和用户体验。在公司内部，测试工程师不仅需要与开发人员紧密合作，共同优化产品性能，还需与产品经理等其他部门保持良好沟通，以准确理解需求，提供专业的测试方案和支持。随着技术的发展和业务…</x:v>
      </x:c>
      <x:c r="L42" s="39" t="str">
        <x:v>1. 设计并执行详细的测试计划和测试用例，覆盖功能、性能、安全等多个维度，确保产品符合预期标准。 2. 使用自动化工具进行回归测试，提高测试效率和准确性，减少重复劳动，加速迭代周期。 3. 对发现的问题进行记录、分析和跟踪，及时反馈给开发团队，推动问题的有效解决，直至关闭。 4. 参与需求评审和技术讨论，从测试角度提出建议，预防潜在风险，促进项目顺利推进。 …</x:v>
      </x:c>
    </x:row>
    <x:row r="43" ht="52" customHeight="1">
      <x:c r="A43" s="42" t="n">
        <x:v>11</x:v>
      </x:c>
      <x:c r="B43" s="39" t="str">
        <x:v>测试工程师</x:v>
      </x:c>
      <x:c r="C43" s="39" t="str">
        <x:v>需拆分后合并</x:v>
      </x:c>
      <x:c r="D43" s="39" t="str">
        <x:v>待补专业方向限定词</x:v>
      </x:c>
      <x:c r="E43" s="42" t="n">
        <x:v>660</x:v>
      </x:c>
      <x:c r="F43" s="39" t="str">
        <x:v>IC-L3-811</x:v>
      </x:c>
      <x:c r="G43" s="42" t="n">
        <x:v>811</x:v>
      </x:c>
      <x:c r="H43" s="39" t="str">
        <x:v>生产制造 &gt; 工程/机械 &gt; 测试工程师</x:v>
      </x:c>
      <x:c r="I43" s="39" t="str">
        <x:v>2-02-07-01</x:v>
      </x:c>
      <x:c r="J43" s="39" t="str">
        <x:v>机械设计工程技术人员</x:v>
      </x:c>
      <x:c r="K43" s="39" t="str">
        <x:v>测试工程师是专门从事工程机械产品测试验证的专业人员。该职位的核心目标是通过系统性测试确保产品质量，降低产品故障风险。在日常工作中，需要进行测试方案设计、测试设备操作、测试数据分析及报告编制等工作。</x:v>
      </x:c>
      <x:c r="L43" s="39" t="str">
        <x:v>1. 设计测试方案 2. 执行机械测试 3. 记录测试数据 4. 分析测试结果 5. 编写测试报告 6. 维护测试设备</x:v>
      </x:c>
    </x:row>
    <x:row r="44" ht="52" customHeight="1">
      <x:c r="A44" s="42" t="n">
        <x:v>11</x:v>
      </x:c>
      <x:c r="B44" s="39" t="str">
        <x:v>测试工程师</x:v>
      </x:c>
      <x:c r="C44" s="39" t="str">
        <x:v>需拆分后合并</x:v>
      </x:c>
      <x:c r="D44" s="39" t="str">
        <x:v>待补专业方向限定词</x:v>
      </x:c>
      <x:c r="E44" s="42" t="n">
        <x:v>1198</x:v>
      </x:c>
      <x:c r="F44" s="39" t="str">
        <x:v>IC-L3-1349</x:v>
      </x:c>
      <x:c r="G44" s="42" t="n">
        <x:v>1349</x:v>
      </x:c>
      <x:c r="H44" s="39" t="str">
        <x:v>通信/电子 &gt; 硬件开发 &gt; 测试工程师</x:v>
      </x:c>
      <x:c r="I44" s="39" t="str">
        <x:v>2-02-09-02</x:v>
      </x:c>
      <x:c r="J44" s="39" t="str">
        <x:v>电子元器件工程技术人员</x:v>
      </x:c>
      <x:c r="K44" s="39" t="str">
        <x:v>测试工程师是专门从事硬件产品质量验证的专业人员。该职位的核心目标是通过系统化的测试流程，确保硬件产品的可靠性和性能达标。在日常工作中，需要进行测试方案设计、测试用例执行、缺陷跟踪分析及测试报告撰写等工作。</x:v>
      </x:c>
      <x:c r="L44" s="39" t="str">
        <x:v>1. 设计测试方案 2. 执行硬件测试 3. 分析测试数据 4. 编写测试报告 5. 优化测试流程 6. 维护测试设备</x:v>
      </x:c>
    </x:row>
    <x:row r="45" ht="52" customHeight="1">
      <x:c r="A45" s="42" t="n">
        <x:v>12</x:v>
      </x:c>
      <x:c r="B45" s="39" t="str">
        <x:v>电气工程师</x:v>
      </x:c>
      <x:c r="C45" s="39" t="str">
        <x:v>条件合并（先修分类）</x:v>
      </x:c>
      <x:c r="D45" s="39" t="str">
        <x:v>电气工程师</x:v>
      </x:c>
      <x:c r="E45" s="42" t="n">
        <x:v>425</x:v>
      </x:c>
      <x:c r="F45" s="39" t="str">
        <x:v>IC-L3-576</x:v>
      </x:c>
      <x:c r="G45" s="42" t="n">
        <x:v>576</x:v>
      </x:c>
      <x:c r="H45" s="39" t="str">
        <x:v>建筑/房地产 &gt; 建筑/装修工人 &gt; 电气工程师</x:v>
      </x:c>
      <x:c r="I45" s="39" t="str">
        <x:v>6-29-01-01</x:v>
      </x:c>
      <x:c r="J45" s="39" t="str">
        <x:v>砌筑工</x:v>
      </x:c>
      <x:c r="K45" s="39" t="str">
        <x:v>电气工程师是专门从事建筑电气系统设计与施工管理的专业人员。该职位的核心目标是通过规划、安装和维护电气系统，确保建筑项目安全高效运行。在日常工作中，需要进行电气图纸设计、施工现场指导、设备调试及安全检测等工作。</x:v>
      </x:c>
      <x:c r="L45" s="39" t="str">
        <x:v>1. 设计电气布线方案 2. 安装配电设备系统 3. 调试电气控制系统 4. 检测电路安全性能 5. 维护维修电气设施 6. 编制电气施工文档</x:v>
      </x:c>
    </x:row>
    <x:row r="46" ht="52" customHeight="1">
      <x:c r="A46" s="42" t="n">
        <x:v>12</x:v>
      </x:c>
      <x:c r="B46" s="39" t="str">
        <x:v>电气工程师</x:v>
      </x:c>
      <x:c r="C46" s="39" t="str">
        <x:v>条件合并（先修分类）</x:v>
      </x:c>
      <x:c r="D46" s="39" t="str">
        <x:v>电气工程师</x:v>
      </x:c>
      <x:c r="E46" s="42" t="n">
        <x:v>658</x:v>
      </x:c>
      <x:c r="F46" s="39" t="str">
        <x:v>IC-L3-809</x:v>
      </x:c>
      <x:c r="G46" s="42" t="n">
        <x:v>809</x:v>
      </x:c>
      <x:c r="H46" s="39" t="str">
        <x:v>生产制造 &gt; 工程/机械 &gt; 电气工程师</x:v>
      </x:c>
      <x:c r="I46" s="39" t="str">
        <x:v>2-02-07-01</x:v>
      </x:c>
      <x:c r="J46" s="39" t="str">
        <x:v>机械设计工程技术人员</x:v>
      </x:c>
      <x:c r="K46" s="39" t="str">
        <x:v>电气工程师是专门从事电气系统设计与维护的专业人员。该职位的核心目标是通过设计、开发和优化电气系统，确保设备安全高效运行。在日常工作中，需要进行电路设计、系统调试、故障排查以及技术文档编制等工作。</x:v>
      </x:c>
      <x:c r="L46" s="39" t="str">
        <x:v>1. 设计电气系统方案 2. 绘制电气工程图纸 3. 选配电气设备元件 4. 调试电气控制系统 5. 解决现场技术问题 6. 编写技术文档报告</x:v>
      </x:c>
    </x:row>
    <x:row r="47" ht="52" customHeight="1">
      <x:c r="A47" s="42" t="n">
        <x:v>12</x:v>
      </x:c>
      <x:c r="B47" s="39" t="str">
        <x:v>电气工程师</x:v>
      </x:c>
      <x:c r="C47" s="39" t="str">
        <x:v>条件合并（先修分类）</x:v>
      </x:c>
      <x:c r="D47" s="39" t="str">
        <x:v>电气工程师</x:v>
      </x:c>
      <x:c r="E47" s="42" t="n">
        <x:v>1170</x:v>
      </x:c>
      <x:c r="F47" s="39" t="str">
        <x:v>IC-L3-1321</x:v>
      </x:c>
      <x:c r="G47" s="42" t="n">
        <x:v>1321</x:v>
      </x:c>
      <x:c r="H47" s="39" t="str">
        <x:v>通信/电子 &gt; 电子/电器/仪器仪表 &gt; 电气工程师</x:v>
      </x:c>
      <x:c r="I47" s="39" t="str">
        <x:v>2-02-09-02</x:v>
      </x:c>
      <x:c r="J47" s="39" t="str">
        <x:v>电子元器件工程技术人员</x:v>
      </x:c>
      <x:c r="K47" s="39" t="str">
        <x:v>电气工程师是通信/电子行业中不可或缺的专业人才，主要负责设计、开发和维护各种电气系统及设备。他们在确保产品性能稳定、提高生产效率方面扮演着关键角色，对于推动技术创新与产业升级具有重要意义。通过深入研究客户需求并结合公司战略规划，电气工程师能够制定出切实可行的技术方案，优化现有流程或开发新产品，从而为企业创造更多商业价值。此外，他们还经常与其他部门如研发、制造…</x:v>
      </x:c>
      <x:c r="L47" s="39" t="str">
        <x:v>1. 负责电气控制系统的设计与调试工作，确保设计方案符合安全标准及客户要求。 2. 对现有电气设备进行定期检查与维护，及时发现并排除故障隐患，保障生产线正常运行。 3. 参与新产品的研发过程，提供技术支持并协助完成样机测试，确保产品质量达到预期目标。 4. 与供应商沟通协调，采购合适的元器件材料，控制成本同时保证供应链稳定。 5. 编写相关技术文档，包括操作…</x:v>
      </x:c>
    </x:row>
    <x:row r="48" ht="52" customHeight="1">
      <x:c r="A48" s="42" t="n">
        <x:v>13</x:v>
      </x:c>
      <x:c r="B48" s="39" t="str">
        <x:v>电子工程师</x:v>
      </x:c>
      <x:c r="C48" s="39" t="str">
        <x:v>可直接合并</x:v>
      </x:c>
      <x:c r="D48" s="39" t="str">
        <x:v>电子工程师</x:v>
      </x:c>
      <x:c r="E48" s="42" t="n">
        <x:v>659</x:v>
      </x:c>
      <x:c r="F48" s="39" t="str">
        <x:v>IC-L3-810</x:v>
      </x:c>
      <x:c r="G48" s="42" t="n">
        <x:v>810</x:v>
      </x:c>
      <x:c r="H48" s="39" t="str">
        <x:v>生产制造 &gt; 工程/机械 &gt; 电子工程师</x:v>
      </x:c>
      <x:c r="I48" s="39" t="str">
        <x:v>2-02-09-02</x:v>
      </x:c>
      <x:c r="J48" s="39" t="str">
        <x:v>电子元器件工程技术人员</x:v>
      </x:c>
      <x:c r="K48" s="39" t="str">
        <x:v>电子工程师是专门从事电子系统设计与开发的专业人员。该职位的核心目标是通过研发高性能电子产品和系统，支持机械工程项目的创新与优化。在日常工作中，需要进行电路设计、PCB布局、系统调试及技术文档编写等工作。</x:v>
      </x:c>
      <x:c r="L48" s="39" t="str">
        <x:v>1. 设计电子电路系统 2. 开发嵌入式控制软件 3. 测试硬件产品性能 4. 优化机械电子接口 5. 维护设备技术文档 6. 解决生产现场问题</x:v>
      </x:c>
    </x:row>
    <x:row r="49" ht="52" customHeight="1">
      <x:c r="A49" s="42" t="n">
        <x:v>13</x:v>
      </x:c>
      <x:c r="B49" s="39" t="str">
        <x:v>电子工程师</x:v>
      </x:c>
      <x:c r="C49" s="39" t="str">
        <x:v>可直接合并</x:v>
      </x:c>
      <x:c r="D49" s="39" t="str">
        <x:v>电子工程师</x:v>
      </x:c>
      <x:c r="E49" s="42" t="n">
        <x:v>1145</x:v>
      </x:c>
      <x:c r="F49" s="39" t="str">
        <x:v>IC-L3-1296</x:v>
      </x:c>
      <x:c r="G49" s="42" t="n">
        <x:v>1296</x:v>
      </x:c>
      <x:c r="H49" s="39" t="str">
        <x:v>通信/电子 &gt; 技术项目管理 &gt; 电子工程师</x:v>
      </x:c>
      <x:c r="I49" s="39" t="str">
        <x:v>2-02-09-02</x:v>
      </x:c>
      <x:c r="J49" s="39" t="str">
        <x:v>电子元器件工程技术人员</x:v>
      </x:c>
      <x:c r="K49" s="39" t="str">
        <x:v>电子工程师是专门从事电子系统设计与开发的专业技术人员。该职位的核心目标是通过设计、测试和维护电子系统，确保技术项目的高效实施与质量达标。在日常工作中，需要进行电路设计、PCB布局、系统调试、技术文档编写及跨部门协作等工作。</x:v>
      </x:c>
      <x:c r="L49" s="39" t="str">
        <x:v>1. 设计电子电路方案 2. 开发硬件系统原型 3. 测试电子设备性能 4. 编写技术文档报告 5. 协调项目开发进度 6. 解决技术疑难问题</x:v>
      </x:c>
    </x:row>
    <x:row r="50" ht="52" customHeight="1">
      <x:c r="A50" s="42" t="n">
        <x:v>13</x:v>
      </x:c>
      <x:c r="B50" s="39" t="str">
        <x:v>电子工程师</x:v>
      </x:c>
      <x:c r="C50" s="39" t="str">
        <x:v>可直接合并</x:v>
      </x:c>
      <x:c r="D50" s="39" t="str">
        <x:v>电子工程师</x:v>
      </x:c>
      <x:c r="E50" s="42" t="n">
        <x:v>1164</x:v>
      </x:c>
      <x:c r="F50" s="39" t="str">
        <x:v>IC-L3-1315</x:v>
      </x:c>
      <x:c r="G50" s="42" t="n">
        <x:v>1315</x:v>
      </x:c>
      <x:c r="H50" s="39" t="str">
        <x:v>通信/电子 &gt; 电子/电器/仪器仪表 &gt; 电子工程师</x:v>
      </x:c>
      <x:c r="I50" s="39" t="str">
        <x:v>2-02-09-02</x:v>
      </x:c>
      <x:c r="J50" s="39" t="str">
        <x:v>电子元器件工程技术人员</x:v>
      </x:c>
      <x:c r="K50" s="39" t="str">
        <x:v>电子工程师是通信/电子行业中不可或缺的专业人才，在电子/电器/仪器仪表领域中扮演着核心角色。他们负责设计、开发、测试和维护各种电子设备与系统，确保产品性能稳定可靠，符合行业标准和客户需求。电子工程师通过技术创新和优化，不仅推动了公司产品的迭代升级，还提升了公司在市场上的竞争力。此外，他们还积极参与跨部门合作，与研发、生产、销售等团队紧密配合，共同解决技术难题…</x:v>
      </x:c>
      <x:c r="L50" s="39" t="str">
        <x:v>1. 负责新产品的电路设计工作，包括原理图绘制、PCB布局及元器件选型，以确保设计方案的合理性和可行性。 2. 进行电子产品的调试与测试，分析并解决开发过程中遇到的技术问题，保证产品质量达到预期标准。 3. 编写详细的项目文档和技术报告，记录设计思路、实验数据及测试结果，为后续工作提供参考依据。 4. 参与产品从概念设计到批量生产的全过程，与制造部门协作完成…</x:v>
      </x:c>
    </x:row>
    <x:row r="51" ht="52" customHeight="1">
      <x:c r="A51" s="42" t="n">
        <x:v>14</x:v>
      </x:c>
      <x:c r="B51" s="39" t="str">
        <x:v>房地产项目招投标</x:v>
      </x:c>
      <x:c r="C51" s="39" t="str">
        <x:v>条件合并（先修分类）</x:v>
      </x:c>
      <x:c r="D51" s="39" t="str">
        <x:v>房地产项目招投标</x:v>
      </x:c>
      <x:c r="E51" s="42" t="n">
        <x:v>311</x:v>
      </x:c>
      <x:c r="F51" s="39" t="str">
        <x:v>IC-L3-462</x:v>
      </x:c>
      <x:c r="G51" s="42" t="n">
        <x:v>462</x:v>
      </x:c>
      <x:c r="H51" s="39" t="str">
        <x:v>销售/客服 &gt; 销售行政及商务 &gt; 房地产项目招投标</x:v>
      </x:c>
      <x:c r="I51" s="39" t="str">
        <x:v>3-01-02-02</x:v>
      </x:c>
      <x:c r="J51" s="39" t="str">
        <x:v>秘书</x:v>
      </x:c>
      <x:c r="K51" s="39" t="str">
        <x:v>房地产项目招投标专员是销售行政及商务方向的重要角色，主要负责公司房地产项目的招投标工作。此职位在行业中扮演着关键的角色，通过有效的项目管理和谈判技巧，确保公司在激烈的市场竞争中获得优势地位。该职位的核心目标在于提高项目中标率，降低运营成本，同时提升公司品牌形象。通过对市场趋势的敏锐洞察和精准分析，为公司决策提供有力支持，最终实现经济效益的最大化。此外，房地产…</x:v>
      </x:c>
      <x:c r="L51" s="39" t="str">
        <x:v>1. 负责收集并分析房地产市场的招投标信息，制定详细的投标计划，以确保及时响应市场需求。 2. 编制高质量的投标文件，包括但不限于技术方案、报价单、商务条款等，确保符合招标要求，提高中标几率。 3. 协调内外部资源，组织跨部门会议，解决投标过程中遇到的问题，确保项目顺利推进。 4. 与潜在客户建立并维护良好的关系，了解客户需求，提供专业建议，增强客户信任度。…</x:v>
      </x:c>
    </x:row>
    <x:row r="52" ht="52" customHeight="1">
      <x:c r="A52" s="42" t="n">
        <x:v>14</x:v>
      </x:c>
      <x:c r="B52" s="39" t="str">
        <x:v>房地产项目招投标</x:v>
      </x:c>
      <x:c r="C52" s="39" t="str">
        <x:v>条件合并（先修分类）</x:v>
      </x:c>
      <x:c r="D52" s="39" t="str">
        <x:v>房地产项目招投标</x:v>
      </x:c>
      <x:c r="E52" s="42" t="n">
        <x:v>480</x:v>
      </x:c>
      <x:c r="F52" s="39" t="str">
        <x:v>IC-L3-631</x:v>
      </x:c>
      <x:c r="G52" s="42" t="n">
        <x:v>631</x:v>
      </x:c>
      <x:c r="H52" s="39" t="str">
        <x:v>建筑/房地产 &gt; 房地产开发 &gt; 房地产项目招投标</x:v>
      </x:c>
      <x:c r="I52" s="39" t="str">
        <x:v>2-06-07-06</x:v>
      </x:c>
      <x:c r="J52" s="39" t="str">
        <x:v>房地产开发专业人员</x:v>
      </x:c>
      <x:c r="K52" s="39" t="str">
        <x:v>房地产项目招投标专员是房地产开发领域中不可或缺的专业人才。他们负责从多个供应商或承包商处获取报价，并通过综合评估选择最优方案，以确保项目的顺利进行和成本控制。该职位不仅需要具备出色的沟通协调能力，还要求有扎实的法律知识基础和敏锐的市场洞察力，能够准确把握政策导向及行业发展趋势，为公司制定科学合理的招标策略提供支持。 作为房地产项目招投标专员，其核心目标在于优…</x:v>
      </x:c>
      <x:c r="L52" s="39" t="str">
        <x:v>1. 负责编制招标文件，包括但不限于技术规格书、商务条款、评标办法等内容，确保文件的完整性和规范性。 2. 组织实施招标活动，包括发布招标公告、接受投标申请、安排现场踏勘、召开答疑会等环节，保障流程透明公正。 3. 对收到的投标文件进行初步审核，筛选出符合条件的候选人进入下一阶段评审，保证评选结果的公平合理。 4. 代表公司参与合同谈判，明确双方权利义务，争…</x:v>
      </x:c>
    </x:row>
    <x:row r="53" ht="52" customHeight="1">
      <x:c r="A53" s="42" t="n">
        <x:v>14</x:v>
      </x:c>
      <x:c r="B53" s="39" t="str">
        <x:v>房地产项目招投标</x:v>
      </x:c>
      <x:c r="C53" s="39" t="str">
        <x:v>条件合并（先修分类）</x:v>
      </x:c>
      <x:c r="D53" s="39" t="str">
        <x:v>房地产项目招投标</x:v>
      </x:c>
      <x:c r="E53" s="42" t="n">
        <x:v>490</x:v>
      </x:c>
      <x:c r="F53" s="39" t="str">
        <x:v>IC-L3-641</x:v>
      </x:c>
      <x:c r="G53" s="42" t="n">
        <x:v>641</x:v>
      </x:c>
      <x:c r="H53" s="39" t="str">
        <x:v>建筑/房地产 &gt; 物业管理 &gt; 房地产项目招投标</x:v>
      </x:c>
      <x:c r="I53" s="39" t="str">
        <x:v>4-06-01-04</x:v>
      </x:c>
      <x:c r="J53" s="39" t="str">
        <x:v>智能楼宇管理员</x:v>
      </x:c>
      <x:c r="K53" s="39" t="str">
        <x:v>在建筑与房地产行业中，房地产项目招投标专员扮演着至关重要的角色。作为公司与外部合作伙伴之间的桥梁，他们不仅负责筛选合适的供应商和承包商，还确保项目从启动到完成的每个阶段都能高效运作。通过精准地评估市场需求、制定合理的招标策略以及优化资源配置，该职位对于提升企业竞争力、降低运营成本及提高项目成功率具有不可替代的作用。 房地产项目招投标专员的核心目标是确保所有招…</x:v>
      </x:c>
      <x:c r="L53" s="39" t="str">
        <x:v>1. 负责编制并发布招标文件，明确项目需求、技术标准及商务条款，确保信息准确无误地传达给潜在投标方。 2. 组织召开招标会议，解答投标方提出的问题，促进双方深入交流，提高招标效率。 3. 对收到的投标书进行初步审查，剔除不符合条件的申请，随后组织专家评审团对合格投标方进行综合评价。 4. 协助公司领导层与中标的供应商签订正式合同，明确双方权利义务关系，监督合…</x:v>
      </x:c>
    </x:row>
    <x:row r="54" ht="52" customHeight="1">
      <x:c r="A54" s="42" t="n">
        <x:v>15</x:v>
      </x:c>
      <x:c r="B54" s="39" t="str">
        <x:v>房地产销售经理/主管</x:v>
      </x:c>
      <x:c r="C54" s="39" t="str">
        <x:v>可直接合并</x:v>
      </x:c>
      <x:c r="D54" s="39" t="str">
        <x:v>房地产销售经理/主管</x:v>
      </x:c>
      <x:c r="E54" s="42" t="n">
        <x:v>267</x:v>
      </x:c>
      <x:c r="F54" s="39" t="str">
        <x:v>IC-L3-418</x:v>
      </x:c>
      <x:c r="G54" s="42" t="n">
        <x:v>418</x:v>
      </x:c>
      <x:c r="H54" s="39" t="str">
        <x:v>销售/客服 &gt; 房地产销售 &gt; 房地产销售经理/主管</x:v>
      </x:c>
      <x:c r="I54" s="39" t="str">
        <x:v>4-01-02-01</x:v>
      </x:c>
      <x:c r="J54" s="39" t="str">
        <x:v>营销员</x:v>
      </x:c>
      <x:c r="K54" s="39" t="str">
        <x:v>房地产销售经理/主管是房地产行业中不可或缺的角色，他们不仅负责推动项目的销售业绩，还承担着维护公司品牌形象、提升客户满意度的重要职责。作为连接企业与市场的桥梁，优秀的房地产销售经理能够通过精准的市场分析和有效的销售策略，实现销售目标的同时为企业创造更多价值。此外，本职位还需与其他部门紧密合作，如市场部、财务部等，共同确保项目顺利推进；同时，该岗位具备良好的晋…</x:v>
      </x:c>
      <x:c r="L54" s="39" t="str">
        <x:v>房地产销售经理/主管的主要职责包括：制定并执行销售策略和计划，达成销售目标；管理销售团队，进行销售培训和业绩考核；维护客户关系，处理客户咨询和投诉；分析市场动态，提供市场反馈；协调内部资源，确保销售流程顺畅；参与项目推广活动，提升品牌知名度。</x:v>
      </x:c>
    </x:row>
    <x:row r="55" ht="52" customHeight="1">
      <x:c r="A55" s="42" t="n">
        <x:v>15</x:v>
      </x:c>
      <x:c r="B55" s="39" t="str">
        <x:v>房地产销售经理/主管</x:v>
      </x:c>
      <x:c r="C55" s="39" t="str">
        <x:v>可直接合并</x:v>
      </x:c>
      <x:c r="D55" s="39" t="str">
        <x:v>房地产销售经理/主管</x:v>
      </x:c>
      <x:c r="E55" s="42" t="n">
        <x:v>329</x:v>
      </x:c>
      <x:c r="F55" s="39" t="str">
        <x:v>IC-L3-480</x:v>
      </x:c>
      <x:c r="G55" s="42" t="n">
        <x:v>480</x:v>
      </x:c>
      <x:c r="H55" s="39" t="str">
        <x:v>销售/客服 &gt; 销售高级管理 &gt; 房地产销售经理/主管</x:v>
      </x:c>
      <x:c r="I55" s="39" t="str">
        <x:v>4-01-02-01</x:v>
      </x:c>
      <x:c r="J55" s="39" t="str">
        <x:v>营销员</x:v>
      </x:c>
      <x:c r="K55" s="39" t="str">
        <x:v>房地产销售经理/主管是销售/客服行业中至关重要的角色，负责推动房地产项目的销售业绩，确保公司业务目标的实现。该职位不仅需要具备出色的市场洞察力和销售技巧，还需拥有强大的团队管理和领导能力，以激发团队潜能，提升整体销售效率。 作为房地产销售团队的核心领导者，房地产销售经理/主管的主要目标是制定并执行有效的销售策略，确保项目按时完成销售计划，同时维护和提升客户满…</x:v>
      </x:c>
      <x:c r="L55" s="39" t="str">
        <x:v>房地产销售经理/主管的主要职责包括：制定并执行销售策略和计划，达成销售目标；管理销售团队，进行销售培训和业绩考核；维护客户关系，处理客户咨询和投诉；分析市场动态，提供市场反馈；协调内部资源，确保销售流程顺畅；参与项目推广活动，提升品牌知名度。</x:v>
      </x:c>
    </x:row>
    <x:row r="56" ht="52" customHeight="1">
      <x:c r="A56" s="42" t="n">
        <x:v>15</x:v>
      </x:c>
      <x:c r="B56" s="39" t="str">
        <x:v>房地产销售经理/主管</x:v>
      </x:c>
      <x:c r="C56" s="39" t="str">
        <x:v>可直接合并</x:v>
      </x:c>
      <x:c r="D56" s="39" t="str">
        <x:v>房地产销售经理/主管</x:v>
      </x:c>
      <x:c r="E56" s="42" t="n">
        <x:v>486</x:v>
      </x:c>
      <x:c r="F56" s="39" t="str">
        <x:v>IC-L3-637</x:v>
      </x:c>
      <x:c r="G56" s="42" t="n">
        <x:v>637</x:v>
      </x:c>
      <x:c r="H56" s="39" t="str">
        <x:v>建筑/房地产 &gt; 房地产销售与中介 &gt; 房地产销售经理/主管</x:v>
      </x:c>
      <x:c r="I56" s="39" t="str">
        <x:v>4-01-02-01</x:v>
      </x:c>
      <x:c r="J56" s="39" t="str">
        <x:v>营销员</x:v>
      </x:c>
      <x:c r="K56" s="39" t="str">
        <x:v>**岗位简介** 房地产销售经理/主管是建筑与房地产行业中至关重要的角色之一，负责推动公司房产项目的销售业绩，确保完成甚至超越销售目标。作为团队的领导者，他们不仅需要具备出色的市场分析能力，还要能够制定并执行有效的销售策略，以促进公司业务的增长和发展。 该职位的核心目标在于通过优化销售流程、提高客户满意度以及拓展市场份额来增加公司的收入水平。房地产销售经理/…</x:v>
      </x:c>
      <x:c r="L56" s="39" t="str">
        <x:v>房地产销售经理/主管的主要职责包括：制定并执行销售策略和计划，达成销售目标；管理销售团队，进行销售培训和业绩考核；维护客户关系，处理客户咨询和投诉；分析市场动态，提供市场反馈；协调内部资源，确保销售流程顺畅；参与项目推广活动，提升品牌知名度。</x:v>
      </x:c>
    </x:row>
    <x:row r="57" ht="52" customHeight="1">
      <x:c r="A57" s="42" t="n">
        <x:v>16</x:v>
      </x:c>
      <x:c r="B57" s="39" t="str">
        <x:v>服装/纺织设计总监</x:v>
      </x:c>
      <x:c r="C57" s="39" t="str">
        <x:v>条件合并（先修分类）</x:v>
      </x:c>
      <x:c r="D57" s="39" t="str">
        <x:v>服装/纺织设计总监</x:v>
      </x:c>
      <x:c r="E57" s="42" t="n">
        <x:v>688</x:v>
      </x:c>
      <x:c r="F57" s="39" t="str">
        <x:v>IC-L3-839</x:v>
      </x:c>
      <x:c r="G57" s="42" t="n">
        <x:v>839</x:v>
      </x:c>
      <x:c r="H57" s="39" t="str">
        <x:v>生产制造 &gt; 服装/纺织/皮革 &gt; 服装/纺织设计总监</x:v>
      </x:c>
      <x:c r="I57" s="39" t="str">
        <x:v>6-23-01-01</x:v>
      </x:c>
      <x:c r="J57" s="39" t="str">
        <x:v>铁路机车制修工</x:v>
      </x:c>
      <x:c r="K57" s="39" t="str">
        <x:v>服装/纺织设计总监是生产制造行业中不可或缺的角色之一，尤其在服装/纺织领域中扮演着引领潮流、塑造品牌形象的关键角色。作为设计团队的灵魂人物，该职位不仅负责把握市场趋势，更需结合企业战略，确保产品设计既符合市场需求又体现品牌特色。 该职位的核心目标在于通过创新的设计理念与精湛的技术手段，提升公司产品的市场竞争力及附加值，同时优化设计流程，提高工作效率，以实现成…</x:v>
      </x:c>
      <x:c r="L57" s="39" t="str">
        <x:v>1. 负责整体设计规划，制定年度设计计划并监督执行，确保设计作品符合市场需求及公司品牌定位。 2. 指导并参与新产品的研发工作，从材料选择、色彩搭配到款式设计等多方面进行把关，保证产品质量。 3. 定期组织设计评审会议，评估设计方案的可行性，提出改进建议，促进设计团队间的沟通与协作。 4. 与市场营销部门密切配合，了解客户需求，收集市场反馈，及时调整设计方向…</x:v>
      </x:c>
    </x:row>
    <x:row r="58" ht="52" customHeight="1">
      <x:c r="A58" s="42" t="n">
        <x:v>16</x:v>
      </x:c>
      <x:c r="B58" s="39" t="str">
        <x:v>服装/纺织设计总监</x:v>
      </x:c>
      <x:c r="C58" s="39" t="str">
        <x:v>条件合并（先修分类）</x:v>
      </x:c>
      <x:c r="D58" s="39" t="str">
        <x:v>服装/纺织设计总监</x:v>
      </x:c>
      <x:c r="E58" s="42" t="n">
        <x:v>1018</x:v>
      </x:c>
      <x:c r="F58" s="39" t="str">
        <x:v>IC-L3-1169</x:v>
      </x:c>
      <x:c r="G58" s="42" t="n">
        <x:v>1169</x:v>
      </x:c>
      <x:c r="H58" s="39" t="str">
        <x:v>设计 &gt; 服装设计 &gt; 服装/纺织设计总监</x:v>
      </x:c>
      <x:c r="I58" s="39" t="str">
        <x:v>2-09-06-01</x:v>
      </x:c>
      <x:c r="J58" s="39" t="str">
        <x:v>视觉传达设计人员</x:v>
      </x:c>
      <x:c r="K58" s="39" t="str">
        <x:v>服装/纺织设计总监是时尚产业中至关重要的角色之一，负责引领品牌的设计理念与发展方向。该职位不仅需要具备敏锐的市场洞察力和创新能力，还应拥有深厚的艺术修养及技术背景，以确保所领导的设计团队能够持续产出符合市场需求并引领潮流趋势的产品。通过精准把握消费者喜好变化，制定长期与短期的设计战略，为公司创造独特的品牌形象与竞争优势。此外，作为团队的核心领导者，设计总监还…</x:v>
      </x:c>
      <x:c r="L58" s="39" t="str">
        <x:v>1. 负责制定和执行公司的整体设计策略，确保所有产品系列均能体现品牌的独特风格和市场定位。 2. 领导并激励设计团队，激发创意潜能，监督整个设计流程，保证按时按质完成各季新品开发任务。 3. 与销售、采购、供应链等相关部门密切沟通，协调资源，优化成本结构，提升产品竞争力。 4. 定期参加国内外时尚展览和行业论坛，了解最新流行趋势，将外部信息转化为内部创新动力…</x:v>
      </x:c>
    </x:row>
    <x:row r="59" ht="52" customHeight="1">
      <x:c r="A59" s="42" t="n">
        <x:v>16</x:v>
      </x:c>
      <x:c r="B59" s="39" t="str">
        <x:v>服装/纺织设计总监</x:v>
      </x:c>
      <x:c r="C59" s="39" t="str">
        <x:v>条件合并（先修分类）</x:v>
      </x:c>
      <x:c r="D59" s="39" t="str">
        <x:v>服装/纺织设计总监</x:v>
      </x:c>
      <x:c r="E59" s="42" t="n">
        <x:v>1038</x:v>
      </x:c>
      <x:c r="F59" s="39" t="str">
        <x:v>IC-L3-1189</x:v>
      </x:c>
      <x:c r="G59" s="42" t="n">
        <x:v>1189</x:v>
      </x:c>
      <x:c r="H59" s="39" t="str">
        <x:v>设计 &gt; 高级设计管理 &gt; 服装/纺织设计总监</x:v>
      </x:c>
      <x:c r="I59" s="39" t="str">
        <x:v>2-06-07-01</x:v>
      </x:c>
      <x:c r="J59" s="39" t="str">
        <x:v>国际商务专业人员</x:v>
      </x:c>
      <x:c r="K59" s="39" t="str">
        <x:v>服装/纺织设计总监是设计领域中不可或缺的角色，他们不仅负责领导创意团队，还确保产品从概念到市场的整个流程符合品牌定位和市场需求。该职位通过将艺术与商业相结合，推动公司创新能力和市场竞争力的提升，是连接创意与商业成功的关键桥梁。作为设计团队的灵魂人物，设计总监需要与其他部门密切合作，如市场部、生产部等，共同实现产品的优化升级；同时，该职位也为个人提供了广阔的职…</x:v>
      </x:c>
      <x:c r="L59" s="39" t="str">
        <x:v>1. 负责制定并执行年度设计战略计划，确保设计方向与公司整体业务目标相一致。 2. 领导并激励设计团队，指导团队成员完成高质量的设计作品，提升团队整体创造力和技术水平。 3. 与市场部紧密合作，分析流行趋势，收集消费者反馈，以确保设计符合市场需求。 4. 监控项目进度，协调内部资源，确保按时按质完成设计任务。 5. 定期评估设计成果，提出改进建议，持续优化设…</x:v>
      </x:c>
    </x:row>
    <x:row r="60" ht="52" customHeight="1">
      <x:c r="A60" s="42" t="n">
        <x:v>17</x:v>
      </x:c>
      <x:c r="B60" s="39" t="str">
        <x:v>给排水设计</x:v>
      </x:c>
      <x:c r="C60" s="39" t="str">
        <x:v>条件合并（先修分类）</x:v>
      </x:c>
      <x:c r="D60" s="39" t="str">
        <x:v>给排水设计</x:v>
      </x:c>
      <x:c r="E60" s="42" t="n">
        <x:v>469</x:v>
      </x:c>
      <x:c r="F60" s="39" t="str">
        <x:v>IC-L3-620</x:v>
      </x:c>
      <x:c r="G60" s="42" t="n">
        <x:v>620</x:v>
      </x:c>
      <x:c r="H60" s="39" t="str">
        <x:v>建筑/房地产 &gt; 建筑规划与设计 &gt; 给排水设计</x:v>
      </x:c>
      <x:c r="I60" s="39" t="str">
        <x:v>2-02-18-01</x:v>
      </x:c>
      <x:c r="J60" s="39" t="str">
        <x:v>建筑和市政设计工程技术人员</x:v>
      </x:c>
      <x:c r="K60" s="39" t="str">
        <x:v>给排水设计师是建筑规划与设计领域中不可或缺的专业人才，主要负责建筑物内部及周边环境的给水排水系统的设计工作，确保项目符合安全、环保及法律法规的要求。在建筑与房地产行业中，他们通过专业的知识和技术，为项目的顺利进行提供强有力的技术支持，同时确保水资源的有效利用和环境保护。 给排水设计的核心目标在于优化建筑内外部的水循环系统，减少水资源浪费，提高用水效率，降低建…</x:v>
      </x:c>
      <x:c r="L60" s="39" t="str">
        <x:v>1. 负责项目前期调研，收集相关资料，进行现场勘查，准确把握项目需求，制定合理的给排水设计方案。 2. 根据国家规范标准，完成给排水施工图绘制，确保图纸质量满足项目要求，并及时解决施工过程中出现的技术问题。 3. 与项目组成员保持良好沟通，协调各方资源，确保设计方案顺利实施，有效控制项目进度和成本。 4. 定期参与项目会议，汇报工作进展，提出改进建议，协助解…</x:v>
      </x:c>
    </x:row>
    <x:row r="61" ht="52" customHeight="1">
      <x:c r="A61" s="42" t="n">
        <x:v>17</x:v>
      </x:c>
      <x:c r="B61" s="39" t="str">
        <x:v>给排水设计</x:v>
      </x:c>
      <x:c r="C61" s="39" t="str">
        <x:v>条件合并（先修分类）</x:v>
      </x:c>
      <x:c r="D61" s="39" t="str">
        <x:v>给排水设计</x:v>
      </x:c>
      <x:c r="E61" s="42" t="n">
        <x:v>941</x:v>
      </x:c>
      <x:c r="F61" s="39" t="str">
        <x:v>IC-L3-1092</x:v>
      </x:c>
      <x:c r="G61" s="42" t="n">
        <x:v>1092</x:v>
      </x:c>
      <x:c r="H61" s="39" t="str">
        <x:v>能源/环保/化工 &gt; 环保 &gt; 给排水设计</x:v>
      </x:c>
      <x:c r="I61" s="39" t="str">
        <x:v>2-02-27-06</x:v>
      </x:c>
      <x:c r="J61" s="39" t="str">
        <x:v>健康安全环境工程技术人员</x:v>
      </x:c>
      <x:c r="K61" s="39" t="str">
        <x:v>给排水设计是专门从事水处理系统和管网规划设计的专业人员。该职位的核心目标是通过优化给排水系统设计，实现水资源高效利用和环保达标。在日常工作中，需要进行方案设计、水力计算、图纸绘制、技术评审及现场指导等工作。</x:v>
      </x:c>
      <x:c r="L61" s="39" t="str">
        <x:v>1. 编制给排水方案 2. 设计环保水处理系统 3. 优化管网布局设计 4. 审核施工图纸规范 5. 协调现场施工问题 6. 评估系统运行效果</x:v>
      </x:c>
    </x:row>
    <x:row r="62" ht="52" customHeight="1">
      <x:c r="A62" s="42" t="n">
        <x:v>17</x:v>
      </x:c>
      <x:c r="B62" s="39" t="str">
        <x:v>给排水设计</x:v>
      </x:c>
      <x:c r="C62" s="39" t="str">
        <x:v>条件合并（先修分类）</x:v>
      </x:c>
      <x:c r="D62" s="39" t="str">
        <x:v>给排水设计</x:v>
      </x:c>
      <x:c r="E62" s="42" t="n">
        <x:v>1010</x:v>
      </x:c>
      <x:c r="F62" s="39" t="str">
        <x:v>IC-L3-1161</x:v>
      </x:c>
      <x:c r="G62" s="42" t="n">
        <x:v>1161</x:v>
      </x:c>
      <x:c r="H62" s="39" t="str">
        <x:v>设计 &gt; 建筑/室内设计 &gt; 给排水设计</x:v>
      </x:c>
      <x:c r="I62" s="39" t="str">
        <x:v>2-09-06-01</x:v>
      </x:c>
      <x:c r="J62" s="39" t="str">
        <x:v>视觉传达设计人员</x:v>
      </x:c>
      <x:c r="K62" s="39" t="str">
        <x:v>给排水设计师在建筑设计领域扮演着至关重要的角色，他们负责确保建筑物内部的给水系统和排水系统的合理规划与安全运行。作为建筑环境不可或缺的一部分，给排水设计不仅关乎日常生活的便利，更是保障公共健康与安全的重要环节。 给排水设计师的核心目标在于根据项目需求制定高效、经济且符合规范的设计方案，以实现水资源的有效利用和环境保护。通过精确计算管道尺寸、选择合适的材料及设…</x:v>
      </x:c>
      <x:c r="L62" s="39" t="str">
        <x:v>1. 负责项目中给排水系统的初步设计和深化设计工作，确保设计方案满足功能要求并符合相关法规标准。 2. 与客户沟通了解具体需求，参与现场踏勘，收集必要的基础资料用于设计依据。 3. 编制详细的施工图纸，包括平面布置图、系统图、详图等，指导现场安装施工。 4. 对施工过程进行监督，及时解决技术问题，保证工程质量和进度。 5. 协调与其他专业的接口关系，确保整个…</x:v>
      </x:c>
    </x:row>
    <x:row r="63" ht="52" customHeight="1">
      <x:c r="A63" s="42" t="n">
        <x:v>18</x:v>
      </x:c>
      <x:c r="B63" s="39" t="str">
        <x:v>广告创意/设计经理</x:v>
      </x:c>
      <x:c r="C63" s="39" t="str">
        <x:v>可直接合并</x:v>
      </x:c>
      <x:c r="D63" s="39" t="str">
        <x:v>广告创意/设计经理</x:v>
      </x:c>
      <x:c r="E63" s="42" t="n">
        <x:v>407</x:v>
      </x:c>
      <x:c r="F63" s="39" t="str">
        <x:v>IC-L3-558</x:v>
      </x:c>
      <x:c r="G63" s="42" t="n">
        <x:v>558</x:v>
      </x:c>
      <x:c r="H63" s="39" t="str">
        <x:v>市场/公关 &gt; 广告 &gt; 广告创意/设计经理</x:v>
      </x:c>
      <x:c r="I63" s="39" t="str">
        <x:v>2-09-06-01</x:v>
      </x:c>
      <x:c r="J63" s="39" t="str">
        <x:v>视觉传达设计人员</x:v>
      </x:c>
      <x:c r="K63" s="39" t="str">
        <x:v>广告创意/设计经理是市场/公关行业中至关重要的角色，负责领导团队创造有影响力的设计方案，以提升品牌形象和促进销售增长。通过精准把握市场趋势和消费者心理，该职位能够有效推动广告活动的成功实施，确保公司能够在激烈的市场竞争中脱颖而出，实现品牌价值的最大化。此外，该职位不仅需要与内部团队紧密合作，如市场部、销售部等，还需与外部合作伙伴建立良好的关系，共同推动项目进…</x:v>
      </x:c>
      <x:c r="L63" s="39" t="str">
        <x:v>1. 负责制定并执行广告创意策略，确保所有视觉材料符合品牌形象及营销目标。 2. 管理并指导设计团队完成高质量的设计工作，包括但不限于平面广告、数字媒体内容等，以提高用户参与度和转化率。 3. 与跨部门同事沟通协作，收集需求信息，整合资源，优化广告产品从概念到发布的整个流程。 4. 定期分析广告效果数据，根据反馈调整设计方案，持续改进创意表现。 5. 关注行…</x:v>
      </x:c>
    </x:row>
    <x:row r="64" ht="52" customHeight="1">
      <x:c r="A64" s="42" t="n">
        <x:v>18</x:v>
      </x:c>
      <x:c r="B64" s="39" t="str">
        <x:v>广告创意/设计经理</x:v>
      </x:c>
      <x:c r="C64" s="39" t="str">
        <x:v>可直接合并</x:v>
      </x:c>
      <x:c r="D64" s="39" t="str">
        <x:v>广告创意/设计经理</x:v>
      </x:c>
      <x:c r="E64" s="42" t="n">
        <x:v>991</x:v>
      </x:c>
      <x:c r="F64" s="39" t="str">
        <x:v>IC-L3-1142</x:v>
      </x:c>
      <x:c r="G64" s="42" t="n">
        <x:v>1142</x:v>
      </x:c>
      <x:c r="H64" s="39" t="str">
        <x:v>设计 &gt; 广告设计 &gt; 广告创意/设计经理</x:v>
      </x:c>
      <x:c r="I64" s="39" t="str">
        <x:v>2-09-06-01</x:v>
      </x:c>
      <x:c r="J64" s="39" t="str">
        <x:v>视觉传达设计人员</x:v>
      </x:c>
      <x:c r="K64" s="39" t="str">
        <x:v>广告创意/设计经理是广告设计行业中不可或缺的角色，负责领导创意团队，确保项目从概念到成品的顺利执行。此职位不仅需要具备深厚的设计功底，还需要拥有良好的项目管理和人际沟通能力，以确保创意与市场需求相匹配。作为团队的核心，广告创意/设计经理需要与市场部、销售部等多部门紧密合作，推动项目的进展；同时，该职位也提供了广阔的职业发展空间，包括晋升为更高层次的管理岗位或…</x:v>
      </x:c>
      <x:c r="L64" s="39" t="str">
        <x:v>1. 负责组织并指导团队完成广告创意方案的设计工作，确保设计方案符合客户的品牌形象及市场定位。 2. 与客户进行深入沟通，了解其需求和期望，提出创新性的解决方案，提高客户满意度。 3. 监控项目进度，协调内部资源，解决项目实施过程中遇到的问题，保证按时交付高质量的作品。 4. 定期评估团队成员的工作表现，提供专业指导和支持，促进团队整体技能水平的提升。 5.…</x:v>
      </x:c>
    </x:row>
    <x:row r="65" ht="52" customHeight="1">
      <x:c r="A65" s="42" t="n">
        <x:v>18</x:v>
      </x:c>
      <x:c r="B65" s="39" t="str">
        <x:v>广告创意/设计经理</x:v>
      </x:c>
      <x:c r="C65" s="39" t="str">
        <x:v>可直接合并</x:v>
      </x:c>
      <x:c r="D65" s="39" t="str">
        <x:v>广告创意/设计经理</x:v>
      </x:c>
      <x:c r="E65" s="42" t="n">
        <x:v>1036</x:v>
      </x:c>
      <x:c r="F65" s="39" t="str">
        <x:v>IC-L3-1187</x:v>
      </x:c>
      <x:c r="G65" s="42" t="n">
        <x:v>1187</x:v>
      </x:c>
      <x:c r="H65" s="39" t="str">
        <x:v>设计 &gt; 高级设计管理 &gt; 广告创意/设计经理</x:v>
      </x:c>
      <x:c r="I65" s="39" t="str">
        <x:v>2-09-06-01</x:v>
      </x:c>
      <x:c r="J65" s="39" t="str">
        <x:v>视觉传达设计人员</x:v>
      </x:c>
      <x:c r="K65" s="39" t="str">
        <x:v>广告创意/设计经理是设计行业中不可或缺的关键角色，负责领导并激发团队创造卓越的设计解决方案，以满足客户需求并推动品牌发展。此职位的核心目标在于确保所有创意作品不仅符合品牌形象，而且能够有效传达信息，提升市场竞争力，从而为公司带来显著的品牌增值效应。此外，该职位还涉及到与跨部门团队紧密合作，如营销、销售和技术团队等，共同制定项目计划，协调资源，确保项目按时高质…</x:v>
      </x:c>
      <x:c r="L65" s="39" t="str">
        <x:v>1. 领导并指导设计团队进行广告创意开发，从概念构思到最终成品，确保每个阶段的设计方案均能准确体现品牌理念，达成预期传播效果。 2. 与客户沟通交流，深入理解其需求，结合市场趋势分析，提出创新性的设计方案建议，增强客户满意度与忠诚度。 3. 定期评估团队成员的工作表现，识别培训需求，制定个人发展计划，培养具有国际视野的专业人才，支持团队整体技能水平的提高。 …</x:v>
      </x:c>
    </x:row>
    <x:row r="66" ht="52" customHeight="1">
      <x:c r="A66" s="42" t="n">
        <x:v>19</x:v>
      </x:c>
      <x:c r="B66" s="39" t="str">
        <x:v>焊接工程师</x:v>
      </x:c>
      <x:c r="C66" s="39" t="str">
        <x:v>条件合并（先修分类）</x:v>
      </x:c>
      <x:c r="D66" s="39" t="str">
        <x:v>焊接工程师</x:v>
      </x:c>
      <x:c r="E66" s="42" t="n">
        <x:v>649</x:v>
      </x:c>
      <x:c r="F66" s="39" t="str">
        <x:v>IC-L3-800</x:v>
      </x:c>
      <x:c r="G66" s="42" t="n">
        <x:v>800</x:v>
      </x:c>
      <x:c r="H66" s="39" t="str">
        <x:v>生产制造 &gt; 工程/机械 &gt; 焊接工程师</x:v>
      </x:c>
      <x:c r="I66" s="39" t="str">
        <x:v>2-02-07-01</x:v>
      </x:c>
      <x:c r="J66" s="39" t="str">
        <x:v>机械设计工程技术人员</x:v>
      </x:c>
      <x:c r="K66" s="39" t="str">
        <x:v>焊接工程师在生产制造行业中扮演着至关重要的角色，特别是在工程与机械领域。作为连接设计与生产的桥梁，焊接工程师不仅负责确保产品的焊接质量，还致力于提高生产效率和降低成本，是实现高质量制造的关键人物。 焊接工程师的核心目标在于通过优化焊接工艺流程和技术方案，提升产品结构的安全性和可靠性，同时减少材料浪费和能源消耗，为企业创造更大的经济效益。他们通过对新材料、新技…</x:v>
      </x:c>
      <x:c r="L66" s="39" t="str">
        <x:v>1. 负责制定并实施焊接工艺标准，确保所有焊接作业符合国家相关法规和企业内部的质量要求。 2. 对现有焊接工艺进行持续改进，研究并引入先进的焊接技术和设备，以提高生产效率和产品质量。 3. 协助处理生产线上出现的焊接问题，提供技术支持，确保生产过程顺利进行。 4. 与供应商沟通协调，确保所采购的焊接材料满足性能需求，控制成本。 5. 定期培训操作人员，提高其…</x:v>
      </x:c>
    </x:row>
    <x:row r="67" ht="52" customHeight="1">
      <x:c r="A67" s="42" t="n">
        <x:v>19</x:v>
      </x:c>
      <x:c r="B67" s="39" t="str">
        <x:v>焊接工程师</x:v>
      </x:c>
      <x:c r="C67" s="39" t="str">
        <x:v>条件合并（先修分类）</x:v>
      </x:c>
      <x:c r="D67" s="39" t="str">
        <x:v>焊接工程师</x:v>
      </x:c>
      <x:c r="E67" s="42" t="n">
        <x:v>675</x:v>
      </x:c>
      <x:c r="F67" s="39" t="str">
        <x:v>IC-L3-826</x:v>
      </x:c>
      <x:c r="G67" s="42" t="n">
        <x:v>826</x:v>
      </x:c>
      <x:c r="H67" s="39" t="str">
        <x:v>生产制造 &gt; 技工 &gt; 焊接工程师</x:v>
      </x:c>
      <x:c r="I67" s="39" t="str">
        <x:v>6-31-01-01</x:v>
      </x:c>
      <x:c r="J67" s="39" t="str">
        <x:v>设备点检员</x:v>
      </x:c>
      <x:c r="K67" s="39" t="str">
        <x:v>焊接工程师是专门从事金属连接工艺设计与优化的专业人员。该职位的核心目标是通过制定科学焊接方案，确保结构完整性和生产效益。在日常工作中，需要进行焊接工艺评定、质量检测、设备维护及技术指导等工作。</x:v>
      </x:c>
      <x:c r="L67" s="39" t="str">
        <x:v>1. 制定焊接工艺方案 2. 选择合适焊接材料 3. 监督焊接质量检测 4. 解决焊接技术问题 5. 培训焊接操作人员 6. 优化焊接工艺流程</x:v>
      </x:c>
    </x:row>
    <x:row r="68" ht="52" customHeight="1">
      <x:c r="A68" s="42" t="n">
        <x:v>19</x:v>
      </x:c>
      <x:c r="B68" s="39" t="str">
        <x:v>焊接工程师</x:v>
      </x:c>
      <x:c r="C68" s="39" t="str">
        <x:v>条件合并（先修分类）</x:v>
      </x:c>
      <x:c r="D68" s="39" t="str">
        <x:v>焊接工程师</x:v>
      </x:c>
      <x:c r="E68" s="42" t="n">
        <x:v>944</x:v>
      </x:c>
      <x:c r="F68" s="39" t="str">
        <x:v>IC-L3-1095</x:v>
      </x:c>
      <x:c r="G68" s="42" t="n">
        <x:v>1095</x:v>
      </x:c>
      <x:c r="H68" s="39" t="str">
        <x:v>能源/环保/化工 &gt; 环保 &gt; 焊接工程师</x:v>
      </x:c>
      <x:c r="I68" s="39" t="str">
        <x:v>2-02-27-06</x:v>
      </x:c>
      <x:c r="J68" s="39" t="str">
        <x:v>健康安全环境工程技术人员</x:v>
      </x:c>
      <x:c r="K68" s="39" t="str">
        <x:v>焊接工程师是专门从事环保设备焊接技术研发与应用的专业人员。该职位的核心目标是通过优化焊接工艺和材料选择，确保设备环保性能和使用寿命。在日常工作中，需要进行焊接工艺设计、质量检测、技术改进及现场指导等工作。</x:v>
      </x:c>
      <x:c r="L68" s="39" t="str">
        <x:v>1. 设计环保焊接工艺 2. 优化焊接材料选择 3. 监督焊接质量检测 4. 解决焊接技术问题 5. 编制焊接操作规范 6. 培训焊接操作人员</x:v>
      </x:c>
    </x:row>
    <x:row r="69" ht="52" customHeight="1">
      <x:c r="A69" s="42" t="n">
        <x:v>20</x:v>
      </x:c>
      <x:c r="B69" s="39" t="str">
        <x:v>核心网工程师</x:v>
      </x:c>
      <x:c r="C69" s="39" t="str">
        <x:v>可直接合并</x:v>
      </x:c>
      <x:c r="D69" s="39" t="str">
        <x:v>核心网工程师</x:v>
      </x:c>
      <x:c r="E69" s="42" t="n">
        <x:v>1146</x:v>
      </x:c>
      <x:c r="F69" s="39" t="str">
        <x:v>IC-L3-1297</x:v>
      </x:c>
      <x:c r="G69" s="42" t="n">
        <x:v>1297</x:v>
      </x:c>
      <x:c r="H69" s="39" t="str">
        <x:v>通信/电子 &gt; 技术项目管理 &gt; 核心网工程师</x:v>
      </x:c>
      <x:c r="I69" s="39" t="str">
        <x:v>2-02-10-01</x:v>
      </x:c>
      <x:c r="J69" s="39" t="str">
        <x:v>通信工程技术人员</x:v>
      </x:c>
      <x:c r="K69" s="39" t="str">
        <x:v>核心网工程师是专门从事电信核心网络规划、建设和维护的专业人员。该职位的核心目标是通过优化核心网络架构，确保通信系统的高效稳定运行。在日常工作中，需要进行网络拓扑设计、设备配置调测、故障排查分析以及项目管理协调等工作。</x:v>
      </x:c>
      <x:c r="L69" s="39" t="str">
        <x:v>1. 设计核心网架构方案 2. 部署调试网络设备 3. 优化核心网性能指标 4. 处理网络故障问题 5. 编写技术文档报告 6. 协调跨部门项目对接</x:v>
      </x:c>
    </x:row>
    <x:row r="70" ht="52" customHeight="1">
      <x:c r="A70" s="42" t="n">
        <x:v>20</x:v>
      </x:c>
      <x:c r="B70" s="39" t="str">
        <x:v>核心网工程师</x:v>
      </x:c>
      <x:c r="C70" s="39" t="str">
        <x:v>可直接合并</x:v>
      </x:c>
      <x:c r="D70" s="39" t="str">
        <x:v>核心网工程师</x:v>
      </x:c>
      <x:c r="E70" s="42" t="n">
        <x:v>1191</x:v>
      </x:c>
      <x:c r="F70" s="39" t="str">
        <x:v>IC-L3-1342</x:v>
      </x:c>
      <x:c r="G70" s="42" t="n">
        <x:v>1342</x:v>
      </x:c>
      <x:c r="H70" s="39" t="str">
        <x:v>通信/电子 &gt; 硬件开发 &gt; 核心网工程师</x:v>
      </x:c>
      <x:c r="I70" s="39" t="str">
        <x:v>2-02-10-01</x:v>
      </x:c>
      <x:c r="J70" s="39" t="str">
        <x:v>通信工程技术人员</x:v>
      </x:c>
      <x:c r="K70" s="39" t="str">
        <x:v>核心网工程师是专门从事通信网络核心设备研发与维护的专业人员。该职位的核心目标是通过设计、优化核心网硬件架构，确保通信网络的高效稳定运行。在日常工作中，需要进行核心网设备调试、故障排查、性能优化及新硬件方案验证等工作。</x:v>
      </x:c>
      <x:c r="L70" s="39" t="str">
        <x:v>1. 设计核心网硬件架构 2. 开发核心网硬件设备 3. 测试核心网硬件性能 4. 优化核心网硬件方案 5. 维护核心网硬件系统 6. 解决核心网硬件故障</x:v>
      </x:c>
    </x:row>
    <x:row r="71" ht="52" customHeight="1">
      <x:c r="A71" s="42" t="n">
        <x:v>20</x:v>
      </x:c>
      <x:c r="B71" s="39" t="str">
        <x:v>核心网工程师</x:v>
      </x:c>
      <x:c r="C71" s="39" t="str">
        <x:v>可直接合并</x:v>
      </x:c>
      <x:c r="D71" s="39" t="str">
        <x:v>核心网工程师</x:v>
      </x:c>
      <x:c r="E71" s="42" t="n">
        <x:v>1209</x:v>
      </x:c>
      <x:c r="F71" s="39" t="str">
        <x:v>IC-L3-1360</x:v>
      </x:c>
      <x:c r="G71" s="42" t="n">
        <x:v>1360</x:v>
      </x:c>
      <x:c r="H71" s="39" t="str">
        <x:v>通信/电子 &gt; 通信技术开发与应用 &gt; 核心网工程师</x:v>
      </x:c>
      <x:c r="I71" s="39" t="str">
        <x:v>2-02-10-01</x:v>
      </x:c>
      <x:c r="J71" s="39" t="str">
        <x:v>通信工程技术人员</x:v>
      </x:c>
      <x:c r="K71" s="39" t="str">
        <x:v>核心网工程师是通信/电子行业中不可或缺的专业人才，负责构建和维护电信网络的核心部分，确保数据高效传输和用户服务的稳定运行。该职位通过设计、优化及维护核心网络架构，实现对大规模数据流量的有效管理，提高网络性能和安全性，对于推动公司技术创新和业务增长具有关键作用。此外，核心网工程师需要与其他部门紧密合作，如研发、市场和技术支持等，共同解决复杂的技术问题，同时也为…</x:v>
      </x:c>
      <x:c r="L71" s="39" t="str">
        <x:v>1. 负责核心网络的设计、配置与调优工作，确保系统稳定运行并满足业务需求。 2. 进行网络故障排查，快速响应并解决出现的问题，保障服务连续性。 3. 参与新项目的技术评估，提出合理化建议以降低风险和成本。 4. 持续跟踪最新的通信技术发展趋势，探索新技术的应用可能性，推动企业技术进步。 5. 与跨职能团队合作，提供技术支持和培训，促进知识共享和技术交流。</x:v>
      </x:c>
    </x:row>
    <x:row r="72" ht="52" customHeight="1">
      <x:c r="A72" s="42" t="n">
        <x:v>21</x:v>
      </x:c>
      <x:c r="B72" s="39" t="str">
        <x:v>活动运营</x:v>
      </x:c>
      <x:c r="C72" s="39" t="str">
        <x:v>条件合并（先修分类）</x:v>
      </x:c>
      <x:c r="D72" s="39" t="str">
        <x:v>活动运营</x:v>
      </x:c>
      <x:c r="E72" s="42" t="n">
        <x:v>85</x:v>
      </x:c>
      <x:c r="F72" s="39" t="str">
        <x:v>IC-L3-236</x:v>
      </x:c>
      <x:c r="G72" s="42" t="n">
        <x:v>236</x:v>
      </x:c>
      <x:c r="H72" s="39" t="str">
        <x:v>互联网技术 &gt; 运维/技术支持 &gt; 活动运营</x:v>
      </x:c>
      <x:c r="I72" s="39" t="str">
        <x:v>4-04-05-01</x:v>
      </x:c>
      <x:c r="J72" s="39" t="str">
        <x:v>计算机程序设计员</x:v>
      </x:c>
      <x:c r="K72" s="39" t="str">
        <x:v>活动运营是专门从事技术运维领域活动策划与执行的专业人员。该职位的核心目标是通过组织技术交流活动，提升客户粘性和品牌影响力。在日常工作中，需要进行活动方案设计、技术沙龙执行、效果数据分析及运营优化等工作。</x:v>
      </x:c>
      <x:c r="L72" s="39" t="str">
        <x:v>1. 策划运维主题活动 2. 组织技术培训会议 3. 协调跨部门资源 4. 监控活动执行效果 5. 编写运营分析报告 6. 优化活动流程标准</x:v>
      </x:c>
    </x:row>
    <x:row r="73" ht="52" customHeight="1">
      <x:c r="A73" s="42" t="n">
        <x:v>21</x:v>
      </x:c>
      <x:c r="B73" s="39" t="str">
        <x:v>活动运营</x:v>
      </x:c>
      <x:c r="C73" s="39" t="str">
        <x:v>条件合并（先修分类）</x:v>
      </x:c>
      <x:c r="D73" s="39" t="str">
        <x:v>活动运营</x:v>
      </x:c>
      <x:c r="E73" s="42" t="n">
        <x:v>1084</x:v>
      </x:c>
      <x:c r="F73" s="39" t="str">
        <x:v>IC-L3-1235</x:v>
      </x:c>
      <x:c r="G73" s="42" t="n">
        <x:v>1235</x:v>
      </x:c>
      <x:c r="H73" s="39" t="str">
        <x:v>运营 &gt; 业务运营 &gt; 活动运营</x:v>
      </x:c>
      <x:c r="I73" s="39" t="str">
        <x:v>4-04-05-01</x:v>
      </x:c>
      <x:c r="J73" s="39" t="str">
        <x:v>计算机程序设计员</x:v>
      </x:c>
      <x:c r="K73" s="39" t="str">
        <x:v>活动运营是业务运营中不可或缺的一环，负责策划并执行各类线上线下的营销活动，以吸引用户参与、提升品牌知名度和促进销售转化。作为活动运营人员，您的核心目标是通过创新的活动设计与高效的执行策略，增强用户体验，提高用户活跃度和忠诚度，最终为公司带来持续增长的流量和收入。此外，您将与产品、市场和技术等多个部门紧密合作，确保活动的成功落地，同时也有机会随着公司的发展和个…</x:v>
      </x:c>
      <x:c r="L73" s="39" t="str">
        <x:v>1. 负责制定全年活动计划，根据业务目标及市场需求，设计并实施各类线上线下活动方案，旨在扩大用户基础、增加用户粘性。 2. 与设计、开发等部门沟通协作，确保活动页面的设计美观、功能完善，以及活动流程顺畅无误。 3. 监控活动效果，收集用户反馈，分析活动数据，定期向管理层汇报活动成果，并据此调整优化后续活动策略。 4. 关注行业动态和竞争对手动向，结合自身业务…</x:v>
      </x:c>
    </x:row>
    <x:row r="74" ht="52" customHeight="1">
      <x:c r="A74" s="42" t="n">
        <x:v>21</x:v>
      </x:c>
      <x:c r="B74" s="39" t="str">
        <x:v>活动运营</x:v>
      </x:c>
      <x:c r="C74" s="39" t="str">
        <x:v>条件合并（先修分类）</x:v>
      </x:c>
      <x:c r="D74" s="39" t="str">
        <x:v>活动运营</x:v>
      </x:c>
      <x:c r="E74" s="42" t="n">
        <x:v>1109</x:v>
      </x:c>
      <x:c r="F74" s="39" t="str">
        <x:v>IC-L3-1260</x:v>
      </x:c>
      <x:c r="G74" s="42" t="n">
        <x:v>1260</x:v>
      </x:c>
      <x:c r="H74" s="39" t="str">
        <x:v>运营 &gt; 线下运营 &gt; 活动运营</x:v>
      </x:c>
      <x:c r="I74" s="39" t="str">
        <x:v>4-01-02-01</x:v>
      </x:c>
      <x:c r="J74" s="39" t="str">
        <x:v>营销员</x:v>
      </x:c>
      <x:c r="K74" s="39" t="str">
        <x:v>活动运营是专门从事线下活动策划与执行的专业人员。该职位的核心目标是通过策划优质活动方案，提升品牌影响力和用户参与度。在日常工作中，需要进行活动策划、现场执行、数据分析和效果复盘等工作。</x:v>
      </x:c>
      <x:c r="L74" s="39" t="str">
        <x:v>1. 策划线下活动方案 2. 协调场地人员安排 3. 控制活动执行流程 4. 管理活动现场秩序 5. 收集整理活动数据 6. 优化后续活动方案</x:v>
      </x:c>
    </x:row>
    <x:row r="75" ht="52" customHeight="1">
      <x:c r="A75" s="42" t="n">
        <x:v>22</x:v>
      </x:c>
      <x:c r="B75" s="39" t="str">
        <x:v>活动执行</x:v>
      </x:c>
      <x:c r="C75" s="39" t="str">
        <x:v>条件合并（先修分类）</x:v>
      </x:c>
      <x:c r="D75" s="39" t="str">
        <x:v>活动执行</x:v>
      </x:c>
      <x:c r="E75" s="42" t="n">
        <x:v>380</x:v>
      </x:c>
      <x:c r="F75" s="39" t="str">
        <x:v>IC-L3-531</x:v>
      </x:c>
      <x:c r="G75" s="42" t="n">
        <x:v>531</x:v>
      </x:c>
      <x:c r="H75" s="39" t="str">
        <x:v>市场/公关 &gt; 公关/媒介 &gt; 活动执行</x:v>
      </x:c>
      <x:c r="I75" s="39" t="str">
        <x:v>3-01-02-03</x:v>
      </x:c>
      <x:c r="J75" s="39" t="str">
        <x:v>公关员</x:v>
      </x:c>
      <x:c r="K75" s="39" t="str">
        <x:v>活动执行是市场/公关行业中不可或缺的角色，主要负责各类市场活动的具体实施与协调工作。通过高效地组织和管理活动，确保活动能够顺利进行并达到预期效果，是连接公司内部资源与外部客户的关键桥梁。 该职位的核心目标在于通过精心策划和执行各种线下及线上活动，提升品牌知名度和影响力，增强客户粘性，促进销售转化率。对于公司而言，优秀的活动执行不仅能有效传达品牌形象，还能直接…</x:v>
      </x:c>
      <x:c r="L75" s="39" t="str">
        <x:v>1. 负责从前期准备到后期总结的整个活动流程管理，确保所有细节符合公司标准和客户需求。 2. 与供应商建立良好的合作关系，控制成本，保证活动质量，按时完成各项任务。 3. 协调内部团队成员之间的沟通，解决活动中出现的问题，提高工作效率。 4. 收集并分析活动数据，撰写活动报告，提出改进建议，持续优化活动效果。 5. 关注行业动态，学习最新的活动营销趋势和技术…</x:v>
      </x:c>
    </x:row>
    <x:row r="76" ht="52" customHeight="1">
      <x:c r="A76" s="42" t="n">
        <x:v>22</x:v>
      </x:c>
      <x:c r="B76" s="39" t="str">
        <x:v>活动执行</x:v>
      </x:c>
      <x:c r="C76" s="39" t="str">
        <x:v>条件合并（先修分类）</x:v>
      </x:c>
      <x:c r="D76" s="39" t="str">
        <x:v>活动执行</x:v>
      </x:c>
      <x:c r="E76" s="42" t="n">
        <x:v>402</x:v>
      </x:c>
      <x:c r="F76" s="39" t="str">
        <x:v>IC-L3-553</x:v>
      </x:c>
      <x:c r="G76" s="42" t="n">
        <x:v>553</x:v>
      </x:c>
      <x:c r="H76" s="39" t="str">
        <x:v>市场/公关 &gt; 市场/营销 &gt; 活动执行</x:v>
      </x:c>
      <x:c r="I76" s="39" t="str">
        <x:v>4-01-02-01</x:v>
      </x:c>
      <x:c r="J76" s="39" t="str">
        <x:v>营销员</x:v>
      </x:c>
      <x:c r="K76" s="39" t="str">
        <x:v>活动执行是专门从事市场营销活动策划与落地的专业人员。该职位的核心目标是通过高效执行各类营销活动，实现品牌推广和销售转化目标。在日常工作中，需要进行活动方案实施、现场协调管理、供应商对接及活动效果评估等工作。</x:v>
      </x:c>
      <x:c r="L76" s="39" t="str">
        <x:v>1. 策划活动方案 2. 协调活动资源 3. 执行现场管理 4. 监控活动流程 5. 处理突发情况 6. 评估活动效果</x:v>
      </x:c>
    </x:row>
    <x:row r="77" ht="52" customHeight="1">
      <x:c r="A77" s="42" t="n">
        <x:v>22</x:v>
      </x:c>
      <x:c r="B77" s="39" t="str">
        <x:v>活动执行</x:v>
      </x:c>
      <x:c r="C77" s="39" t="str">
        <x:v>条件合并（先修分类）</x:v>
      </x:c>
      <x:c r="D77" s="39" t="str">
        <x:v>活动执行</x:v>
      </x:c>
      <x:c r="E77" s="42" t="n">
        <x:v>420</x:v>
      </x:c>
      <x:c r="F77" s="39" t="str">
        <x:v>IC-L3-571</x:v>
      </x:c>
      <x:c r="G77" s="42" t="n">
        <x:v>571</x:v>
      </x:c>
      <x:c r="H77" s="39" t="str">
        <x:v>市场/公关 &gt; 广告 &gt; 活动执行</x:v>
      </x:c>
      <x:c r="I77" s="39" t="str">
        <x:v>2-09-06-01</x:v>
      </x:c>
      <x:c r="J77" s="39" t="str">
        <x:v>视觉传达设计人员</x:v>
      </x:c>
      <x:c r="K77" s="39" t="str">
        <x:v>活动执行是专门从事广告活动策划落地的专业人员。该职位的核心目标是通过高效执行各类广告活动，确保客户营销目标达成。在日常工作中，需要进行活动流程管理、现场协调执行、供应商对接以及活动效果评估等工作。</x:v>
      </x:c>
      <x:c r="L77" s="39" t="str">
        <x:v>1. 策划活动方案 2. 协调供应商资源 3. 监督现场布置 4. 管理活动流程 5. 处理突发情况 6. 评估活动效果</x:v>
      </x:c>
    </x:row>
    <x:row r="78" ht="52" customHeight="1">
      <x:c r="A78" s="42" t="n">
        <x:v>23</x:v>
      </x:c>
      <x:c r="B78" s="39" t="str">
        <x:v>机械项目管理</x:v>
      </x:c>
      <x:c r="C78" s="39" t="str">
        <x:v>条件合并（先修分类）</x:v>
      </x:c>
      <x:c r="D78" s="39" t="str">
        <x:v>机械项目管理</x:v>
      </x:c>
      <x:c r="E78" s="42" t="n">
        <x:v>642</x:v>
      </x:c>
      <x:c r="F78" s="39" t="str">
        <x:v>IC-L3-793</x:v>
      </x:c>
      <x:c r="G78" s="42" t="n">
        <x:v>793</x:v>
      </x:c>
      <x:c r="H78" s="39" t="str">
        <x:v>生产制造 &gt; 工程/机械 &gt; 机械项目管理</x:v>
      </x:c>
      <x:c r="I78" s="39" t="str">
        <x:v>2-02-07-01</x:v>
      </x:c>
      <x:c r="J78" s="39" t="str">
        <x:v>机械设计工程技术人员</x:v>
      </x:c>
      <x:c r="K78" s="39" t="str">
        <x:v>机械项目管理是生产制造行业中至关重要的角色之一，负责确保从设计到生产的每一个环节都能高效运作。作为连接工程与生产的关键桥梁，机械项目经理不仅需要具备扎实的技术背景，还需要拥有出色的项目管理和沟通协调能力，以确保项目按时按质完成。通过优化资源配置和流程管理，该职位能够显著提升企业的生产效率和产品质量，为企业创造更大的经济效益。同时，机械项目管理是一个高度团队合…</x:v>
      </x:c>
      <x:c r="L78" s="39" t="str">
        <x:v>1. 负责制定详细的项目计划，包括时间表、成本预算和资源分配，确保所有活动符合既定目标。 2. 协调跨部门之间的沟通与合作，及时解决项目执行过程中出现的技术难题或管理障碍。 3. 监控项目的进展状况，定期向高级管理层汇报项目状态，预测并预防潜在的风险。 4. 组织项目评审会议，评估项目成果，收集反馈意见，持续改进项目管理流程。 5. 培训和支持团队成员，提高…</x:v>
      </x:c>
    </x:row>
    <x:row r="79" ht="52" customHeight="1">
      <x:c r="A79" s="42" t="n">
        <x:v>23</x:v>
      </x:c>
      <x:c r="B79" s="39" t="str">
        <x:v>机械项目管理</x:v>
      </x:c>
      <x:c r="C79" s="39" t="str">
        <x:v>条件合并（先修分类）</x:v>
      </x:c>
      <x:c r="D79" s="39" t="str">
        <x:v>机械项目管理</x:v>
      </x:c>
      <x:c r="E79" s="42" t="n">
        <x:v>713</x:v>
      </x:c>
      <x:c r="F79" s="39" t="str">
        <x:v>IC-L3-864</x:v>
      </x:c>
      <x:c r="G79" s="42" t="n">
        <x:v>864</x:v>
      </x:c>
      <x:c r="H79" s="39" t="str">
        <x:v>生产制造 &gt; 生产/营运 &gt; 机械项目管理</x:v>
      </x:c>
      <x:c r="I79" s="39" t="str">
        <x:v>6-31-01-01</x:v>
      </x:c>
      <x:c r="J79" s="39" t="str">
        <x:v>设备点检员</x:v>
      </x:c>
      <x:c r="K79" s="39" t="str">
        <x:v>机械项目管理在生产制造行业中扮演着至关重要的角色，它不仅确保了机械设备从设计到安装的顺利进行，还负责监控整个项目的进度与质量。作为连接技术部门与管理层之间的桥梁，机械项目经理对于提高生产效率、降低成本、保障产品质量等方面具有不可替代的作用。 该职位的核心目标是通过有效的计划、组织、协调及控制手段，确保所有机械工程项目按时按质完成，同时满足预算要求。这不仅有助…</x:v>
      </x:c>
      <x:c r="L79" s="39" t="str">
        <x:v>1. 负责制定详细的项目实施计划，包括时间表、资源分配、成本预算等，确保项目各阶段目标的实现。 2. 协调内外部资源，监督项目执行过程中的各项活动，及时解决出现的问题，保证项目按计划推进。 3. 与客户保持良好沟通，准确理解客户需求，定期汇报项目进展情况，确保客户满意。 4. 组织并主持项目会议，记录会议纪要，跟踪落实会议决议事项。 5. 对项目结果进行评估…</x:v>
      </x:c>
    </x:row>
    <x:row r="80" ht="52" customHeight="1">
      <x:c r="A80" s="42" t="n">
        <x:v>23</x:v>
      </x:c>
      <x:c r="B80" s="39" t="str">
        <x:v>机械项目管理</x:v>
      </x:c>
      <x:c r="C80" s="39" t="str">
        <x:v>条件合并（先修分类）</x:v>
      </x:c>
      <x:c r="D80" s="39" t="str">
        <x:v>机械项目管理</x:v>
      </x:c>
      <x:c r="E80" s="42" t="n">
        <x:v>1322</x:v>
      </x:c>
      <x:c r="F80" s="39" t="str">
        <x:v>IC-L3-1473</x:v>
      </x:c>
      <x:c r="G80" s="42" t="n">
        <x:v>1473</x:v>
      </x:c>
      <x:c r="H80" s="39" t="str">
        <x:v>项目经理/管理 &gt; 项目经理/管理 &gt; 机械项目管理</x:v>
      </x:c>
      <x:c r="I80" s="39" t="str">
        <x:v>2-02-30-04</x:v>
      </x:c>
      <x:c r="J80" s="39" t="str">
        <x:v>项目管理工程技术人员</x:v>
      </x:c>
      <x:c r="K80" s="39" t="str">
        <x:v>机械项目管理是工程项目管理领域中的关键角色，负责确保机械设备的设计、制造、安装和调试等各个环节的顺利进行。该职位不仅需要具备扎实的技术背景，还需要拥有出色的组织协调能力和项目管理知识，以应对复杂多变的工程环境，保障项目的按时交付与质量达标。 作为机械项目管理者，其核心目标在于通过科学合理的计划编制、资源调配及风险控制，实现成本节约、效率提升以及客户满意度的提…</x:v>
      </x:c>
      <x:c r="L80" s="39" t="str">
        <x:v>1. 负责制定详细的机械项目实施计划，包括时间表、预算和资源配置方案，确保项目按预定目标顺利推进。 2. 组织并领导项目团队开展各项任务，监督执行过程中的进度和质量，及时调整策略以应对突发状况。 3. 与供应商、承包商及客户保持良好沟通，协调各方关系，确保项目需求得到准确理解和满足。 4. 对项目过程中出现的问题进行分析评估，提出解决方案并组织实施，有效控制…</x:v>
      </x:c>
    </x:row>
    <x:row r="81" ht="52" customHeight="1">
      <x:c r="A81" s="42" t="n">
        <x:v>24</x:v>
      </x:c>
      <x:c r="B81" s="39" t="str">
        <x:v>记者</x:v>
      </x:c>
      <x:c r="C81" s="39" t="str">
        <x:v>条件合并（先修分类）</x:v>
      </x:c>
      <x:c r="D81" s="39" t="str">
        <x:v>记者</x:v>
      </x:c>
      <x:c r="E81" s="42" t="n">
        <x:v>530</x:v>
      </x:c>
      <x:c r="F81" s="39" t="str">
        <x:v>IC-L3-681</x:v>
      </x:c>
      <x:c r="G81" s="42" t="n">
        <x:v>681</x:v>
      </x:c>
      <x:c r="H81" s="39" t="str">
        <x:v>文化/传媒 &gt; 影视/媒体 &gt; 记者</x:v>
      </x:c>
      <x:c r="I81" s="39" t="str">
        <x:v>2-09-06-01</x:v>
      </x:c>
      <x:c r="J81" s="39" t="str">
        <x:v>视觉传达设计人员</x:v>
      </x:c>
      <x:c r="K81" s="39" t="str">
        <x:v>记者是专门从事新闻采集与报道的专业人员。该职位的核心目标是通过深入调查和客观呈现，为影视/媒体行业提供及时、准确的新闻资讯。在日常工作中，需要进行选题策划、现场采访、稿件撰写、视频拍摄及后期编辑等工作。</x:v>
      </x:c>
      <x:c r="L81" s="39" t="str">
        <x:v>1. 采集新闻素材 2. 撰写新闻报道 3. 进行人物专访 4. 跟进热点事件 5. 核实信息真实性 6. 维护媒体关系</x:v>
      </x:c>
    </x:row>
    <x:row r="82" ht="52" customHeight="1">
      <x:c r="A82" s="42" t="n">
        <x:v>24</x:v>
      </x:c>
      <x:c r="B82" s="39" t="str">
        <x:v>记者</x:v>
      </x:c>
      <x:c r="C82" s="39" t="str">
        <x:v>条件合并（先修分类）</x:v>
      </x:c>
      <x:c r="D82" s="39" t="str">
        <x:v>记者</x:v>
      </x:c>
      <x:c r="E82" s="42" t="n">
        <x:v>548</x:v>
      </x:c>
      <x:c r="F82" s="39" t="str">
        <x:v>IC-L3-699</x:v>
      </x:c>
      <x:c r="G82" s="42" t="n">
        <x:v>699</x:v>
      </x:c>
      <x:c r="H82" s="39" t="str">
        <x:v>文化/传媒 &gt; 编辑/出版 &gt; 记者</x:v>
      </x:c>
      <x:c r="I82" s="39" t="str">
        <x:v>2-09-06-01</x:v>
      </x:c>
      <x:c r="J82" s="39" t="str">
        <x:v>视觉传达设计人员</x:v>
      </x:c>
      <x:c r="K82" s="39" t="str">
        <x:v>记者是文化与传媒行业中不可或缺的角色，他们通过深入调查和报道，向公众传递真实、客观的信息，对于促进社会透明度和舆论监督具有重要作用。作为新闻机构的前线人员，记者的核心目标在于挖掘有价值的新闻线索，撰写高质量的新闻稿件，不仅提升媒体的品牌影响力，还能引导社会舆论健康发展，增强公民意识。在日常工作中，记者需要与其他部门如编辑部、技术部等紧密合作，共同完成新闻产品…</x:v>
      </x:c>
      <x:c r="L82" s="39" t="str">
        <x:v>1. 积极寻找并评估新闻素材，确保信息来源可靠，为读者提供准确无误的新闻报道。 2. 根据选题计划，独立或协同其他记者进行现场采访，收集第一手资料，力求全面深入地反映事件真相。 3. 编写符合公司风格及标准的文章，包括但不限于文字、图片、视频等形式，以满足不同媒介渠道的需求。 4. 定期参加新闻发布会及相关活动，建立并维护良好的媒体关系网，扩大新闻资源获取渠…</x:v>
      </x:c>
    </x:row>
    <x:row r="83" ht="52" customHeight="1">
      <x:c r="A83" s="42" t="n">
        <x:v>24</x:v>
      </x:c>
      <x:c r="B83" s="39" t="str">
        <x:v>记者</x:v>
      </x:c>
      <x:c r="C83" s="39" t="str">
        <x:v>条件合并（先修分类）</x:v>
      </x:c>
      <x:c r="D83" s="39" t="str">
        <x:v>记者</x:v>
      </x:c>
      <x:c r="E83" s="42" t="n">
        <x:v>1098</x:v>
      </x:c>
      <x:c r="F83" s="39" t="str">
        <x:v>IC-L3-1249</x:v>
      </x:c>
      <x:c r="G83" s="42" t="n">
        <x:v>1249</x:v>
      </x:c>
      <x:c r="H83" s="39" t="str">
        <x:v>运营 &gt; 内容运营 &gt; 记者</x:v>
      </x:c>
      <x:c r="I83" s="39" t="str">
        <x:v>4-04-05-01</x:v>
      </x:c>
      <x:c r="J83" s="39" t="str">
        <x:v>计算机程序设计员</x:v>
      </x:c>
      <x:c r="K83" s="39" t="str">
        <x:v>记者是专门从事新闻采集和内容创作的专业人员。该职位的核心目标是通过深入调研和客观报道，为内容运营提供高质量的新闻素材。在日常工作中，需要进行选题策划、现场采访、新闻撰写和多媒体内容制作等工作。</x:v>
      </x:c>
      <x:c r="L83" s="39" t="str">
        <x:v>1. 采集新闻素材 2. 撰写原创内容 3. 核实信息真实性 4. 策划专题报道 5. 维护媒体关系 6. 分析内容数据</x:v>
      </x:c>
    </x:row>
    <x:row r="84" ht="52" customHeight="1">
      <x:c r="A84" s="42" t="n">
        <x:v>25</x:v>
      </x:c>
      <x:c r="B84" s="39" t="str">
        <x:v>技术经理</x:v>
      </x:c>
      <x:c r="C84" s="39" t="str">
        <x:v>需拆分后合并</x:v>
      </x:c>
      <x:c r="D84" s="39" t="str">
        <x:v>待补专业方向限定词</x:v>
      </x:c>
      <x:c r="E84" s="42" t="n">
        <x:v>34</x:v>
      </x:c>
      <x:c r="F84" s="39" t="str">
        <x:v>IC-L3-185</x:v>
      </x:c>
      <x:c r="G84" s="42" t="n">
        <x:v>185</x:v>
      </x:c>
      <x:c r="H84" s="39" t="str">
        <x:v>互联网技术 &gt; 技术管理 &gt; 技术经理</x:v>
      </x:c>
      <x:c r="I84" s="39" t="str">
        <x:v>2-02-10-03</x:v>
      </x:c>
      <x:c r="J84" s="39" t="str">
        <x:v>计算机软件工程技术人员</x:v>
      </x:c>
      <x:c r="K84" s="39" t="str">
        <x:v>技术经理在互联网技术行业中扮演着至关重要的角色，负责引领技术创新与应用，确保技术战略与业务目标相匹配，是连接技术研发与市场运营之间的桥梁。作为技术团队的核心领导者，技术经理不仅需要具备深厚的技术背景，还应拥有卓越的项目管理和人际沟通能力，通过高效地指导团队完成高质量的产品开发和服务交付，提高企业的竞争力，推动企业持续发展。此外，技术经理还需与其他部门紧密合作…</x:v>
      </x:c>
      <x:c r="L84" s="39" t="str">
        <x:v>1. 制定并执行公司技术发展战略，确保技术路线符合市场需求和公司长期发展目标。 2. 管理技术团队，包括招聘合适的人才、分配工作任务、监督项目进度以及评估员工表现，以实现团队高效运作。 3. 与产品经理密切配合，参与产品需求分析及技术方案设计，确保产品按时按质上线。 4. 关注行业最新技术动态，定期组织内部培训，提升团队技术水平，保持公司在技术领域的领先地位…</x:v>
      </x:c>
    </x:row>
    <x:row r="85" ht="52" customHeight="1">
      <x:c r="A85" s="42" t="n">
        <x:v>25</x:v>
      </x:c>
      <x:c r="B85" s="39" t="str">
        <x:v>技术经理</x:v>
      </x:c>
      <x:c r="C85" s="39" t="str">
        <x:v>需拆分后合并</x:v>
      </x:c>
      <x:c r="D85" s="39" t="str">
        <x:v>待补专业方向限定词</x:v>
      </x:c>
      <x:c r="E85" s="42" t="n">
        <x:v>94</x:v>
      </x:c>
      <x:c r="F85" s="39" t="str">
        <x:v>IC-L3-245</x:v>
      </x:c>
      <x:c r="G85" s="42" t="n">
        <x:v>245</x:v>
      </x:c>
      <x:c r="H85" s="39" t="str">
        <x:v>互联网技术 &gt; 销售技术支持 &gt; 技术经理</x:v>
      </x:c>
      <x:c r="I85" s="39" t="str">
        <x:v>4-04-05-01</x:v>
      </x:c>
      <x:c r="J85" s="39" t="str">
        <x:v>计算机程序设计员</x:v>
      </x:c>
      <x:c r="K85" s="39" t="str">
        <x:v>技术经理是专门从事销售技术解决方案设计与实施的专业人员。该职位的核心目标是通过提供专业的技术支持，推动销售业绩增长并提升客户满意度。在日常工作中，需要进行技术方案制定、客户需求分析、跨部门协作及技术支持团队管理等工作。</x:v>
      </x:c>
      <x:c r="L85" s="39" t="str">
        <x:v>1. 制定技术方案 2. 指导销售技术支持 3. 管理技术团队 4. 优化业务流程 5. 解决技术难题 6. 对接客户需求</x:v>
      </x:c>
    </x:row>
    <x:row r="86" ht="52" customHeight="1">
      <x:c r="A86" s="42" t="n">
        <x:v>25</x:v>
      </x:c>
      <x:c r="B86" s="39" t="str">
        <x:v>技术经理</x:v>
      </x:c>
      <x:c r="C86" s="39" t="str">
        <x:v>需拆分后合并</x:v>
      </x:c>
      <x:c r="D86" s="39" t="str">
        <x:v>待补专业方向限定词</x:v>
      </x:c>
      <x:c r="E86" s="42" t="n">
        <x:v>1136</x:v>
      </x:c>
      <x:c r="F86" s="39" t="str">
        <x:v>IC-L3-1287</x:v>
      </x:c>
      <x:c r="G86" s="42" t="n">
        <x:v>1287</x:v>
      </x:c>
      <x:c r="H86" s="39" t="str">
        <x:v>通信/电子 &gt; 技术项目管理 &gt; 技术经理</x:v>
      </x:c>
      <x:c r="I86" s="39" t="str">
        <x:v>2-06-07-16</x:v>
      </x:c>
      <x:c r="J86" s="39" t="str">
        <x:v>技术经理人</x:v>
      </x:c>
      <x:c r="K86" s="39" t="str">
        <x:v>技术经理在通信/电子行业中扮演着至关重要的角色，是连接技术研发与市场需求之间的桥梁。他们不仅负责确保项目按时按质完成，还承担着推动技术创新、优化产品性能的任务，是企业实现可持续发展的关键力量。通过高效的技术项目管理和跨部门协调，技术经理能够促进公司内部资源的有效利用，提高研发效率，降低项目成本，为企业创造更大的经济效益和社会价值。此外，技术经理还需与其他部门…</x:v>
      </x:c>
      <x:c r="L86" s="39" t="str">
        <x:v>1. 负责制定并执行技术项目的整体计划，包括但不限于需求分析、方案设计、进度控制、质量保证等环节，确保项目顺利推进直至成功交付。 2. 组织并领导项目团队，合理分配工作任务，监督团队成员的工作进度与成果，解决项目过程中出现的各种问题，提升团队凝聚力和执行力。 3. 与客户及相关部门保持良好沟通，准确理解客户需求，及时反馈项目进展状况，协助解决客户提出的问题或…</x:v>
      </x:c>
    </x:row>
    <x:row r="87" ht="52" customHeight="1">
      <x:c r="A87" s="42" t="n">
        <x:v>26</x:v>
      </x:c>
      <x:c r="B87" s="39" t="str">
        <x:v>家装顾问</x:v>
      </x:c>
      <x:c r="C87" s="39" t="str">
        <x:v>条件合并（先修分类）</x:v>
      </x:c>
      <x:c r="D87" s="39" t="str">
        <x:v>家装顾问</x:v>
      </x:c>
      <x:c r="E87" s="42" t="n">
        <x:v>428</x:v>
      </x:c>
      <x:c r="F87" s="39" t="str">
        <x:v>IC-L3-579</x:v>
      </x:c>
      <x:c r="G87" s="42" t="n">
        <x:v>579</x:v>
      </x:c>
      <x:c r="H87" s="39" t="str">
        <x:v>建筑/房地产 &gt; 建筑/装修工人 &gt; 家装顾问</x:v>
      </x:c>
      <x:c r="I87" s="39" t="str">
        <x:v>6-29-01-01</x:v>
      </x:c>
      <x:c r="J87" s="39" t="str">
        <x:v>砌筑工</x:v>
      </x:c>
      <x:c r="K87" s="39" t="str">
        <x:v>家装顾问是专门从事家居装修咨询与方案设计的专业人员。该职位的核心目标是通过专业的装修建议和个性化方案，帮助客户实现理想的家居环境。在日常工作中，需要进行客户需求分析、装修方案制定、材料选配推荐及施工进度跟进等工作。</x:v>
      </x:c>
      <x:c r="L87" s="39" t="str">
        <x:v>1. 接待装修咨询客户 2. 讲解装修设计方案 3. 跟进装修项目进度 4. 协调施工团队工作 5. 处理客户售后问题 6. 维护客户长期关系</x:v>
      </x:c>
    </x:row>
    <x:row r="88" ht="52" customHeight="1">
      <x:c r="A88" s="42" t="n">
        <x:v>26</x:v>
      </x:c>
      <x:c r="B88" s="39" t="str">
        <x:v>家装顾问</x:v>
      </x:c>
      <x:c r="C88" s="39" t="str">
        <x:v>条件合并（先修分类）</x:v>
      </x:c>
      <x:c r="D88" s="39" t="str">
        <x:v>家装顾问</x:v>
      </x:c>
      <x:c r="E88" s="42" t="n">
        <x:v>462</x:v>
      </x:c>
      <x:c r="F88" s="39" t="str">
        <x:v>IC-L3-613</x:v>
      </x:c>
      <x:c r="G88" s="42" t="n">
        <x:v>613</x:v>
      </x:c>
      <x:c r="H88" s="39" t="str">
        <x:v>建筑/房地产 &gt; 建筑规划与设计 &gt; 家装顾问</x:v>
      </x:c>
      <x:c r="I88" s="39" t="str">
        <x:v>2-02-18-01</x:v>
      </x:c>
      <x:c r="J88" s="39" t="str">
        <x:v>建筑和市政设计工程技术人员</x:v>
      </x:c>
      <x:c r="K88" s="39" t="str">
        <x:v>家装顾问是建筑与房地产行业中不可或缺的角色，他们通过深入了解客户的需求，将美学与功能性完美结合，为客户提供个性化的家居设计方案，从而提升居住空间的舒适度与美观度。在家装顾问的专业指导下，无论是新建住宅还是旧房翻新，都能实现从概念到现实的转变，为客户创造理想的生活环境。 家装顾问的核心目标在于准确捕捉并实现客户的个性化需求，同时确保设计方案既符合预算又具有实际…</x:v>
      </x:c>
      <x:c r="L88" s="39" t="str">
        <x:v>1. 与客户进行沟通，了解其装修需求和偏好，提供专业的家装咨询服务。 2. 根据客户需求制定详细的装修方案，包括但不限于风格选择、空间布局、材料选择等。 3. 负责监督整个装修过程，确保施工质量达到预期标准，及时解决现场出现的问题。 4. 定期向客户汇报项目进度，收集反馈意见，调整方案直至客户满意。 5. 维护现有客户关系，积极开发潜在客户群体，扩大公司业务…</x:v>
      </x:c>
    </x:row>
    <x:row r="89" ht="52" customHeight="1">
      <x:c r="A89" s="42" t="n">
        <x:v>26</x:v>
      </x:c>
      <x:c r="B89" s="39" t="str">
        <x:v>家装顾问</x:v>
      </x:c>
      <x:c r="C89" s="39" t="str">
        <x:v>条件合并（先修分类）</x:v>
      </x:c>
      <x:c r="D89" s="39" t="str">
        <x:v>家装顾问</x:v>
      </x:c>
      <x:c r="E89" s="42" t="n">
        <x:v>1002</x:v>
      </x:c>
      <x:c r="F89" s="39" t="str">
        <x:v>IC-L3-1153</x:v>
      </x:c>
      <x:c r="G89" s="42" t="n">
        <x:v>1153</x:v>
      </x:c>
      <x:c r="H89" s="39" t="str">
        <x:v>设计 &gt; 建筑/室内设计 &gt; 家装顾问</x:v>
      </x:c>
      <x:c r="I89" s="39" t="str">
        <x:v>2-09-06-01</x:v>
      </x:c>
      <x:c r="J89" s="39" t="str">
        <x:v>视觉传达设计人员</x:v>
      </x:c>
      <x:c r="K89" s="39" t="str">
        <x:v>家装顾问是设计行业中不可或缺的角色，特别是在建筑与室内设计领域。他们不仅是客户与设计师之间的桥梁，也是实现家居梦想的关键人物。通过深入了解客户需求，家装顾问能够提供专业建议，帮助客户选择最适合的设计方案，从而提高生活品质。 家装顾问的核心目标在于确保每位客户的家装项目都能顺利进行并达到预期效果。这不仅要求他们具备扎实的专业知识，还需要拥有良好的沟通技巧和服务…</x:v>
      </x:c>
      <x:c r="L89" s="39" t="str">
        <x:v>1. 与潜在客户进行初步沟通，了解其需求和预算，提供初步设计方案及报价。 2. 协调设计团队完成详细设计方案，确保设计方案符合客户期望，并在规定时间内完成。 3. 定期与客户保持联系，及时反馈项目进展，解答客户疑问，处理客户投诉。 4. 负责监督施工进度和质量，确保项目按计划顺利进行，直至项目完工验收。 5. 收集市场信息，分析竞争对手情况，为公司制定营销策…</x:v>
      </x:c>
    </x:row>
    <x:row r="90" ht="52" customHeight="1">
      <x:c r="A90" s="42" t="n">
        <x:v>27</x:v>
      </x:c>
      <x:c r="B90" s="39" t="str">
        <x:v>架构师</x:v>
      </x:c>
      <x:c r="C90" s="39" t="str">
        <x:v>可直接合并</x:v>
      </x:c>
      <x:c r="D90" s="39" t="str">
        <x:v>架构师</x:v>
      </x:c>
      <x:c r="E90" s="42" t="n">
        <x:v>27</x:v>
      </x:c>
      <x:c r="F90" s="39" t="str">
        <x:v>IC-L3-178</x:v>
      </x:c>
      <x:c r="G90" s="42" t="n">
        <x:v>178</x:v>
      </x:c>
      <x:c r="H90" s="39" t="str">
        <x:v>互联网技术 &gt; 后端开发 &gt; 架构师</x:v>
      </x:c>
      <x:c r="I90" s="39" t="str">
        <x:v>2-02-10-03</x:v>
      </x:c>
      <x:c r="J90" s="39" t="str">
        <x:v>计算机软件工程技术人员</x:v>
      </x:c>
      <x:c r="K90" s="39" t="str">
        <x:v>在互联网技术行业中，后端开发架构师扮演着至关重要的角色。他们不仅负责设计和优化系统的整体框架，确保软件能够高效稳定地运行，还引领技术团队解决复杂的技术难题，推动技术创新与实践。作为公司技术战略的核心人物之一，后端开发架构师的核心目标在于构建可扩展、高性能的应用程序，提升用户体验的同时降低运维成本，为公司创造长期的竞争优势。此外，该职位需要与产品经理、前端工程…</x:v>
      </x:c>
      <x:c r="L90" s="39" t="str">
        <x:v>1. 负责系统架构的设计与实现，确保系统架构满足业务需求，具备高可用性和扩展性。 2. 对现有系统进行性能分析与优化，定期评估并改进系统架构，以支持业务的快速发展。 3. 指导并培训初级开发人员，分享最佳实践和技术知识，促进团队技术水平的整体提升。 4. 参与关键项目的需求分析及方案评审，提供技术建议，确保项目的顺利实施。 5. 跟踪国内外最新的技术动态，结…</x:v>
      </x:c>
    </x:row>
    <x:row r="91" ht="52" customHeight="1">
      <x:c r="A91" s="42" t="n">
        <x:v>27</x:v>
      </x:c>
      <x:c r="B91" s="39" t="str">
        <x:v>架构师</x:v>
      </x:c>
      <x:c r="C91" s="39" t="str">
        <x:v>可直接合并</x:v>
      </x:c>
      <x:c r="D91" s="39" t="str">
        <x:v>架构师</x:v>
      </x:c>
      <x:c r="E91" s="42" t="n">
        <x:v>80</x:v>
      </x:c>
      <x:c r="F91" s="39" t="str">
        <x:v>IC-L3-231</x:v>
      </x:c>
      <x:c r="G91" s="42" t="n">
        <x:v>231</x:v>
      </x:c>
      <x:c r="H91" s="39" t="str">
        <x:v>互联网技术 &gt; 运维/技术支持 &gt; 架构师</x:v>
      </x:c>
      <x:c r="I91" s="39" t="str">
        <x:v>2-02-10-03</x:v>
      </x:c>
      <x:c r="J91" s="39" t="str">
        <x:v>计算机软件工程技术人员</x:v>
      </x:c>
      <x:c r="K91" s="39" t="str">
        <x:v>架构师是专门从事系统架构设计与优化的专业人员。该职位的核心目标是通过规划可靠的技术架构，确保运维系统的高可用性与可扩展性。在日常工作中，需要进行技术选型评估、架构设计评审、性能瓶颈分析及解决方案制定等工作。</x:v>
      </x:c>
      <x:c r="L91" s="39" t="str">
        <x:v>1. 设计系统架构方案 2. 优化运维技术体系 3. 制定技术规范标准 4. 评估技术选型方案 5. 指导团队技术实施 6. 保障系统高可用性</x:v>
      </x:c>
    </x:row>
    <x:row r="92" ht="52" customHeight="1">
      <x:c r="A92" s="42" t="n">
        <x:v>27</x:v>
      </x:c>
      <x:c r="B92" s="39" t="str">
        <x:v>架构师</x:v>
      </x:c>
      <x:c r="C92" s="39" t="str">
        <x:v>可直接合并</x:v>
      </x:c>
      <x:c r="D92" s="39" t="str">
        <x:v>架构师</x:v>
      </x:c>
      <x:c r="E92" s="42" t="n">
        <x:v>1190</x:v>
      </x:c>
      <x:c r="F92" s="39" t="str">
        <x:v>IC-L3-1341</x:v>
      </x:c>
      <x:c r="G92" s="42" t="n">
        <x:v>1341</x:v>
      </x:c>
      <x:c r="H92" s="39" t="str">
        <x:v>通信/电子 &gt; 硬件开发 &gt; 架构师</x:v>
      </x:c>
      <x:c r="I92" s="39" t="str">
        <x:v>2-02-10-03</x:v>
      </x:c>
      <x:c r="J92" s="39" t="str">
        <x:v>计算机软件工程技术人员</x:v>
      </x:c>
      <x:c r="K92" s="39" t="str">
        <x:v>架构师是专门从事硬件系统设计与架构规划的专业人员。该职位的核心目标是通过设计高效可靠的硬件架构，实现产品性能与成本的最优平衡。在日常工作中，需要进行系统需求分析、架构方案设计、技术选型评估以及跨部门协作等工作。</x:v>
      </x:c>
      <x:c r="L92" s="39" t="str">
        <x:v>1. 设计硬件系统架构 2. 制定技术方案标准 3. 评估选型关键器件 4. 优化电路设计方案 5. 指导团队技术开发 6. 解决复杂技术难题</x:v>
      </x:c>
    </x:row>
    <x:row r="93" ht="52" customHeight="1">
      <x:c r="A93" s="42" t="n">
        <x:v>28</x:v>
      </x:c>
      <x:c r="B93" s="39" t="str">
        <x:v>课程顾问</x:v>
      </x:c>
      <x:c r="C93" s="39" t="str">
        <x:v>可直接合并</x:v>
      </x:c>
      <x:c r="D93" s="39" t="str">
        <x:v>课程顾问</x:v>
      </x:c>
      <x:c r="E93" s="42" t="n">
        <x:v>270</x:v>
      </x:c>
      <x:c r="F93" s="39" t="str">
        <x:v>IC-L3-421</x:v>
      </x:c>
      <x:c r="G93" s="42" t="n">
        <x:v>421</x:v>
      </x:c>
      <x:c r="H93" s="39" t="str">
        <x:v>销售/客服 &gt; 教培销售 &gt; 课程顾问</x:v>
      </x:c>
      <x:c r="I93" s="39" t="str">
        <x:v>2-08-01-01</x:v>
      </x:c>
      <x:c r="J93" s="39" t="str">
        <x:v>普通高等学校教师</x:v>
      </x:c>
      <x:c r="K93" s="39" t="str">
        <x:v>课程顾问在教育培训机构中扮演着至关重要的角色，他们不仅是连接潜在学员与机构之间的桥梁，也是塑造品牌形象的重要一环。通过精准地了解客户需求并提供个性化咨询服务，课程顾问能够有效提升报名率，确保机构业绩增长的同时，增强客户满意度和忠诚度，从而为公司创造长期价值。此外，课程顾问还需与其他部门如教学部、市场部紧密合作，共同优化课程设计与推广策略，为个人职业发展提供广…</x:v>
      </x:c>
      <x:c r="L93" s="39" t="str">
        <x:v>1. 主动接触潜在客户，通过电话、网络或面对面交流等方式，全面了解其学习需求及期望，为其推荐合适的课程方案。 2. 详细介绍机构的教学理念、师资力量、课程特色等信息，解答客户的疑问，消除顾虑，激发兴趣，促成报名决策。 3. 定期跟踪已报名学员的学习进度，收集反馈意见，及时调整服务策略，提高续班率和转介绍率。 4. 分析市场动态，参与制定招生计划，配合营销活动…</x:v>
      </x:c>
    </x:row>
    <x:row r="94" ht="52" customHeight="1">
      <x:c r="A94" s="42" t="n">
        <x:v>28</x:v>
      </x:c>
      <x:c r="B94" s="39" t="str">
        <x:v>课程顾问</x:v>
      </x:c>
      <x:c r="C94" s="39" t="str">
        <x:v>可直接合并</x:v>
      </x:c>
      <x:c r="D94" s="39" t="str">
        <x:v>课程顾问</x:v>
      </x:c>
      <x:c r="E94" s="42" t="n">
        <x:v>799</x:v>
      </x:c>
      <x:c r="F94" s="39" t="str">
        <x:v>IC-L3-950</x:v>
      </x:c>
      <x:c r="G94" s="42" t="n">
        <x:v>950</x:v>
      </x:c>
      <x:c r="H94" s="39" t="str">
        <x:v>生活服务/零售 &gt; 婚庆 &gt; 课程顾问</x:v>
      </x:c>
      <x:c r="I94" s="39" t="str">
        <x:v>2-08-01-01</x:v>
      </x:c>
      <x:c r="J94" s="39" t="str">
        <x:v>普通高等学校教师</x:v>
      </x:c>
      <x:c r="K94" s="39" t="str">
        <x:v>课程顾问是专门从事婚庆教育培训咨询的专业人员。该职位的核心目标是通过专业课程推荐和咨询服务，提升客户婚庆专业技能和业务水平。在日常工作中，需要进行课程介绍、需求分析、学习方案制定以及客户跟进等工作。</x:v>
      </x:c>
      <x:c r="L94" s="39" t="str">
        <x:v>1. 推介婚庆课程产品 2. 解答客户课程咨询 3. 跟进潜在客户需求 4. 完成课程销售目标 5. 记录客户信息档案 6. 收集市场反馈信息</x:v>
      </x:c>
    </x:row>
    <x:row r="95" ht="52" customHeight="1">
      <x:c r="A95" s="42" t="n">
        <x:v>28</x:v>
      </x:c>
      <x:c r="B95" s="39" t="str">
        <x:v>课程顾问</x:v>
      </x:c>
      <x:c r="C95" s="39" t="str">
        <x:v>可直接合并</x:v>
      </x:c>
      <x:c r="D95" s="39" t="str">
        <x:v>课程顾问</x:v>
      </x:c>
      <x:c r="E95" s="42" t="n">
        <x:v>901</x:v>
      </x:c>
      <x:c r="F95" s="39" t="str">
        <x:v>IC-L3-1052</x:v>
      </x:c>
      <x:c r="G95" s="42" t="n">
        <x:v>1052</x:v>
      </x:c>
      <x:c r="H95" s="39" t="str">
        <x:v>科研/教育/培训 &gt; 教育咨询 &gt; 课程顾问</x:v>
      </x:c>
      <x:c r="I95" s="39" t="str">
        <x:v>2-08-01-01</x:v>
      </x:c>
      <x:c r="J95" s="39" t="str">
        <x:v>普通高等学校教师</x:v>
      </x:c>
      <x:c r="K95" s="39" t="str">
        <x:v>课程顾问是科研、教育与培训行业中不可或缺的角色，他们通过专业的教育咨询服务，帮助客户了解并选择最适合自己的课程或学习路径，从而促进个人成长与职业发展。作为教育咨询领域的专家，课程顾问不仅能够洞察市场趋势，还能准确把握学员需求，为公司带来持续增长的客户资源和良好的口碑效应。此外，该职位需要与销售、教学和技术等多个部门紧密合作，共同推动项目的顺利实施；同时，随着…</x:v>
      </x:c>
      <x:c r="L95" s="39" t="str">
        <x:v>1. 通过电话、面谈等方式与潜在客户沟通，了解其学习背景及职业发展目标，为其推荐合适的课程方案。 2. 跟踪记录客户的学习进展，定期收集反馈信息，及时调整辅导计划以确保达到预期效果。 3. 协助组织各类线上线下活动，如讲座、研讨会等，扩大品牌影响力，吸引更多潜在客户的关注。 4. 定期参加内部培训，掌握最新的教育理念和教学方法，不断提高自身专业水平和服务质量…</x:v>
      </x:c>
    </x:row>
    <x:row r="96" ht="52" customHeight="1">
      <x:c r="A96" s="42" t="n">
        <x:v>29</x:v>
      </x:c>
      <x:c r="B96" s="39" t="str">
        <x:v>理财顾问</x:v>
      </x:c>
      <x:c r="C96" s="39" t="str">
        <x:v>条件合并（先修分类）</x:v>
      </x:c>
      <x:c r="D96" s="39" t="str">
        <x:v>理财顾问</x:v>
      </x:c>
      <x:c r="E96" s="42" t="n">
        <x:v>255</x:v>
      </x:c>
      <x:c r="F96" s="39" t="str">
        <x:v>IC-L3-406</x:v>
      </x:c>
      <x:c r="G96" s="42" t="n">
        <x:v>406</x:v>
      </x:c>
      <x:c r="H96" s="39" t="str">
        <x:v>销售/客服 &gt; 金融销售 &gt; 理财顾问</x:v>
      </x:c>
      <x:c r="I96" s="39" t="str">
        <x:v>2-06-11-04</x:v>
      </x:c>
      <x:c r="J96" s="39" t="str">
        <x:v>金融产品销售专业人员</x:v>
      </x:c>
      <x:c r="K96" s="39" t="str">
        <x:v>理财顾问是金融行业中至关重要的角色之一，他们不仅为个人或企业客户提供专业的投资建议，还通过量身定制的理财方案帮助客户实现财富增值。作为连接金融机构与客户之间的桥梁，理财顾问在提升客户满意度、促进公司业务增长方面发挥着不可替代的作用。理财顾问的核心目标在于深入了解客户的财务状况及投资偏好，提供符合其风险承受能力和收益预期的投资组合建议，同时持续跟踪市场动态，确…</x:v>
      </x:c>
      <x:c r="L96" s="39" t="str">
        <x:v>1. 通过面谈、电话等方式与潜在客户建立联系，了解客户需求，评估客户的风险承受能力，推荐合适的投资理财产品。 2. 定期组织客户活动，维护现有客户关系，积极拓展新客户群体，确保年度销售目标的达成。 3. 及时掌握金融市场最新资讯，分析宏观经济形势对投资环境的影响，为客户提供准确的市场预测和投资建议。 4. 协助解决客户在投资过程中遇到的问题，提供专业的售后支…</x:v>
      </x:c>
    </x:row>
    <x:row r="97" ht="52" customHeight="1">
      <x:c r="A97" s="42" t="n">
        <x:v>29</x:v>
      </x:c>
      <x:c r="B97" s="39" t="str">
        <x:v>理财顾问</x:v>
      </x:c>
      <x:c r="C97" s="39" t="str">
        <x:v>条件合并（先修分类）</x:v>
      </x:c>
      <x:c r="D97" s="39" t="str">
        <x:v>理财顾问</x:v>
      </x:c>
      <x:c r="E97" s="42" t="n">
        <x:v>1260</x:v>
      </x:c>
      <x:c r="F97" s="39" t="str">
        <x:v>IC-L3-1411</x:v>
      </x:c>
      <x:c r="G97" s="42" t="n">
        <x:v>1411</x:v>
      </x:c>
      <x:c r="H97" s="39" t="str">
        <x:v>金融 &gt; 保险 &gt; 理财顾问</x:v>
      </x:c>
      <x:c r="I97" s="39" t="str">
        <x:v>2-06-10-01</x:v>
      </x:c>
      <x:c r="J97" s="39" t="str">
        <x:v>精算专业人员</x:v>
      </x:c>
      <x:c r="K97" s="39" t="str">
        <x:v>理财顾问是保险行业中不可或缺的角色，他们不仅帮助客户实现财富的增长与保护，还通过提供专业的财务规划服务，增强客户的财务安全感。作为保险公司与客户之间的桥梁，理财顾问的核心目标在于深入了解客户需求，为其量身定制合适的保险产品组合，以达到资产增值、风险管理和遗产规划等多重目的，从而提升公司品牌形象及市场竞争力。此外，理财顾问还需与销售、客服和技术支持等多个部门紧…</x:v>
      </x:c>
      <x:c r="L97" s="39" t="str">
        <x:v>1. 通过面谈、电话沟通等方式，收集并分析客户的财务状况、投资偏好及未来规划，为其提供个性化的理财建议。 2. 根据客户需求推荐合适的保险产品和服务方案，协助客户完成投保流程，确保所有文件准确无误。 3. 定期回访客户，跟踪其财务变化情况，适时调整投资策略，保证客户利益最大化。 4. 参与公司组织的专业培训，持续学习最新的金融市场动态及法律法规知识，提高自身…</x:v>
      </x:c>
    </x:row>
    <x:row r="98" ht="52" customHeight="1">
      <x:c r="A98" s="42" t="n">
        <x:v>29</x:v>
      </x:c>
      <x:c r="B98" s="39" t="str">
        <x:v>理财顾问</x:v>
      </x:c>
      <x:c r="C98" s="39" t="str">
        <x:v>条件合并（先修分类）</x:v>
      </x:c>
      <x:c r="D98" s="39" t="str">
        <x:v>理财顾问</x:v>
      </x:c>
      <x:c r="E98" s="42" t="n">
        <x:v>1292</x:v>
      </x:c>
      <x:c r="F98" s="39" t="str">
        <x:v>IC-L3-1443</x:v>
      </x:c>
      <x:c r="G98" s="42" t="n">
        <x:v>1443</x:v>
      </x:c>
      <x:c r="H98" s="39" t="str">
        <x:v>金融 &gt; 金融 &gt; 理财顾问</x:v>
      </x:c>
      <x:c r="I98" s="39" t="str">
        <x:v>2-06-11-02</x:v>
      </x:c>
      <x:c r="J98" s="39" t="str">
        <x:v>证券交易专业人员</x:v>
      </x:c>
      <x:c r="K98" s="39" t="str">
        <x:v>理财顾问是金融行业中不可或缺的专业角色，他们通过提供专业的财务建议帮助客户实现财富增长和个人财务目标。在日益复杂的金融市场中，理财顾问不仅为客户量身定制投资策略，还肩负着教育投资者正确理解市场动态的责任，从而增强其财务安全感和满意度。 理财顾问的核心目标在于深入了解每位客户的财务状况、风险承受能力和长期目标，据此制定个性化的投资计划。这不仅有助于提升客户的资…</x:v>
      </x:c>
      <x:c r="L98" s="39" t="str">
        <x:v>1. 与客户进行深入沟通，全面了解其财务需求、目标及偏好，为其提供专业的理财规划建议。 2. 定期分析市场趋势，评估现有投资组合的表现，及时调整策略以适应变化的经济环境。 3. 协助客户完成各类金融产品的选择与配置，确保符合其风险承受水平和收益预期。 4. 组织并参与各类客户活动，如讲座、研讨会等，提高客户对公司服务的认知度和满意度。 5. 不断学习最新的财…</x:v>
      </x:c>
    </x:row>
    <x:row r="99" ht="52" customHeight="1">
      <x:c r="A99" s="42" t="n">
        <x:v>30</x:v>
      </x:c>
      <x:c r="B99" s="39" t="str">
        <x:v>临床协调员</x:v>
      </x:c>
      <x:c r="C99" s="39" t="str">
        <x:v>条件合并（先修分类）</x:v>
      </x:c>
      <x:c r="D99" s="39" t="str">
        <x:v>临床协调员</x:v>
      </x:c>
      <x:c r="E99" s="42" t="n">
        <x:v>157</x:v>
      </x:c>
      <x:c r="F99" s="39" t="str">
        <x:v>IC-L3-308</x:v>
      </x:c>
      <x:c r="G99" s="42" t="n">
        <x:v>308</x:v>
      </x:c>
      <x:c r="H99" s="39" t="str">
        <x:v>医药/医疗 &gt; 临床试验 &gt; 临床协调员</x:v>
      </x:c>
      <x:c r="I99" s="39" t="str">
        <x:v>2-05-07-01</x:v>
      </x:c>
      <x:c r="J99" s="39" t="str">
        <x:v>影像技师</x:v>
      </x:c>
      <x:c r="K99" s="39" t="str">
        <x:v>临床协调员是医药/医疗行业中不可或缺的专业角色，主要负责确保临床试验的顺利进行。这一职位不仅直接关系到新药或治疗方法的安全性和有效性评估，而且对于加快产品上市速度、提高患者护理质量具有重要意义。 该职位的核心目标在于确保所有临床试验活动均符合国际标准和法规要求，同时保证数据的真实性和完整性。通过高效的项目管理和协调能力，临床协调员能够帮助公司优化资源分配，减…</x:v>
      </x:c>
      <x:c r="L99" s="39" t="str">
        <x:v>1. 负责制定详细的临床试验计划，包括时间表、预算和资源配置，确保项目按时按质完成。 2. 协调内外部资源，组织并参与临床试验启动会、监查访问及关闭会议，保障试验流程的顺利执行。 3. 监控临床试验过程中的各项指标，定期向管理层汇报进展情况，提出改进建议以提高效率。 4. 与研究者、伦理委员会等关键利益相关者保持良好沟通，处理试验过程中遇到的各种问题。 5.…</x:v>
      </x:c>
    </x:row>
    <x:row r="100" ht="52" customHeight="1">
      <x:c r="A100" s="42" t="n">
        <x:v>30</x:v>
      </x:c>
      <x:c r="B100" s="39" t="str">
        <x:v>临床协调员</x:v>
      </x:c>
      <x:c r="C100" s="39" t="str">
        <x:v>条件合并（先修分类）</x:v>
      </x:c>
      <x:c r="D100" s="39" t="str">
        <x:v>临床协调员</x:v>
      </x:c>
      <x:c r="E100" s="42" t="n">
        <x:v>190</x:v>
      </x:c>
      <x:c r="F100" s="39" t="str">
        <x:v>IC-L3-341</x:v>
      </x:c>
      <x:c r="G100" s="42" t="n">
        <x:v>341</x:v>
      </x:c>
      <x:c r="H100" s="39" t="str">
        <x:v>医药/医疗 &gt; 医生/医技 &gt; 临床协调员</x:v>
      </x:c>
      <x:c r="I100" s="39" t="str">
        <x:v>2-05-01-19</x:v>
      </x:c>
      <x:c r="J100" s="39" t="str">
        <x:v>全科医师</x:v>
      </x:c>
      <x:c r="K100" s="39" t="str">
        <x:v>临床协调员是专门从事临床研究协调与管理的专业人员。该职位的核心目标是通过协调临床试验各方资源，确保研究项目高效合规推进。在日常工作中，需要进行研究方案执行监督、受试者招募与管理、数据收集与质量控制、以及相关文档整理等工作。</x:v>
      </x:c>
      <x:c r="L100" s="39" t="str">
        <x:v>1. 协调临床试验流程 2. 管理受试者档案 3. 跟踪研究数据收集 4. 协助医生执行方案 5. 确保合规性监督 6. 组织协调相关会议</x:v>
      </x:c>
    </x:row>
    <x:row r="101" ht="52" customHeight="1">
      <x:c r="A101" s="42" t="n">
        <x:v>30</x:v>
      </x:c>
      <x:c r="B101" s="39" t="str">
        <x:v>临床协调员</x:v>
      </x:c>
      <x:c r="C101" s="39" t="str">
        <x:v>条件合并（先修分类）</x:v>
      </x:c>
      <x:c r="D101" s="39" t="str">
        <x:v>临床协调员</x:v>
      </x:c>
      <x:c r="E101" s="42" t="n">
        <x:v>250</x:v>
      </x:c>
      <x:c r="F101" s="39" t="str">
        <x:v>IC-L3-401</x:v>
      </x:c>
      <x:c r="G101" s="42" t="n">
        <x:v>401</x:v>
      </x:c>
      <x:c r="H101" s="39" t="str">
        <x:v>医药/医疗 &gt; 生物制药 &gt; 临床协调员</x:v>
      </x:c>
      <x:c r="I101" s="39" t="str">
        <x:v>2-05-07-01</x:v>
      </x:c>
      <x:c r="J101" s="39" t="str">
        <x:v>影像技师</x:v>
      </x:c>
      <x:c r="K101" s="39" t="str">
        <x:v>临床协调员是专门从事临床试验项目管理的专业人员。该职位的核心目标是通过高效协调各环节资源，确保临床试验符合GCP规范及项目时间表。在日常工作中，需要进行研究中心筛选与启动、受试者招募管理、数据收集协调及监查访视准备等工作。</x:v>
      </x:c>
      <x:c r="L101" s="39" t="str">
        <x:v>1. 协调临床试验流程 2. 监督研究方案执行 3. 管理临床数据收集 4. 确保合规操作规范 5. 联系医院研究人员 6. 跟踪试验进度报告</x:v>
      </x:c>
    </x:row>
    <x:row r="102" ht="52" customHeight="1">
      <x:c r="A102" s="42" t="n">
        <x:v>31</x:v>
      </x:c>
      <x:c r="B102" s="39" t="str">
        <x:v>留学顾问</x:v>
      </x:c>
      <x:c r="C102" s="39" t="str">
        <x:v>可直接合并</x:v>
      </x:c>
      <x:c r="D102" s="39" t="str">
        <x:v>留学顾问</x:v>
      </x:c>
      <x:c r="E102" s="42" t="n">
        <x:v>269</x:v>
      </x:c>
      <x:c r="F102" s="39" t="str">
        <x:v>IC-L3-420</x:v>
      </x:c>
      <x:c r="G102" s="42" t="n">
        <x:v>420</x:v>
      </x:c>
      <x:c r="H102" s="39" t="str">
        <x:v>销售/客服 &gt; 教培销售 &gt; 留学顾问</x:v>
      </x:c>
      <x:c r="I102" s="39" t="str">
        <x:v>2-08-01-01</x:v>
      </x:c>
      <x:c r="J102" s="39" t="str">
        <x:v>普通高等学校教师</x:v>
      </x:c>
      <x:c r="K102" s="39" t="str">
        <x:v>留学顾问是教育行业中至关重要的一环，尤其在国际教育领域扮演着举足轻重的角色。作为连接学生与海外教育资源的桥梁，他们不仅帮助学生实现留学梦想，还能够促进教育机构的品牌建设和市场拓展。留学顾问通过深入了解每位客户的需求，提供个性化咨询方案，旨在帮助学生选择最合适的留学项目和学校，同时协助处理申请过程中的各种问题，确保整个流程顺畅无阻。在日常工作中，留学顾问需要与…</x:v>
      </x:c>
      <x:c r="L102" s="39" t="str">
        <x:v>留学顾问的主要职责包括：为学生提供留学规划咨询服务，包括选校、专业选择、申请材料准备等；协助学生完成留学申请流程，包括推荐信撰写、面试辅导等；跟踪学生申请进度，提供必要的支持和指导；为学生提供签证申请指导，协助解决申请过程中遇到的问题；定期与学生沟通，了解需求变化，提供持续的个性化服务；收集和整理留学相关信息，为学生提供最新的留学资讯。</x:v>
      </x:c>
    </x:row>
    <x:row r="103" ht="52" customHeight="1">
      <x:c r="A103" s="42" t="n">
        <x:v>31</x:v>
      </x:c>
      <x:c r="B103" s="39" t="str">
        <x:v>留学顾问</x:v>
      </x:c>
      <x:c r="C103" s="39" t="str">
        <x:v>可直接合并</x:v>
      </x:c>
      <x:c r="D103" s="39" t="str">
        <x:v>留学顾问</x:v>
      </x:c>
      <x:c r="E103" s="42" t="n">
        <x:v>800</x:v>
      </x:c>
      <x:c r="F103" s="39" t="str">
        <x:v>IC-L3-951</x:v>
      </x:c>
      <x:c r="G103" s="42" t="n">
        <x:v>951</x:v>
      </x:c>
      <x:c r="H103" s="39" t="str">
        <x:v>生活服务/零售 &gt; 婚庆 &gt; 留学顾问</x:v>
      </x:c>
      <x:c r="I103" s="39" t="str">
        <x:v>2-08-01-01</x:v>
      </x:c>
      <x:c r="J103" s="39" t="str">
        <x:v>普通高等学校教师</x:v>
      </x:c>
      <x:c r="K103" s="39" t="str">
        <x:v>留学顾问是专门为婚庆行业客户提供海外婚礼及蜜月留学方案的专业人员。该职位的核心目标是通过专业咨询和定制服务，帮助客户实现理想的海外婚礼体验。在日常工作中，需要进行目的地调研、签证流程指导、当地资源对接以及全程服务跟进等工作。</x:v>
      </x:c>
      <x:c r="L103" s="39" t="str">
        <x:v>1. 提供留学婚庆咨询 2. 设计特色婚庆方案 3. 对接海外婚庆资源 4. 协调跨国婚庆流程 5. 处理签证相关事务 6. 维护客户留学档案</x:v>
      </x:c>
    </x:row>
    <x:row r="104" ht="52" customHeight="1">
      <x:c r="A104" s="42" t="n">
        <x:v>31</x:v>
      </x:c>
      <x:c r="B104" s="39" t="str">
        <x:v>留学顾问</x:v>
      </x:c>
      <x:c r="C104" s="39" t="str">
        <x:v>可直接合并</x:v>
      </x:c>
      <x:c r="D104" s="39" t="str">
        <x:v>留学顾问</x:v>
      </x:c>
      <x:c r="E104" s="42" t="n">
        <x:v>900</x:v>
      </x:c>
      <x:c r="F104" s="39" t="str">
        <x:v>IC-L3-1051</x:v>
      </x:c>
      <x:c r="G104" s="42" t="n">
        <x:v>1051</x:v>
      </x:c>
      <x:c r="H104" s="39" t="str">
        <x:v>科研/教育/培训 &gt; 教育咨询 &gt; 留学顾问</x:v>
      </x:c>
      <x:c r="I104" s="39" t="str">
        <x:v>2-08-01-01</x:v>
      </x:c>
      <x:c r="J104" s="39" t="str">
        <x:v>普通高等学校教师</x:v>
      </x:c>
      <x:c r="K104" s="39" t="str">
        <x:v>**岗位简介** 留学顾问是科研、教育与培训行业中不可或缺的角色之一，他们不仅为有意向出国深造的学生提供专业的指导和支持，还架起了学生与海外教育资源之间的桥梁。通过深入了解学生的背景、兴趣及职业规划，留学顾问能够帮助学生选择最适合自己的留学项目，从而实现个人成长与发展目标的最大化。此外，留学顾问的专业服务对于提升机构的品牌形象和市场竞争力也具有重要作用，他们…</x:v>
      </x:c>
      <x:c r="L104" s="39" t="str">
        <x:v>留学顾问的主要职责包括：为学生提供留学规划咨询服务，包括选校、专业选择、申请材料准备等；协助学生完成留学申请流程，包括推荐信撰写、面试辅导等；跟踪学生申请进度，提供必要的支持和指导；为学生提供签证申请指导，协助解决申请过程中遇到的问题；定期与学生沟通，了解需求变化，提供持续的个性化服务；收集和整理留学相关信息，为学生提供最新的留学资讯。</x:v>
      </x:c>
    </x:row>
    <x:row r="105" ht="52" customHeight="1">
      <x:c r="A105" s="42" t="n">
        <x:v>32</x:v>
      </x:c>
      <x:c r="B105" s="39" t="str">
        <x:v>模具设计</x:v>
      </x:c>
      <x:c r="C105" s="39" t="str">
        <x:v>条件合并（先修分类）</x:v>
      </x:c>
      <x:c r="D105" s="39" t="str">
        <x:v>模具设计</x:v>
      </x:c>
      <x:c r="E105" s="42" t="n">
        <x:v>646</x:v>
      </x:c>
      <x:c r="F105" s="39" t="str">
        <x:v>IC-L3-797</x:v>
      </x:c>
      <x:c r="G105" s="42" t="n">
        <x:v>797</x:v>
      </x:c>
      <x:c r="H105" s="39" t="str">
        <x:v>生产制造 &gt; 工程/机械 &gt; 模具设计</x:v>
      </x:c>
      <x:c r="I105" s="39" t="str">
        <x:v>2-02-07-01</x:v>
      </x:c>
      <x:c r="J105" s="39" t="str">
        <x:v>机械设计工程技术人员</x:v>
      </x:c>
      <x:c r="K105" s="39" t="str">
        <x:v>模具设计师是生产制造行业中不可或缺的专业人才，尤其在工程与机械领域中扮演着至关重要的角色。他们负责开发和优化用于制造产品的模具，确保产品能够高效、高质量地生产出来。通过精确的设计方案，模具设计师不仅能够提高生产效率，降低成本，还能保证最终产品的性能和外观符合客户要求，从而为企业创造更多商业价值。此外，模具设计师需要与其他部门如研发、采购及生产密切合作，共同解…</x:v>
      </x:c>
      <x:c r="L105" s="39" t="str">
        <x:v>1. 根据产品图纸和技术规范，运用CAD/CAM软件进行模具结构设计，确保设计合理、加工方便并满足使用需求。 2. 与项目团队沟通交流，参与产品开发流程，提供专业意见以优化设计方案，缩短生产周期。 3. 对现有模具进行维护保养，定期检查其运行状态，及时发现并排除故障，保障生产线正常运转。 4. 跟踪模具试制过程，收集反馈信息，不断改进设计细节，提升模具使用寿…</x:v>
      </x:c>
    </x:row>
    <x:row r="106" ht="52" customHeight="1">
      <x:c r="A106" s="42" t="n">
        <x:v>32</x:v>
      </x:c>
      <x:c r="B106" s="39" t="str">
        <x:v>模具设计</x:v>
      </x:c>
      <x:c r="C106" s="39" t="str">
        <x:v>条件合并（先修分类）</x:v>
      </x:c>
      <x:c r="D106" s="39" t="str">
        <x:v>模具设计</x:v>
      </x:c>
      <x:c r="E106" s="42" t="n">
        <x:v>980</x:v>
      </x:c>
      <x:c r="F106" s="39" t="str">
        <x:v>IC-L3-1131</x:v>
      </x:c>
      <x:c r="G106" s="42" t="n">
        <x:v>1131</x:v>
      </x:c>
      <x:c r="H106" s="39" t="str">
        <x:v>设计 &gt; 工业设计 &gt; 模具设计</x:v>
      </x:c>
      <x:c r="I106" s="39" t="str">
        <x:v>2-09-06-01</x:v>
      </x:c>
      <x:c r="J106" s="39" t="str">
        <x:v>视觉传达设计人员</x:v>
      </x:c>
      <x:c r="K106" s="39" t="str">
        <x:v>模具设计是专门从事工业产品成型模具开发的专业人员。该职位的核心目标是通过设计高效、精准的模具方案，实现产品量产的质量与成本优化。在日常工作中，需要进行三维建模、结构分析、公差配合计算及模具调试等工作。</x:v>
      </x:c>
      <x:c r="L106" s="39" t="str">
        <x:v>1. 设计模具结构方案 2. 绘制模具三维图纸 3. 优化模具生产工艺 4. 核算模具制造成本 5. 解决模具技术问题 6. 跟进模具试模过程</x:v>
      </x:c>
    </x:row>
    <x:row r="107" ht="52" customHeight="1">
      <x:c r="A107" s="42" t="n">
        <x:v>32</x:v>
      </x:c>
      <x:c r="B107" s="39" t="str">
        <x:v>模具设计</x:v>
      </x:c>
      <x:c r="C107" s="39" t="str">
        <x:v>条件合并（先修分类）</x:v>
      </x:c>
      <x:c r="D107" s="39" t="str">
        <x:v>模具设计</x:v>
      </x:c>
      <x:c r="E107" s="42" t="n">
        <x:v>1185</x:v>
      </x:c>
      <x:c r="F107" s="39" t="str">
        <x:v>IC-L3-1336</x:v>
      </x:c>
      <x:c r="G107" s="42" t="n">
        <x:v>1336</x:v>
      </x:c>
      <x:c r="H107" s="39" t="str">
        <x:v>通信/电子 &gt; 硬件开发 &gt; 模具设计</x:v>
      </x:c>
      <x:c r="I107" s="39" t="str">
        <x:v>2-02-09-02</x:v>
      </x:c>
      <x:c r="J107" s="39" t="str">
        <x:v>电子元器件工程技术人员</x:v>
      </x:c>
      <x:c r="K107" s="39" t="str">
        <x:v>模具设计是专门从事工业模具开发与优化的专业人员。该职位的核心目标是通过精密模具设计，确保硬件产品的高效生产和质量达标。在日常工作中，需要进行3D建模、结构分析、公差配合计算及模具调试等工作。</x:v>
      </x:c>
      <x:c r="L107" s="39" t="str">
        <x:v>1. 设计模具结构方案 2. 绘制三维模具图纸 3. 优化模具生产工艺 4. 测试模具性能参数 5. 解决生产质量问题 6. 维护模具技术文档</x:v>
      </x:c>
    </x:row>
    <x:row r="108" ht="52" customHeight="1">
      <x:c r="A108" s="42" t="n">
        <x:v>33</x:v>
      </x:c>
      <x:c r="B108" s="39" t="str">
        <x:v>培训讲师</x:v>
      </x:c>
      <x:c r="C108" s="39" t="str">
        <x:v>可直接合并</x:v>
      </x:c>
      <x:c r="D108" s="39" t="str">
        <x:v>培训讲师</x:v>
      </x:c>
      <x:c r="E108" s="42" t="n">
        <x:v>829</x:v>
      </x:c>
      <x:c r="F108" s="39" t="str">
        <x:v>IC-L3-980</x:v>
      </x:c>
      <x:c r="G108" s="42" t="n">
        <x:v>980</x:v>
      </x:c>
      <x:c r="H108" s="39" t="str">
        <x:v>生活服务/零售 &gt; 服务员 &gt; 培训讲师</x:v>
      </x:c>
      <x:c r="I108" s="39" t="str">
        <x:v>4-07-03-05</x:v>
      </x:c>
      <x:c r="J108" s="39" t="str">
        <x:v>职业培训师</x:v>
      </x:c>
      <x:c r="K108" s="39" t="str">
        <x:v>培训讲师是专门从事服务行业员工培训与发展的专业人员。该职位的核心目标是通过系统化的培训课程，提升服务员的专业技能与服务水平。在日常工作中，需要进行培训需求分析、课程设计与开发、培训实施及效果评估等工作。</x:v>
      </x:c>
      <x:c r="L108" s="39" t="str">
        <x:v>1. 设计服务培训课程 2. 组织服务员技能培训 3. 评估培训效果反馈 4. 更新餐饮服务标准 5. 指导实操服务流程 6. 培养团队服务意识</x:v>
      </x:c>
    </x:row>
    <x:row r="109" ht="52" customHeight="1">
      <x:c r="A109" s="42" t="n">
        <x:v>33</x:v>
      </x:c>
      <x:c r="B109" s="39" t="str">
        <x:v>培训讲师</x:v>
      </x:c>
      <x:c r="C109" s="39" t="str">
        <x:v>可直接合并</x:v>
      </x:c>
      <x:c r="D109" s="39" t="str">
        <x:v>培训讲师</x:v>
      </x:c>
      <x:c r="E109" s="42" t="n">
        <x:v>895</x:v>
      </x:c>
      <x:c r="F109" s="39" t="str">
        <x:v>IC-L3-1046</x:v>
      </x:c>
      <x:c r="G109" s="42" t="n">
        <x:v>1046</x:v>
      </x:c>
      <x:c r="H109" s="39" t="str">
        <x:v>科研/教育/培训 &gt; 教师 &gt; 培训讲师</x:v>
      </x:c>
      <x:c r="I109" s="39" t="str">
        <x:v>4-07-03-05</x:v>
      </x:c>
      <x:c r="J109" s="39" t="str">
        <x:v>职业培训师</x:v>
      </x:c>
      <x:c r="K109" s="39" t="str">
        <x:v>培训讲师是专门从事教师培训与发展的专业人员。该职位的核心目标是通过设计并实施高质量的培训课程，提升教师队伍的专业能力和教学水平。在日常工作中，需要进行需求分析、课程开发、教学实施及培训效果评估等工作。</x:v>
      </x:c>
      <x:c r="L109" s="39" t="str">
        <x:v>1. 设计培训课程体系 2. 开发专业培训教材 3. 实施课堂教学活动 4. 评估学员学习效果 5. 改进教学方法内容 6. 维护教学设备资源</x:v>
      </x:c>
    </x:row>
    <x:row r="110" ht="52" customHeight="1">
      <x:c r="A110" s="42" t="n">
        <x:v>33</x:v>
      </x:c>
      <x:c r="B110" s="39" t="str">
        <x:v>培训讲师</x:v>
      </x:c>
      <x:c r="C110" s="39" t="str">
        <x:v>可直接合并</x:v>
      </x:c>
      <x:c r="D110" s="39" t="str">
        <x:v>培训讲师</x:v>
      </x:c>
      <x:c r="E110" s="42" t="n">
        <x:v>911</x:v>
      </x:c>
      <x:c r="F110" s="39" t="str">
        <x:v>IC-L3-1062</x:v>
      </x:c>
      <x:c r="G110" s="42" t="n">
        <x:v>1062</x:v>
      </x:c>
      <x:c r="H110" s="39" t="str">
        <x:v>科研/教育/培训 &gt; 特长教育/培训 &gt; 培训讲师</x:v>
      </x:c>
      <x:c r="I110" s="39" t="str">
        <x:v>4-07-03-05</x:v>
      </x:c>
      <x:c r="J110" s="39" t="str">
        <x:v>职业培训师</x:v>
      </x:c>
      <x:c r="K110" s="39" t="str">
        <x:v>培训讲师是科研/教育/培训行业中不可或缺的角色之一，特别是在特长教育领域。他们不仅是知识的传播者，更是学生潜能的挖掘者和引导者，对于激发学生的兴趣、培养其专长具有重要作用。通过制定并实施有效的教学计划，培训讲师能够帮助学生掌握特定技能或知识体系，促进其个人成长与学业进步，同时为企业树立良好的品牌形象，吸引更多的潜在客户。此外，培训讲师还经常与其他教师、课程开…</x:v>
      </x:c>
      <x:c r="L110" s="39" t="str">
        <x:v>1. 设计和开发针对不同年龄段和能力水平学生的特长教育培训课程，确保课程内容科学合理、富有吸引力。 2. 采用多样化的教学方法和手段进行授课，如互动式学习、案例分析等，以提高课堂效率和学生参与度。 3. 定期评估学生的学习成果，提供个性化的指导建议，帮助学生克服困难，达成学习目标。 4. 积极参加部门内部组织的专业发展活动，不断提升自身业务能力和教学水平。 …</x:v>
      </x:c>
    </x:row>
    <x:row r="111" ht="52" customHeight="1">
      <x:c r="A111" s="42" t="n">
        <x:v>34</x:v>
      </x:c>
      <x:c r="B111" s="39" t="str">
        <x:v>品类运营</x:v>
      </x:c>
      <x:c r="C111" s="39" t="str">
        <x:v>可直接合并</x:v>
      </x:c>
      <x:c r="D111" s="39" t="str">
        <x:v>品类运营</x:v>
      </x:c>
      <x:c r="E111" s="42" t="n">
        <x:v>1094</x:v>
      </x:c>
      <x:c r="F111" s="39" t="str">
        <x:v>IC-L3-1245</x:v>
      </x:c>
      <x:c r="G111" s="42" t="n">
        <x:v>1245</x:v>
      </x:c>
      <x:c r="H111" s="39" t="str">
        <x:v>运营 &gt; 业务运营 &gt; 品类运营</x:v>
      </x:c>
      <x:c r="I111" s="39" t="str">
        <x:v>4-01-02-03</x:v>
      </x:c>
      <x:c r="J111" s="39" t="str">
        <x:v>商品营业员</x:v>
      </x:c>
      <x:c r="K111" s="39" t="str">
        <x:v>品类运营是专门从事商品品类规划与管理的专业人员。该职位的核心目标是通过优化品类结构及运营策略，实现销售增长与利润提升。在日常工作中，需要进行市场分析、品类规划、竞品监测、促销策划及销售数据复盘等工作。</x:v>
      </x:c>
      <x:c r="L111" s="39" t="str">
        <x:v>1. 制定品类运营策略 2. 分析市场销售数据 3. 优化商品结构布局 4. 跟进供应商合作 5. 策划促销活动方案 6. 监控品类经营指标</x:v>
      </x:c>
    </x:row>
    <x:row r="112" ht="52" customHeight="1">
      <x:c r="A112" s="42" t="n">
        <x:v>34</x:v>
      </x:c>
      <x:c r="B112" s="39" t="str">
        <x:v>品类运营</x:v>
      </x:c>
      <x:c r="C112" s="39" t="str">
        <x:v>可直接合并</x:v>
      </x:c>
      <x:c r="D112" s="39" t="str">
        <x:v>品类运营</x:v>
      </x:c>
      <x:c r="E112" s="42" t="n">
        <x:v>1103</x:v>
      </x:c>
      <x:c r="F112" s="39" t="str">
        <x:v>IC-L3-1254</x:v>
      </x:c>
      <x:c r="G112" s="42" t="n">
        <x:v>1254</x:v>
      </x:c>
      <x:c r="H112" s="39" t="str">
        <x:v>运营 &gt; 电商运营 &gt; 品类运营</x:v>
      </x:c>
      <x:c r="I112" s="39" t="str">
        <x:v>4-01-02-03</x:v>
      </x:c>
      <x:c r="J112" s="39" t="str">
        <x:v>商品营业员</x:v>
      </x:c>
      <x:c r="K112" s="39" t="str">
        <x:v>品类运营是电商运营领域中一个至关重要的角色，它不仅直接影响着平台的商品结构与用户体验，还关系到商家的销售业绩与品牌形象。通过深入分析市场趋势及用户需求，品类运营人员能够制定出有效的商品分类策略，优化库存管理，确保所负责类目的商品质量与丰富度，从而提高用户满意度和复购率，推动公司业绩持续增长。此外，品类运营还需要与采购、营销、客服等多个部门紧密合作，共同促进业…</x:v>
      </x:c>
      <x:c r="L112" s="39" t="str">
        <x:v>1. 负责指定品类的商品规划与管理，包括但不限于新品引进、价格策略调整等，以提升销售额和市场份额为目标。 2. 定期进行市场调研，收集并分析竞品数据，及时调整运营策略，确保所负责品类的竞争优势。 3. 与供应商建立良好的合作关系，协调解决商品供应过程中遇到的问题，保证供应链稳定高效运行。 4. 监控品类销售情况，定期向管理层汇报业绩表现，提出改进建议，协助制…</x:v>
      </x:c>
    </x:row>
    <x:row r="113" ht="52" customHeight="1">
      <x:c r="A113" s="42" t="n">
        <x:v>34</x:v>
      </x:c>
      <x:c r="B113" s="39" t="str">
        <x:v>品类运营</x:v>
      </x:c>
      <x:c r="C113" s="39" t="str">
        <x:v>可直接合并</x:v>
      </x:c>
      <x:c r="D113" s="39" t="str">
        <x:v>品类运营</x:v>
      </x:c>
      <x:c r="E113" s="42" t="n">
        <x:v>1179</x:v>
      </x:c>
      <x:c r="F113" s="39" t="str">
        <x:v>IC-L3-1330</x:v>
      </x:c>
      <x:c r="G113" s="42" t="n">
        <x:v>1330</x:v>
      </x:c>
      <x:c r="H113" s="39" t="str">
        <x:v>通信/电子 &gt; 电子/电器/仪器仪表 &gt; 品类运营</x:v>
      </x:c>
      <x:c r="I113" s="39" t="str">
        <x:v>4-01-02-03</x:v>
      </x:c>
      <x:c r="J113" s="39" t="str">
        <x:v>商品营业员</x:v>
      </x:c>
      <x:c r="K113" s="39" t="str">
        <x:v>品类运营是专门从事电子产品品类规划与管理的专业人员。该职位的核心目标是通过优化产品结构及运营策略，实现品类销售增长与市场份额提升。在日常工作中，需要进行市场调研分析、竞品监控、品类生命周期管理以及促销活动策划等工作。</x:v>
      </x:c>
      <x:c r="L113" s="39" t="str">
        <x:v>1. 制定品类运营策略 2. 分析市场销售数据 3. 优化产品结构布局 4. 监控竞品动态变化 5. 协调供应链资源 6. 提升品类销售业绩</x:v>
      </x:c>
    </x:row>
    <x:row r="114" ht="52" customHeight="1">
      <x:c r="A114" s="42" t="n">
        <x:v>35</x:v>
      </x:c>
      <x:c r="B114" s="39" t="str">
        <x:v>汽车电子工程师</x:v>
      </x:c>
      <x:c r="C114" s="39" t="str">
        <x:v>可直接合并</x:v>
      </x:c>
      <x:c r="D114" s="39" t="str">
        <x:v>汽车电子工程师</x:v>
      </x:c>
      <x:c r="E114" s="42" t="n">
        <x:v>569</x:v>
      </x:c>
      <x:c r="F114" s="39" t="str">
        <x:v>IC-L3-720</x:v>
      </x:c>
      <x:c r="G114" s="42" t="n">
        <x:v>720</x:v>
      </x:c>
      <x:c r="H114" s="39" t="str">
        <x:v>汽车 &gt; 汽车制造 &gt; 汽车电子工程师</x:v>
      </x:c>
      <x:c r="I114" s="39" t="str">
        <x:v>2-02-09-02</x:v>
      </x:c>
      <x:c r="J114" s="39" t="str">
        <x:v>电子元器件工程技术人员</x:v>
      </x:c>
      <x:c r="K114" s="39" t="str">
        <x:v>汽车电子工程师是专门从事汽车电子系统研发与设计的专业人员。该职位的核心目标是通过开发创新电子解决方案，提升车辆性能与智能化水平。在日常工作中，需要进行ECU软件开发、车载网络系统设计、电子零部件测试验证等工作。</x:v>
      </x:c>
      <x:c r="L114" s="39" t="str">
        <x:v>1. 设计汽车电子系统 2. 开发车载控制软件 3. 测试电子元件性能 4. 解决技术故障问题 5. 优化电气线路布局 6. 跟进新技术研发</x:v>
      </x:c>
    </x:row>
    <x:row r="115" ht="52" customHeight="1">
      <x:c r="A115" s="42" t="n">
        <x:v>35</x:v>
      </x:c>
      <x:c r="B115" s="39" t="str">
        <x:v>汽车电子工程师</x:v>
      </x:c>
      <x:c r="C115" s="39" t="str">
        <x:v>可直接合并</x:v>
      </x:c>
      <x:c r="D115" s="39" t="str">
        <x:v>汽车电子工程师</x:v>
      </x:c>
      <x:c r="E115" s="42" t="n">
        <x:v>586</x:v>
      </x:c>
      <x:c r="F115" s="39" t="str">
        <x:v>IC-L3-737</x:v>
      </x:c>
      <x:c r="G115" s="42" t="n">
        <x:v>737</x:v>
      </x:c>
      <x:c r="H115" s="39" t="str">
        <x:v>汽车 &gt; 汽车研发设计 &gt; 汽车电子工程师</x:v>
      </x:c>
      <x:c r="I115" s="39" t="str">
        <x:v>2-02-09-02</x:v>
      </x:c>
      <x:c r="J115" s="39" t="str">
        <x:v>电子元器件工程技术人员</x:v>
      </x:c>
      <x:c r="K115" s="39" t="str">
        <x:v>汽车电子工程师是汽车行业中至关重要的技术角色，负责确保车辆的电子系统达到最高性能标准。随着汽车行业向电动化、智能化转型，这一职位的重要性日益凸显，成为推动技术创新和产品升级的关键力量。汽车电子工程师不仅需要与软件开发、机械工程等多个部门紧密合作，共同解决复杂的技术问题，还需要不断学习最新的技术趋势，以适应快速变化的市场需求，这为个人提供了广阔的职业发展空间和…</x:v>
      </x:c>
      <x:c r="L115" s="39" t="str">
        <x:v>1. 负责汽车电子控制系统的设计与开发工作，确保产品符合安全规范及客户要求。 2. 对现有电子设备进行性能测试与优化，提高系统的可靠性和稳定性，降低故障率。 3. 参与跨部门项目团队会议，与其他工程师协作解决技术难题，促进项目顺利推进。 4. 关注国内外相关技术动态，定期组织内部培训，分享最新研究成果，提升团队整体技术水平。 5. 编写详细的项目文档和技术报…</x:v>
      </x:c>
    </x:row>
    <x:row r="116" ht="52" customHeight="1">
      <x:c r="A116" s="42" t="n">
        <x:v>35</x:v>
      </x:c>
      <x:c r="B116" s="39" t="str">
        <x:v>汽车电子工程师</x:v>
      </x:c>
      <x:c r="C116" s="39" t="str">
        <x:v>可直接合并</x:v>
      </x:c>
      <x:c r="D116" s="39" t="str">
        <x:v>汽车电子工程师</x:v>
      </x:c>
      <x:c r="E116" s="42" t="n">
        <x:v>611</x:v>
      </x:c>
      <x:c r="F116" s="39" t="str">
        <x:v>IC-L3-762</x:v>
      </x:c>
      <x:c r="G116" s="42" t="n">
        <x:v>762</x:v>
      </x:c>
      <x:c r="H116" s="39" t="str">
        <x:v>汽车 &gt; 汽车销售与服务 &gt; 汽车电子工程师</x:v>
      </x:c>
      <x:c r="I116" s="39" t="str">
        <x:v>2-02-09-02</x:v>
      </x:c>
      <x:c r="J116" s="39" t="str">
        <x:v>电子元器件工程技术人员</x:v>
      </x:c>
      <x:c r="K116" s="39" t="str">
        <x:v>汽车电子工程师是专门从事汽车电子系统研发与维护的专业人员。该职位的核心目标是通过设计、测试和优化电子控制系统，提升车辆性能与用户体验。在日常工作中，需要进行车载电子设备调试、故障诊断与维修、技术方案制定等工作。</x:v>
      </x:c>
      <x:c r="L116" s="39" t="str">
        <x:v>1. 设计汽车电子系统 2. 开发车载控制软件 3. 测试电子设备性能 4. 诊断维修电路故障 5. 优化车载通信网络 6. 编写技术文档报告</x:v>
      </x:c>
    </x:row>
    <x:row r="117" ht="52" customHeight="1">
      <x:c r="A117" s="42" t="n">
        <x:v>36</x:v>
      </x:c>
      <x:c r="B117" s="39" t="str">
        <x:v>生产安全员</x:v>
      </x:c>
      <x:c r="C117" s="39" t="str">
        <x:v>条件合并（先修分类）</x:v>
      </x:c>
      <x:c r="D117" s="39" t="str">
        <x:v>生产安全员</x:v>
      </x:c>
      <x:c r="E117" s="42" t="n">
        <x:v>447</x:v>
      </x:c>
      <x:c r="F117" s="39" t="str">
        <x:v>IC-L3-598</x:v>
      </x:c>
      <x:c r="G117" s="42" t="n">
        <x:v>598</x:v>
      </x:c>
      <x:c r="H117" s="39" t="str">
        <x:v>建筑/房地产 &gt; 建筑工程 &gt; 生产安全员</x:v>
      </x:c>
      <x:c r="I117" s="39" t="str">
        <x:v>2-02-18-01</x:v>
      </x:c>
      <x:c r="J117" s="39" t="str">
        <x:v>建筑和市政设计工程技术人员</x:v>
      </x:c>
      <x:c r="K117" s="39" t="str">
        <x:v>生产安全员是建筑/房地产行业中不可或缺的角色，负责确保施工过程的安全合规，预防事故发生，保障员工生命安全与身体健康，同时维护企业良好形象和社会责任感。作为生产安全员，其核心目标在于通过制定并执行严格的安全管理措施，降低施工风险，减少事故率，提高项目整体安全水平，从而为公司创造一个稳定、高效的工作环境，增强企业的市场竞争力。此外，生产安全员还需与其他部门紧密合…</x:v>
      </x:c>
      <x:c r="L117" s="39" t="str">
        <x:v>1. 负责施工现场的安全监督工作，定期开展安全检查，及时发现并整改安全隐患，确保施工活动符合国家安全生产法律法规及公司内部管理制度要求。 2. 组织实施新入职员工的安全培训及在职员工的安全教育，提升全员安全意识和应急处理能力，有效防范各类安全事故的发生。 3. 编制和完善安全生产规章制度，指导现场管理人员正确执行安全操作规程，确保各项安全措施落实到位。 4.…</x:v>
      </x:c>
    </x:row>
    <x:row r="118" ht="52" customHeight="1">
      <x:c r="A118" s="42" t="n">
        <x:v>36</x:v>
      </x:c>
      <x:c r="B118" s="39" t="str">
        <x:v>生产安全员</x:v>
      </x:c>
      <x:c r="C118" s="39" t="str">
        <x:v>条件合并（先修分类）</x:v>
      </x:c>
      <x:c r="D118" s="39" t="str">
        <x:v>生产安全员</x:v>
      </x:c>
      <x:c r="E118" s="42" t="n">
        <x:v>729</x:v>
      </x:c>
      <x:c r="F118" s="39" t="str">
        <x:v>IC-L3-880</x:v>
      </x:c>
      <x:c r="G118" s="42" t="n">
        <x:v>880</x:v>
      </x:c>
      <x:c r="H118" s="39" t="str">
        <x:v>生产制造 &gt; 生产安全 &gt; 生产安全员</x:v>
      </x:c>
      <x:c r="I118" s="39" t="str">
        <x:v>2-02-28-03</x:v>
      </x:c>
      <x:c r="J118" s="39" t="str">
        <x:v>安全生产管理工程技术人员</x:v>
      </x:c>
      <x:c r="K118" s="39" t="str">
        <x:v>生产安全员是生产制造行业中不可或缺的角色，他们负责确保生产过程中的安全操作，预防事故的发生，保障员工的生命安全与健康，同时保护企业的资产免受损失。通过制定并实施安全生产标准和程序，生产安全员不仅能够提高生产效率，减少因安全事故导致的停工时间，还能为企业创造一个更加稳定和谐的工作环境，增强企业形象和社会责任感。生产安全员通常需要与其他部门密切合作，如生产、质量…</x:v>
      </x:c>
      <x:c r="L118" s="39" t="str">
        <x:v>1. 定期检查生产设备及作业现场的安全状况，及时发现潜在风险点并采取有效措施予以消除，确保生产活动符合国家相关法律法规要求。 2. 组织开展员工安全教育培训，普及安全知识，提升全员安全意识，降低事故发生率。 3. 制定和完善企业内部的安全生产管理制度，监督各项制度的落实情况，确保所有操作流程均达到安全标准。 4. 对已发生的安全生产事故进行调查分析，提出改进…</x:v>
      </x:c>
    </x:row>
    <x:row r="119" ht="52" customHeight="1">
      <x:c r="A119" s="42" t="n">
        <x:v>36</x:v>
      </x:c>
      <x:c r="B119" s="39" t="str">
        <x:v>生产安全员</x:v>
      </x:c>
      <x:c r="C119" s="39" t="str">
        <x:v>条件合并（先修分类）</x:v>
      </x:c>
      <x:c r="D119" s="39" t="str">
        <x:v>生产安全员</x:v>
      </x:c>
      <x:c r="E119" s="42" t="n">
        <x:v>743</x:v>
      </x:c>
      <x:c r="F119" s="39" t="str">
        <x:v>IC-L3-894</x:v>
      </x:c>
      <x:c r="G119" s="42" t="n">
        <x:v>894</x:v>
      </x:c>
      <x:c r="H119" s="39" t="str">
        <x:v>生产制造 &gt; 质量管理 &gt; 生产安全员</x:v>
      </x:c>
      <x:c r="I119" s="39" t="str">
        <x:v>2-02-29-03</x:v>
      </x:c>
      <x:c r="J119" s="39" t="str">
        <x:v>质量管理工程技术人员</x:v>
      </x:c>
      <x:c r="K119" s="39" t="str">
        <x:v>生产安全员是生产制造行业中不可或缺的角色，负责确保生产过程的安全与质量控制。在生产线上，他们是预防事故的第一道防线，通过实施严格的安全标准和操作程序，保障员工的人身安全和生产设备的正常运行。此外，生产安全员还承担着提高生产效率和减少浪费的任务，通过对生产流程的持续优化，帮助公司降低运营成本，增强市场竞争力。 生产安全员的核心目标在于建立并维护一个高效、安全的…</x:v>
      </x:c>
      <x:c r="L119" s="39" t="str">
        <x:v>1. 定期巡视生产现场，检查设备设施是否符合安全生产标准，及时发现并排除潜在的安全隐患。 2. 制定和完善安全生产管理制度及操作规程，确保所有生产活动均在安全可控的范围内进行。 3. 组织开展安全生产教育培训，提高全体员工的安全防范意识和应急处理能力。 4. 对生产安全事故进行调查分析，提出改进措施，防止类似事件再次发生。 5. 协助上级领导完成其他与安全生…</x:v>
      </x:c>
    </x:row>
    <x:row r="120" ht="52" customHeight="1">
      <x:c r="A120" s="42" t="n">
        <x:v>37</x:v>
      </x:c>
      <x:c r="B120" s="39" t="str">
        <x:v>室内设计经理/主管</x:v>
      </x:c>
      <x:c r="C120" s="39" t="str">
        <x:v>条件合并（先修分类）</x:v>
      </x:c>
      <x:c r="D120" s="39" t="str">
        <x:v>室内设计经理/主管</x:v>
      </x:c>
      <x:c r="E120" s="42" t="n">
        <x:v>461</x:v>
      </x:c>
      <x:c r="F120" s="39" t="str">
        <x:v>IC-L3-612</x:v>
      </x:c>
      <x:c r="G120" s="42" t="n">
        <x:v>612</x:v>
      </x:c>
      <x:c r="H120" s="39" t="str">
        <x:v>建筑/房地产 &gt; 建筑规划与设计 &gt; 室内设计经理/主管</x:v>
      </x:c>
      <x:c r="I120" s="39" t="str">
        <x:v>2-02-18-01</x:v>
      </x:c>
      <x:c r="J120" s="39" t="str">
        <x:v>建筑和市政设计工程技术人员</x:v>
      </x:c>
      <x:c r="K120" s="39" t="str">
        <x:v>室内设计经理/主管是建筑规划与设计领域中的关键角色，负责领导团队完成从概念设计到最终施工的全过程，确保项目符合客户的需求及预算要求。该职位不仅需要具备出色的设计才能，还需要拥有良好的沟通能力和项目管理技巧，以协调各方资源，推动项目顺利进行。 作为公司的重要组成部分，室内设计经理/主管的主要目标在于通过创新的设计方案提升项目的市场竞争力，同时控制成本，保证质量…</x:v>
      </x:c>
      <x:c r="L120" s="39" t="str">
        <x:v>1. 负责组织并指导团队完成室内设计方案的制定，确保设计符合客户需求及行业标准。 2. 与客户保持良好沟通，了解其具体需求，及时调整设计方案以满足客户的期望。 3. 管理项目进度，合理分配团队成员的工作任务，确保按时高质量完成项目。 4. 协调内外部资源，解决项目实施过程中遇到的技术问题和其他障碍。 5. 定期评估项目成本，采取有效措施控制预算，确保项目经济…</x:v>
      </x:c>
    </x:row>
    <x:row r="121" ht="52" customHeight="1">
      <x:c r="A121" s="42" t="n">
        <x:v>37</x:v>
      </x:c>
      <x:c r="B121" s="39" t="str">
        <x:v>室内设计经理/主管</x:v>
      </x:c>
      <x:c r="C121" s="39" t="str">
        <x:v>条件合并（先修分类）</x:v>
      </x:c>
      <x:c r="D121" s="39" t="str">
        <x:v>室内设计经理/主管</x:v>
      </x:c>
      <x:c r="E121" s="42" t="n">
        <x:v>1000</x:v>
      </x:c>
      <x:c r="F121" s="39" t="str">
        <x:v>IC-L3-1151</x:v>
      </x:c>
      <x:c r="G121" s="42" t="n">
        <x:v>1151</x:v>
      </x:c>
      <x:c r="H121" s="39" t="str">
        <x:v>设计 &gt; 建筑/室内设计 &gt; 室内设计经理/主管</x:v>
      </x:c>
      <x:c r="I121" s="39" t="str">
        <x:v>2-09-06-01</x:v>
      </x:c>
      <x:c r="J121" s="39" t="str">
        <x:v>视觉传达设计人员</x:v>
      </x:c>
      <x:c r="K121" s="39" t="str">
        <x:v>室内设计经理/主管是建筑设计与室内装饰领域中不可或缺的角色，他们不仅负责项目的整体规划与实施，还承担着确保设计方案符合客户期望与市场需求的重要责任。作为团队的核心领导者，室内设计经理/主管通过高效管理项目进度、成本控制及质量保证等环节，助力公司赢得市场口碑，提升品牌影响力。此外，该职位还涉及到与其他部门（如工程、销售）密切合作，共同推动项目的顺利进行，同时为…</x:v>
      </x:c>
      <x:c r="L121" s="39" t="str">
        <x:v>1. 负责制定并执行室内设计项目的总体策略，包括但不限于风格定位、材料选择、预算编制等工作，确保按时按质完成任务。 2. 组织协调内部设计师团队及外部供应商资源，优化工作流程，提高工作效率和服务水平。 3. 与客户保持良好沟通，准确把握客户需求，及时解决项目过程中出现的问题，维护良好的客户关系。 4. 定期评估项目进展状况，向高级管理层报告关键指标，提出改进…</x:v>
      </x:c>
    </x:row>
    <x:row r="122" ht="52" customHeight="1">
      <x:c r="A122" s="42" t="n">
        <x:v>37</x:v>
      </x:c>
      <x:c r="B122" s="39" t="str">
        <x:v>室内设计经理/主管</x:v>
      </x:c>
      <x:c r="C122" s="39" t="str">
        <x:v>条件合并（先修分类）</x:v>
      </x:c>
      <x:c r="D122" s="39" t="str">
        <x:v>室内设计经理/主管</x:v>
      </x:c>
      <x:c r="E122" s="42" t="n">
        <x:v>1033</x:v>
      </x:c>
      <x:c r="F122" s="39" t="str">
        <x:v>IC-L3-1184</x:v>
      </x:c>
      <x:c r="G122" s="42" t="n">
        <x:v>1184</x:v>
      </x:c>
      <x:c r="H122" s="39" t="str">
        <x:v>设计 &gt; 高级设计管理 &gt; 室内设计经理/主管</x:v>
      </x:c>
      <x:c r="I122" s="39" t="str">
        <x:v>2-06-07-01</x:v>
      </x:c>
      <x:c r="J122" s="39" t="str">
        <x:v>国际商务专业人员</x:v>
      </x:c>
      <x:c r="K122" s="39" t="str">
        <x:v>室内设计经理/主管是设计行业中不可或缺的关键角色，负责指导和监督公司内部的设计项目，确保项目从概念到完成的每一个阶段都能达到高标准的专业要求。作为连接创意与执行的桥梁，该职位不仅需要具备出色的设计才能，还需拥有强大的管理和沟通能力，以推动团队高效运作，实现项目的顺利落地。 该职位的核心目标在于通过创新的设计方案和严格的项目管理，提升客户满意度，增强公司在市场…</x:v>
      </x:c>
      <x:c r="L122" s="39" t="str">
        <x:v>1. 负责制定并执行室内设计方案，确保项目按时按质完成，满足甚至超越客户期望。 2. 管理和协调项目团队，分配任务，监控进度，解决项目过程中出现的技术难题。 3. 与销售、工程等相关部门密切配合，确保设计方案的有效实施，控制项目成本，提高项目利润率。 4. 定期组织团队会议，分享最新设计理念和技术，提升团队专业技能和服务质量。 5. 关注市场动态，收集竞争对…</x:v>
      </x:c>
    </x:row>
    <x:row r="123" ht="52" customHeight="1">
      <x:c r="A123" s="42" t="n">
        <x:v>38</x:v>
      </x:c>
      <x:c r="B123" s="39" t="str">
        <x:v>室内设计总监</x:v>
      </x:c>
      <x:c r="C123" s="39" t="str">
        <x:v>条件合并（先修分类）</x:v>
      </x:c>
      <x:c r="D123" s="39" t="str">
        <x:v>室内设计总监</x:v>
      </x:c>
      <x:c r="E123" s="42" t="n">
        <x:v>460</x:v>
      </x:c>
      <x:c r="F123" s="39" t="str">
        <x:v>IC-L3-611</x:v>
      </x:c>
      <x:c r="G123" s="42" t="n">
        <x:v>611</x:v>
      </x:c>
      <x:c r="H123" s="39" t="str">
        <x:v>建筑/房地产 &gt; 建筑规划与设计 &gt; 室内设计总监</x:v>
      </x:c>
      <x:c r="I123" s="39" t="str">
        <x:v>2-02-18-01</x:v>
      </x:c>
      <x:c r="J123" s="39" t="str">
        <x:v>建筑和市政设计工程技术人员</x:v>
      </x:c>
      <x:c r="K123" s="39" t="str">
        <x:v>室内设计总监是建筑与房地产行业中不可或缺的角色，负责领导室内设计团队，确保项目从概念到完成均达到最高标准。作为连接客户、施工团队和技术专家的关键人物，其在实现创新设计和高效执行中扮演着核心角色。 该职位的核心目标在于通过卓越的设计方案提升空间的功能性和美观度，同时确保项目的成本效益。室内设计总监需密切监控市场趋势，结合公司战略目标，推动品牌在竞争激烈的市场中…</x:v>
      </x:c>
      <x:c r="L123" s="39" t="str">
        <x:v>1. 负责制定并执行公司所有室内设计项目的总体规划，确保设计成果符合公司品牌形象及客户要求。 2. 监督设计团队的工作流程，指导团队成员完成高质量的设计任务，解决设计过程中遇到的技术难题。 3. 与客户进行有效沟通，准确把握客户需求，提供专业的设计方案建议，增强客户满意度。 4. 分析行业动态和市场需求变化，不断优化设计策略，提高公司在市场上的竞争力。 5.…</x:v>
      </x:c>
    </x:row>
    <x:row r="124" ht="52" customHeight="1">
      <x:c r="A124" s="42" t="n">
        <x:v>38</x:v>
      </x:c>
      <x:c r="B124" s="39" t="str">
        <x:v>室内设计总监</x:v>
      </x:c>
      <x:c r="C124" s="39" t="str">
        <x:v>条件合并（先修分类）</x:v>
      </x:c>
      <x:c r="D124" s="39" t="str">
        <x:v>室内设计总监</x:v>
      </x:c>
      <x:c r="E124" s="42" t="n">
        <x:v>999</x:v>
      </x:c>
      <x:c r="F124" s="39" t="str">
        <x:v>IC-L3-1150</x:v>
      </x:c>
      <x:c r="G124" s="42" t="n">
        <x:v>1150</x:v>
      </x:c>
      <x:c r="H124" s="39" t="str">
        <x:v>设计 &gt; 建筑/室内设计 &gt; 室内设计总监</x:v>
      </x:c>
      <x:c r="I124" s="39" t="str">
        <x:v>2-09-06-01</x:v>
      </x:c>
      <x:c r="J124" s="39" t="str">
        <x:v>视觉传达设计人员</x:v>
      </x:c>
      <x:c r="K124" s="39" t="str">
        <x:v>室内设计总监是设计行业中不可或缺的角色，负责引领室内设计团队实现创新与实用性的完美结合，确保项目从概念到完成的每一个环节都能体现高标准的设计理念。作为公司设计策略的关键执行者，室内设计总监不仅需要具备卓越的设计才能，还应拥有出色的管理和沟通技巧，以确保设计方案能够准确传达并落实到实际操作中，从而提升客户满意度和市场竞争力。此外，该职位还需与其他部门密切合作，…</x:v>
      </x:c>
      <x:c r="L124" s="39" t="str">
        <x:v>1. 负责制定并实施室内设计部门的整体战略规划，指导团队完成高质量的设计方案，确保符合客户需求及行业标准。 2. 监督项目进度，协调内外部资源，解决设计过程中出现的问题，确保项目按时按质交付。 3. 与销售、市场等部门紧密配合，参与新业务开发，通过创新设计增加公司市场份额。 4. 定期组织团队培训和技术交流活动，提高团队专业水平，激发团队创造力。 5. 关注…</x:v>
      </x:c>
    </x:row>
    <x:row r="125" ht="52" customHeight="1">
      <x:c r="A125" s="42" t="n">
        <x:v>38</x:v>
      </x:c>
      <x:c r="B125" s="39" t="str">
        <x:v>室内设计总监</x:v>
      </x:c>
      <x:c r="C125" s="39" t="str">
        <x:v>条件合并（先修分类）</x:v>
      </x:c>
      <x:c r="D125" s="39" t="str">
        <x:v>室内设计总监</x:v>
      </x:c>
      <x:c r="E125" s="42" t="n">
        <x:v>1032</x:v>
      </x:c>
      <x:c r="F125" s="39" t="str">
        <x:v>IC-L3-1183</x:v>
      </x:c>
      <x:c r="G125" s="42" t="n">
        <x:v>1183</x:v>
      </x:c>
      <x:c r="H125" s="39" t="str">
        <x:v>设计 &gt; 高级设计管理 &gt; 室内设计总监</x:v>
      </x:c>
      <x:c r="I125" s="39" t="str">
        <x:v>2-06-07-01</x:v>
      </x:c>
      <x:c r="J125" s="39" t="str">
        <x:v>国际商务专业人员</x:v>
      </x:c>
      <x:c r="K125" s="39" t="str">
        <x:v>室内设计总监是设计行业中至关重要的领导角色，负责引领公司室内设计项目的创意与执行。该职位不仅要求具备深厚的设计功底，还需要拥有卓越的管理和战略思维能力，以确保设计作品既符合客户的需求，又能体现公司的品牌形象与市场定位。 作为室内设计领域的领导者，室内设计总监的核心目标是通过高效地组织和指导团队完成高质量的设计项目，推动公司业务增长并提升品牌影响力。其工作直接…</x:v>
      </x:c>
      <x:c r="L125" s="39" t="str">
        <x:v>1. 负责制定室内设计方案，监督项目进度，确保按时按质完成所有设计任务。 2. 组织召开项目会议，协调内外部资源，解决设计过程中遇到的技术难题。 3. 指导和支持下属设计师的成长，定期评估其工作表现并提供反馈建议。 4. 与客户保持良好沟通，准确把握客户需求，确保设计方案满足甚至超越客户的期望。 5. 关注行业趋势，持续学习新技术新理念，不断提升个人及团队的…</x:v>
      </x:c>
    </x:row>
    <x:row r="126" ht="52" customHeight="1">
      <x:c r="A126" s="42" t="n">
        <x:v>39</x:v>
      </x:c>
      <x:c r="B126" s="39" t="str">
        <x:v>首席财务官CFO</x:v>
      </x:c>
      <x:c r="C126" s="39" t="str">
        <x:v>条件合并（先修分类）</x:v>
      </x:c>
      <x:c r="D126" s="39" t="str">
        <x:v>首席财务官CFO</x:v>
      </x:c>
      <x:c r="E126" s="42" t="n">
        <x:v>1076</x:v>
      </x:c>
      <x:c r="F126" s="39" t="str">
        <x:v>IC-L3-1227</x:v>
      </x:c>
      <x:c r="G126" s="42" t="n">
        <x:v>1227</x:v>
      </x:c>
      <x:c r="H126" s="39" t="str">
        <x:v>财务/税务/法务 &gt; 财务 &gt; 首席财务官CFO</x:v>
      </x:c>
      <x:c r="I126" s="39" t="str">
        <x:v>2-06-03-00</x:v>
      </x:c>
      <x:c r="J126" s="39" t="str">
        <x:v>会计专业人员</x:v>
      </x:c>
      <x:c r="K126" s="39" t="str">
        <x:v>首席财务官（CFO）是财务/税务/法务行业中不可或缺的关键角色，负责领导企业的财务战略和决策，确保公司财务健康与合规运营。作为企业最高级别的财务管理者，CFO不仅需要具备卓越的财务管理能力，还需拥有前瞻性的商业洞察力，以支持公司实现长期可持续发展。 核心目标在于制定并执行有效的财务策略，优化资本结构，提高资金使用效率，降低经营风险，为公司创造最大化的经济价值…</x:v>
      </x:c>
      <x:c r="L126" s="39" t="str">
        <x:v>1. 制定公司中长期财务规划，指导各部门编制年度预算，确保资源合理分配，达成公司整体业绩目标。 2. 监控日常财务活动，定期审查财务报表，及时发现潜在问题并提出改进措施，保障公司资产安全。 3. 负责与外部审计机构沟通协调，确保财务信息披露符合相关法律法规要求，维护公司信誉。 4. 分析市场动态及竞争对手情况，为管理层提供准确的数据支持，协助制定科学合理的投…</x:v>
      </x:c>
    </x:row>
    <x:row r="127" ht="52" customHeight="1">
      <x:c r="A127" s="42" t="n">
        <x:v>39</x:v>
      </x:c>
      <x:c r="B127" s="39" t="str">
        <x:v>首席财务官CFO</x:v>
      </x:c>
      <x:c r="C127" s="39" t="str">
        <x:v>条件合并（先修分类）</x:v>
      </x:c>
      <x:c r="D127" s="39" t="str">
        <x:v>首席财务官CFO</x:v>
      </x:c>
      <x:c r="E127" s="42" t="n">
        <x:v>1078</x:v>
      </x:c>
      <x:c r="F127" s="39" t="str">
        <x:v>IC-L3-1229</x:v>
      </x:c>
      <x:c r="G127" s="42" t="n">
        <x:v>1229</x:v>
      </x:c>
      <x:c r="H127" s="39" t="str">
        <x:v>财务/税务/法务 &gt; 高级财务管理 &gt; 首席财务官CFO</x:v>
      </x:c>
      <x:c r="I127" s="39" t="str">
        <x:v>2-06-03-00</x:v>
      </x:c>
      <x:c r="J127" s="39" t="str">
        <x:v>会计专业人员</x:v>
      </x:c>
      <x:c r="K127" s="39" t="str">
        <x:v>首席财务官（CFO）是企业中至关重要的领导角色之一，在财务/税务/法务行业中尤其突出。作为企业的财务战略家，CFO不仅负责监督和管理公司的所有财务活动，还参与制定公司的长期发展战略，确保公司的财务健康与稳定发展。 首席财务官的核心目标在于通过优化资本结构、提升资金运作效率以及确保财务报告的准确性和及时性，来最大化股东价值。他们通过对市场动态的敏锐洞察力，结合…</x:v>
      </x:c>
      <x:c r="L127" s="39" t="str">
        <x:v>1. 制定并执行全面的财务政策、流程及控制体系，确保符合相关法律法规要求，降低企业运营风险。 2. 分析评估公司财务状况，定期编制财务报表，向董事会汇报财务成果及预测未来趋势，支持决策层做出明智的商业判断。 3. 负责融资计划的制定与实施，寻找最佳的资金来源渠道，降低融资成本，提高资金使用效益。 4. 监控日常财务活动，如预算管理、成本控制等，确保各项指标达…</x:v>
      </x:c>
    </x:row>
    <x:row r="128" ht="52" customHeight="1">
      <x:c r="A128" s="42" t="n">
        <x:v>39</x:v>
      </x:c>
      <x:c r="B128" s="39" t="str">
        <x:v>首席财务官CFO</x:v>
      </x:c>
      <x:c r="C128" s="39" t="str">
        <x:v>条件合并（先修分类）</x:v>
      </x:c>
      <x:c r="D128" s="39" t="str">
        <x:v>首席财务官CFO</x:v>
      </x:c>
      <x:c r="E128" s="42" t="n">
        <x:v>1356</x:v>
      </x:c>
      <x:c r="F128" s="39" t="str">
        <x:v>IC-L3-1507</x:v>
      </x:c>
      <x:c r="G128" s="42" t="n">
        <x:v>1507</x:v>
      </x:c>
      <x:c r="H128" s="39" t="str">
        <x:v>高级管理 &gt; 高级管理 &gt; 首席财务官CFO</x:v>
      </x:c>
      <x:c r="I128" s="39" t="str">
        <x:v>1-06-01-01</x:v>
      </x:c>
      <x:c r="J128" s="39" t="str">
        <x:v>企业董事</x:v>
      </x:c>
      <x:c r="K128" s="39" t="str">
        <x:v>首席财务官（CFO）是公司内部不可或缺的高级管理人员之一，在企业中扮演着至关重要的角色。作为企业的核心领导层成员，CFO不仅负责监督公司的财务活动，确保其符合法规要求，还参与制定公司战略方向，支持决策过程，以实现长期可持续发展。此外，CFO还需要与董事会、投资者以及其他利益相关者保持良好沟通，维护公司的公众形象。 该职位的核心目标在于通过优化资本结构、提高资…</x:v>
      </x:c>
      <x:c r="L128" s="39" t="str">
        <x:v>1. 负责制定并执行公司的财务政策和流程，确保所有财务操作符合国家法律法规及内部规章制度。 2. 定期审查公司的财务报表，分析财务数据，为管理层提供准确的财务信息，支持决策制定。 3. 与外部审计机构合作，确保年度财务审计工作的顺利进行，并就发现的问题提出改进建议。 4. 管理公司的现金流量，预测并控制成本开支，确保企业资金充足且有效利用。 5. 参与重大投…</x:v>
      </x:c>
    </x:row>
    <x:row r="129" ht="52" customHeight="1">
      <x:c r="A129" s="42" t="n">
        <x:v>40</x:v>
      </x:c>
      <x:c r="B129" s="39" t="str">
        <x:v>首席技术执行官CTO</x:v>
      </x:c>
      <x:c r="C129" s="39" t="str">
        <x:v>条件合并（先修分类）</x:v>
      </x:c>
      <x:c r="D129" s="39" t="str">
        <x:v>首席技术执行官CTO</x:v>
      </x:c>
      <x:c r="E129" s="42" t="n">
        <x:v>42</x:v>
      </x:c>
      <x:c r="F129" s="39" t="str">
        <x:v>IC-L3-193</x:v>
      </x:c>
      <x:c r="G129" s="42" t="n">
        <x:v>193</x:v>
      </x:c>
      <x:c r="H129" s="39" t="str">
        <x:v>互联网技术 &gt; 技术管理 &gt; 首席技术执行官CTO</x:v>
      </x:c>
      <x:c r="I129" s="39" t="str">
        <x:v>2-02-10-03</x:v>
      </x:c>
      <x:c r="J129" s="39" t="str">
        <x:v>计算机软件工程技术人员</x:v>
      </x:c>
      <x:c r="K129" s="39" t="str">
        <x:v>首席技术执行官（CTO）是互联网技术行业中不可或缺的角色，作为企业技术战略的核心领导者，CTO不仅负责制定并实施技术发展战略，确保公司技术能力与业务目标相匹配，还扮演着推动技术创新和优化用户体验的关键角色。该职位的核心目标在于通过先进的技术解决方案提升产品竞争力，同时控制成本、降低风险，为企业创造持续的价值增长；CTO还需密切关注市场动态和技术趋势，引领企业…</x:v>
      </x:c>
      <x:c r="L129" s="39" t="str">
        <x:v>1. 制定并执行公司的技术战略规划，确保技术发展方向符合公司长期愿景及市场需求，推动技术创新与应用落地。 2. 监督和指导技术研发团队完成高质量的产品开发工作，确保项目按时交付，并满足性能、安全等各项标准要求。 3. 与产品经理、市场部等其他部门密切沟通，理解业务需求，提供技术支持与建议，促进跨部门协作，提高整体效率。 4. 跟踪国内外最新技术动态，评估新技…</x:v>
      </x:c>
    </x:row>
    <x:row r="130" ht="52" customHeight="1">
      <x:c r="A130" s="42" t="n">
        <x:v>40</x:v>
      </x:c>
      <x:c r="B130" s="39" t="str">
        <x:v>首席技术执行官CTO</x:v>
      </x:c>
      <x:c r="C130" s="39" t="str">
        <x:v>条件合并（先修分类）</x:v>
      </x:c>
      <x:c r="D130" s="39" t="str">
        <x:v>首席技术执行官CTO</x:v>
      </x:c>
      <x:c r="E130" s="42" t="n">
        <x:v>1144</x:v>
      </x:c>
      <x:c r="F130" s="39" t="str">
        <x:v>IC-L3-1295</x:v>
      </x:c>
      <x:c r="G130" s="42" t="n">
        <x:v>1295</x:v>
      </x:c>
      <x:c r="H130" s="39" t="str">
        <x:v>通信/电子 &gt; 技术项目管理 &gt; 首席技术执行官CTO</x:v>
      </x:c>
      <x:c r="I130" s="39" t="str">
        <x:v>2-02-30-04</x:v>
      </x:c>
      <x:c r="J130" s="39" t="str">
        <x:v>项目管理工程技术人员</x:v>
      </x:c>
      <x:c r="K130" s="39" t="str">
        <x:v>首席技术执行官（CTO）是通信/电子行业中至关重要的高级管理职位，负责监督企业的技术创新和技术战略的实施。作为企业与技术之间的桥梁，CTO不仅需要具备深厚的技术背景，还应拥有敏锐的商业洞察力，以确保技术解决方案能够满足市场需求并推动公司发展。 CTO的核心目标在于引领公司技术发展方向，通过制定和执行技术策略来提升产品竞争力和服务质量，从而为公司创造持续的价值…</x:v>
      </x:c>
      <x:c r="L130" s="39" t="str">
        <x:v>1. 负责制定公司的技术发展战略，确保技术路线符合业务需求及市场趋势。 2. 管理并指导技术研发团队，确保项目按时按质完成，提高产品创新能力和技术水平。 3. 与各部门协调沟通，确保技术方案的有效实施，支持业务目标的达成。 4. 关注行业动态和技术前沿，评估新技术对公司业务的影响，适时引入先进技术和方法。 5. 建立健全技术管理体系，优化工作流程，提升团队整…</x:v>
      </x:c>
    </x:row>
    <x:row r="131" ht="52" customHeight="1">
      <x:c r="A131" s="42" t="n">
        <x:v>40</x:v>
      </x:c>
      <x:c r="B131" s="39" t="str">
        <x:v>首席技术执行官CTO</x:v>
      </x:c>
      <x:c r="C131" s="39" t="str">
        <x:v>条件合并（先修分类）</x:v>
      </x:c>
      <x:c r="D131" s="39" t="str">
        <x:v>首席技术执行官CTO</x:v>
      </x:c>
      <x:c r="E131" s="42" t="n">
        <x:v>1354</x:v>
      </x:c>
      <x:c r="F131" s="39" t="str">
        <x:v>IC-L3-1505</x:v>
      </x:c>
      <x:c r="G131" s="42" t="n">
        <x:v>1505</x:v>
      </x:c>
      <x:c r="H131" s="39" t="str">
        <x:v>高级管理 &gt; 高级管理 &gt; 首席技术执行官CTO</x:v>
      </x:c>
      <x:c r="I131" s="39" t="str">
        <x:v>1-06-01-01</x:v>
      </x:c>
      <x:c r="J131" s="39" t="str">
        <x:v>企业董事</x:v>
      </x:c>
      <x:c r="K131" s="39" t="str">
        <x:v>首席技术执行官（CTO）是企业中负责技术创新与信息技术战略的关键角色，对于推动公司业务发展和技术领先至关重要。作为技术领域的领导者，CTO不仅需要具备深厚的技术背景，更需拥有卓越的商业洞察力和领导能力，以确保技术方案能够满足市场需求并实现公司的长期愿景。 在公司内部，CTO的核心目标是构建高效的技术架构，促进产品和服务的持续创新，同时优化成本控制，提高运营效…</x:v>
      </x:c>
      <x:c r="L131" s="39" t="str">
        <x:v>1. 领导技术研发团队，确立技术发展方向，指导新产品的设计与开发，确保技术方案符合市场趋势及客户需求。 2. 制定并执行公司的IT战略规划，评估现有系统性能，提出改进建议，推动信息化建设，提升企业的数字化水平。 3. 监控国内外技术动态，探索前沿科技的应用潜力，为公司引入新技术、新模式提供决策支持。 4. 与业务部门密切配合，分析业务流程中的技术需求，提供有…</x:v>
      </x:c>
    </x:row>
    <x:row r="132" ht="52" customHeight="1">
      <x:c r="A132" s="42" t="n">
        <x:v>41</x:v>
      </x:c>
      <x:c r="B132" s="39" t="str">
        <x:v>首席信息官CIO</x:v>
      </x:c>
      <x:c r="C132" s="39" t="str">
        <x:v>条件合并（先修分类）</x:v>
      </x:c>
      <x:c r="D132" s="39" t="str">
        <x:v>首席信息官CIO</x:v>
      </x:c>
      <x:c r="E132" s="42" t="n">
        <x:v>41</x:v>
      </x:c>
      <x:c r="F132" s="39" t="str">
        <x:v>IC-L3-192</x:v>
      </x:c>
      <x:c r="G132" s="42" t="n">
        <x:v>192</x:v>
      </x:c>
      <x:c r="H132" s="39" t="str">
        <x:v>互联网技术 &gt; 技术管理 &gt; 首席信息官CIO</x:v>
      </x:c>
      <x:c r="I132" s="39" t="str">
        <x:v>2-02-10-03</x:v>
      </x:c>
      <x:c r="J132" s="39" t="str">
        <x:v>计算机软件工程技术人员</x:v>
      </x:c>
      <x:c r="K132" s="39" t="str">
        <x:v>首席信息官（CIO）是互联网技术行业中至关重要的高级管理职位，负责领导企业的信息技术战略与执行，确保IT资源的有效利用以支持企业目标。作为技术与业务之间的桥梁，CIO不仅需要具备深厚的技术背景，还需拥有敏锐的商业洞察力，能够将技术转化为推动企业发展的动力。 核心目标在于通过优化现有IT系统及引入创新技术手段，提升组织效率、降低成本并增强市场竞争力，同时保障数…</x:v>
      </x:c>
      <x:c r="L132" s="39" t="str">
        <x:v>1. 制定并执行公司整体信息技术战略，确保技术架构与业务目标一致，提高运营效率和服务质量。 2. 监督IT项目的规划、开发与实施过程，控制项目成本与时间表，确保按时按质完成任务。 3. 评估并选择合适的技术解决方案，持续改进现有系统，促进技术创新，降低信息安全风险。 4. 与其他高管层密切配合，理解其业务需求，提供技术支持与建议，推动跨部门间的有效沟通。 5…</x:v>
      </x:c>
    </x:row>
    <x:row r="133" ht="52" customHeight="1">
      <x:c r="A133" s="42" t="n">
        <x:v>41</x:v>
      </x:c>
      <x:c r="B133" s="39" t="str">
        <x:v>首席信息官CIO</x:v>
      </x:c>
      <x:c r="C133" s="39" t="str">
        <x:v>条件合并（先修分类）</x:v>
      </x:c>
      <x:c r="D133" s="39" t="str">
        <x:v>首席信息官CIO</x:v>
      </x:c>
      <x:c r="E133" s="42" t="n">
        <x:v>1143</x:v>
      </x:c>
      <x:c r="F133" s="39" t="str">
        <x:v>IC-L3-1294</x:v>
      </x:c>
      <x:c r="G133" s="42" t="n">
        <x:v>1294</x:v>
      </x:c>
      <x:c r="H133" s="39" t="str">
        <x:v>通信/电子 &gt; 技术项目管理 &gt; 首席信息官CIO</x:v>
      </x:c>
      <x:c r="I133" s="39" t="str">
        <x:v>2-02-30-04</x:v>
      </x:c>
      <x:c r="J133" s="39" t="str">
        <x:v>项目管理工程技术人员</x:v>
      </x:c>
      <x:c r="K133" s="39" t="str">
        <x:v>首席信息官（CIO）是通信/电子行业中至关重要的高级管理职位，负责指导公司信息技术战略的方向。作为技术与业务之间的桥梁，CIO确保技术解决方案能够支持并推动企业的长期目标，促进创新和效率提升。同时，CIO还承担着引领数字化转型的责任，在快速变化的技术环境中保持竞争力。 CIO的核心目标在于通过优化现有IT基础设施及开发新的信息系统来提高运营效率和服务质量，从…</x:v>
      </x:c>
      <x:c r="L133" s="39" t="str">
        <x:v>1. 制定并执行全面的信息技术战略，确保其与公司的总体业务目标相吻合，推动技术创新和流程改进。 2. 管理和监督所有信息技术项目，从概念阶段到最终交付，确保按时按质完成，实现预期效益。 3. 与各部门沟通协调，了解其需求，提供定制化的技术支持方案，加强跨部门间的合作与交流。 4. 监控行业动态和技术进步，定期向董事会报告，提出合理化建议，引导公司把握发展机遇…</x:v>
      </x:c>
    </x:row>
    <x:row r="134" ht="52" customHeight="1">
      <x:c r="A134" s="42" t="n">
        <x:v>41</x:v>
      </x:c>
      <x:c r="B134" s="39" t="str">
        <x:v>首席信息官CIO</x:v>
      </x:c>
      <x:c r="C134" s="39" t="str">
        <x:v>条件合并（先修分类）</x:v>
      </x:c>
      <x:c r="D134" s="39" t="str">
        <x:v>首席信息官CIO</x:v>
      </x:c>
      <x:c r="E134" s="42" t="n">
        <x:v>1353</x:v>
      </x:c>
      <x:c r="F134" s="39" t="str">
        <x:v>IC-L3-1504</x:v>
      </x:c>
      <x:c r="G134" s="42" t="n">
        <x:v>1504</x:v>
      </x:c>
      <x:c r="H134" s="39" t="str">
        <x:v>高级管理 &gt; 高级管理 &gt; 首席信息官CIO</x:v>
      </x:c>
      <x:c r="I134" s="39" t="str">
        <x:v>1-06-01-01</x:v>
      </x:c>
      <x:c r="J134" s="39" t="str">
        <x:v>企业董事</x:v>
      </x:c>
      <x:c r="K134" s="39" t="str">
        <x:v>首席信息官（CIO）是企业中信息技术领域的最高领导者，在高级管理层中扮演着至关重要的角色。他们不仅负责确保公司技术基础设施的安全与高效运作，还致力于推动技术创新，以支持业务战略目标的实现。作为决策层的一员，CIO需要具备深厚的技术背景和敏锐的商业洞察力，能够在快速变化的市场环境中为企业提供强有力的信息技术支持。 CIO的核心目标在于通过优化IT资源分配、促进…</x:v>
      </x:c>
      <x:c r="L134" s="39" t="str">
        <x:v>1. 制定并执行公司的信息技术战略，确保其与整体业务目标相一致，旨在提高运营效率和服务质量。 2. 管理并指导IT团队，监督所有技术系统的开发、维护和升级工作，确保系统稳定可靠运行。 3. 评估新技术趋势，探索并引入适合公司发展的创新解决方案，推动企业数字化转型进程。 4. 建立健全的数据管理和信息安全政策，保障公司信息资产的安全性，防止潜在风险。 5. 协…</x:v>
      </x:c>
    </x:row>
    <x:row r="135" ht="52" customHeight="1">
      <x:c r="A135" s="42" t="n">
        <x:v>42</x:v>
      </x:c>
      <x:c r="B135" s="39" t="str">
        <x:v>首席营销官CMO</x:v>
      </x:c>
      <x:c r="C135" s="39" t="str">
        <x:v>可直接合并</x:v>
      </x:c>
      <x:c r="D135" s="39" t="str">
        <x:v>首席营销官CMO</x:v>
      </x:c>
      <x:c r="E135" s="42" t="n">
        <x:v>398</x:v>
      </x:c>
      <x:c r="F135" s="39" t="str">
        <x:v>IC-L3-549</x:v>
      </x:c>
      <x:c r="G135" s="42" t="n">
        <x:v>549</x:v>
      </x:c>
      <x:c r="H135" s="39" t="str">
        <x:v>市场/公关 &gt; 市场/营销 &gt; 首席营销官CMO</x:v>
      </x:c>
      <x:c r="I135" s="39" t="str">
        <x:v>4-01-02-01</x:v>
      </x:c>
      <x:c r="J135" s="39" t="str">
        <x:v>营销员</x:v>
      </x:c>
      <x:c r="K135" s="39" t="str">
        <x:v>首席营销官（CMO）是企业市场营销领域的核心领导者，在市场/公关行业中扮演着至关重要的角色。他们负责制定并执行公司的整体营销战略，以确保品牌在竞争激烈的市场环境中脱颖而出。作为高层管理者之一，CMO不仅需要具备敏锐的市场洞察力，还需拥有强大的决策能力和创新思维，能够引领团队实现业务增长与品牌价值提升。 CMO的核心目标在于通过精准的品牌定位、高效的渠道管理和…</x:v>
      </x:c>
      <x:c r="L135" s="39" t="str">
        <x:v>1. 制定并执行全面的营销策略，涵盖产品推广、广告宣传、公共关系等方面，旨在提升品牌知名度和市场占有率。 2. 分析市场数据，识别消费者需求变化，指导产品定位与改进，确保营销活动符合目标市场的需求。 3. 监控营销预算，优化资源配置，确保各项营销活动的成本效益最大化。 4. 与内部跨职能团队以及外部合作伙伴协同工作，共同策划并落实大型营销项目，确保项目按时按…</x:v>
      </x:c>
    </x:row>
    <x:row r="136" ht="52" customHeight="1">
      <x:c r="A136" s="42" t="n">
        <x:v>42</x:v>
      </x:c>
      <x:c r="B136" s="39" t="str">
        <x:v>首席营销官CMO</x:v>
      </x:c>
      <x:c r="C136" s="39" t="str">
        <x:v>可直接合并</x:v>
      </x:c>
      <x:c r="D136" s="39" t="str">
        <x:v>首席营销官CMO</x:v>
      </x:c>
      <x:c r="E136" s="42" t="n">
        <x:v>1111</x:v>
      </x:c>
      <x:c r="F136" s="39" t="str">
        <x:v>IC-L3-1262</x:v>
      </x:c>
      <x:c r="G136" s="42" t="n">
        <x:v>1262</x:v>
      </x:c>
      <x:c r="H136" s="39" t="str">
        <x:v>运营 &gt; 高级运营管理 &gt; 首席营销官CMO</x:v>
      </x:c>
      <x:c r="I136" s="39" t="str">
        <x:v>4-01-02-01</x:v>
      </x:c>
      <x:c r="J136" s="39" t="str">
        <x:v>营销员</x:v>
      </x:c>
      <x:c r="K136" s="39" t="str">
        <x:v>首席营销官（CMO）是运营领域中至关重要的领导角色，负责制定并执行公司的市场营销策略，以实现业务增长和品牌价值提升。作为公司最高级别的营销负责人，CMO不仅需要具备卓越的战略思维能力，还需要拥有丰富的市场洞察力和创新能力，能够带领团队在激烈的市场竞争中脱颖而出。 CMO的核心目标在于通过精准的市场分析和有效的营销活动，提高品牌知名度和市场份额，最终推动销售收…</x:v>
      </x:c>
      <x:c r="L136" s="39" t="str">
        <x:v>1. 制定全面的市场营销计划，包括但不限于品牌建设、产品推广、渠道拓展等方面，旨在提升品牌影响力及市场份额。 2. 分析市场趋势和竞争对手动态，指导团队进行针对性的营销策略调整，确保公司在竞争中保持领先地位。 3. 负责预算管理和资源分配，优化营销投入产出比，确保营销活动高效执行并达到预期效果。 4. 与销售团队紧密合作，支持销售目标的达成；同时收集客户反馈…</x:v>
      </x:c>
    </x:row>
    <x:row r="137" ht="52" customHeight="1">
      <x:c r="A137" s="42" t="n">
        <x:v>42</x:v>
      </x:c>
      <x:c r="B137" s="39" t="str">
        <x:v>首席营销官CMO</x:v>
      </x:c>
      <x:c r="C137" s="39" t="str">
        <x:v>可直接合并</x:v>
      </x:c>
      <x:c r="D137" s="39" t="str">
        <x:v>首席营销官CMO</x:v>
      </x:c>
      <x:c r="E137" s="42" t="n">
        <x:v>1355</x:v>
      </x:c>
      <x:c r="F137" s="39" t="str">
        <x:v>IC-L3-1506</x:v>
      </x:c>
      <x:c r="G137" s="42" t="n">
        <x:v>1506</x:v>
      </x:c>
      <x:c r="H137" s="39" t="str">
        <x:v>高级管理 &gt; 高级管理 &gt; 首席营销官CMO</x:v>
      </x:c>
      <x:c r="I137" s="39" t="str">
        <x:v>4-01-02-01</x:v>
      </x:c>
      <x:c r="J137" s="39" t="str">
        <x:v>营销员</x:v>
      </x:c>
      <x:c r="K137" s="39" t="str">
        <x:v>首席营销官（CMO）是企业中至关重要的高级管理层职位，负责制定并执行整体营销策略，以支持企业的长期增长目标。作为公司领导团队的关键成员，CMO不仅需要具备卓越的市场洞察力，还需拥有强大的战略思维能力，确保品牌在市场上保持竞争力。 CMO的核心目标在于通过创新性的市场营销活动提升品牌知名度与市场份额，增强客户忠诚度，最终实现销售业绩的增长。此外，CMO还需密切…</x:v>
      </x:c>
      <x:c r="L137" s="39" t="str">
        <x:v>1. 制定全面的营销计划，涵盖品牌建设、市场推广、广告宣传等多方面，旨在提高品牌影响力和市场占有率。 2. 分析市场动态，识别潜在机会与风险，指导团队进行精准定位，确保营销活动的有效性和针对性。 3. 与销售团队紧密配合，制定有效的销售支持方案，优化销售渠道，提升转化率。 4. 监控营销预算的使用情况，确保资源合理分配，实现成本效益最大化。 5. 培养和发展…</x:v>
      </x:c>
    </x:row>
    <x:row r="138" ht="52" customHeight="1">
      <x:c r="A138" s="42" t="n">
        <x:v>43</x:v>
      </x:c>
      <x:c r="B138" s="39" t="str">
        <x:v>通信项目管理</x:v>
      </x:c>
      <x:c r="C138" s="39" t="str">
        <x:v>条件合并（先修分类）</x:v>
      </x:c>
      <x:c r="D138" s="39" t="str">
        <x:v>通信项目管理</x:v>
      </x:c>
      <x:c r="E138" s="42" t="n">
        <x:v>1137</x:v>
      </x:c>
      <x:c r="F138" s="39" t="str">
        <x:v>IC-L3-1288</x:v>
      </x:c>
      <x:c r="G138" s="42" t="n">
        <x:v>1288</x:v>
      </x:c>
      <x:c r="H138" s="39" t="str">
        <x:v>通信/电子 &gt; 技术项目管理 &gt; 通信项目管理</x:v>
      </x:c>
      <x:c r="I138" s="39" t="str">
        <x:v>2-02-30-04</x:v>
      </x:c>
      <x:c r="J138" s="39" t="str">
        <x:v>项目管理工程技术人员</x:v>
      </x:c>
      <x:c r="K138" s="39" t="str">
        <x:v>通信项目管理在通信/电子行业中扮演着至关重要的角色。随着全球通信技术的飞速发展，项目管理成为了确保技术更新迭代与市场需求同步的关键环节。本职位负责从项目的启动到收尾的全过程管理，通过有效的资源整合与进度控制，保障项目按时按质完成，推动技术创新的同时也为企业创造持续的价值增长点。 作为公司内部的核心部门之一，通信项目经理不仅需要具备扎实的技术背景，更要有出色的…</x:v>
      </x:c>
      <x:c r="L138" s="39" t="str">
        <x:v>1. 负责制定详细的项目计划，包括时间表、预算、资源分配等，并监督执行情况，确保项目目标的顺利实现。 2. 与跨职能团队成员沟通协调，明确各自职责，促进信息共享和技术交流，建立高效的合作机制。 3. 定期向高层管理者汇报项目进展情况，提出改进建议，确保项目风险得到有效管理和控制。 4. 对项目实施过程中的技术难题进行分析研究，组织专家团队寻求解决方案，保证产…</x:v>
      </x:c>
    </x:row>
    <x:row r="139" ht="52" customHeight="1">
      <x:c r="A139" s="42" t="n">
        <x:v>43</x:v>
      </x:c>
      <x:c r="B139" s="39" t="str">
        <x:v>通信项目管理</x:v>
      </x:c>
      <x:c r="C139" s="39" t="str">
        <x:v>条件合并（先修分类）</x:v>
      </x:c>
      <x:c r="D139" s="39" t="str">
        <x:v>通信项目管理</x:v>
      </x:c>
      <x:c r="E139" s="42" t="n">
        <x:v>1216</x:v>
      </x:c>
      <x:c r="F139" s="39" t="str">
        <x:v>IC-L3-1367</x:v>
      </x:c>
      <x:c r="G139" s="42" t="n">
        <x:v>1367</x:v>
      </x:c>
      <x:c r="H139" s="39" t="str">
        <x:v>通信/电子 &gt; 通信技术开发与应用 &gt; 通信项目管理</x:v>
      </x:c>
      <x:c r="I139" s="39" t="str">
        <x:v>2-02-10-01</x:v>
      </x:c>
      <x:c r="J139" s="39" t="str">
        <x:v>通信工程技术人员</x:v>
      </x:c>
      <x:c r="K139" s="39" t="str">
        <x:v>通信项目管理是通信/电子行业中不可或缺的角色，负责确保通信项目的顺利实施和完成。作为项目管理的专业人士，他们不仅需要具备扎实的技术背景，还需要拥有良好的组织协调能力和项目管理知识，以确保项目按时按质完成，满足客户需求。 该职位的核心目标在于通过高效的项目管理和资源调配，推动公司通信技术的研发与应用进程，从而提升公司在市场上的竞争力。项目管理者通过对项目生命周…</x:v>
      </x:c>
      <x:c r="L139" s="39" t="str">
        <x:v>1. 负责通信项目的整体规划，包括但不限于制定详细的项目计划、预算及时间表，确保项目目标清晰并得到所有相关方的认可。 2. 组织并领导项目团队，协调内部资源与外部合作伙伴，确保项目按计划高效执行，及时解决项目中遇到的问题。 3. 与客户保持密切联系，准确理解客户需求，定期汇报项目进展，收集反馈意见，确保项目成果符合甚至超出客户的期望。 4. 监控项目风险，制…</x:v>
      </x:c>
    </x:row>
    <x:row r="140" ht="52" customHeight="1">
      <x:c r="A140" s="42" t="n">
        <x:v>43</x:v>
      </x:c>
      <x:c r="B140" s="39" t="str">
        <x:v>通信项目管理</x:v>
      </x:c>
      <x:c r="C140" s="39" t="str">
        <x:v>条件合并（先修分类）</x:v>
      </x:c>
      <x:c r="D140" s="39" t="str">
        <x:v>通信项目管理</x:v>
      </x:c>
      <x:c r="E140" s="42" t="n">
        <x:v>1324</x:v>
      </x:c>
      <x:c r="F140" s="39" t="str">
        <x:v>IC-L3-1475</x:v>
      </x:c>
      <x:c r="G140" s="42" t="n">
        <x:v>1475</x:v>
      </x:c>
      <x:c r="H140" s="39" t="str">
        <x:v>项目经理/管理 &gt; 项目经理/管理 &gt; 通信项目管理</x:v>
      </x:c>
      <x:c r="I140" s="39" t="str">
        <x:v>2-02-30-04</x:v>
      </x:c>
      <x:c r="J140" s="39" t="str">
        <x:v>项目管理工程技术人员</x:v>
      </x:c>
      <x:c r="K140" s="39" t="str">
        <x:v>通信项目管理是通信行业中至关重要的角色之一，负责确保项目的顺利进行，从启动到完成的每个阶段都需精心规划与执行，以实现公司业务目标并满足客户需求。作为项目经理，其核心目标在于通过高效管理和资源优化配置，保证项目按时按质完成，同时控制成本和风险，为公司创造最大价值。此外，该职位还需与其他部门密切合作，如研发、销售和技术支持等，以促进跨职能团队之间的沟通与协调，从…</x:v>
      </x:c>
      <x:c r="L140" s="39" t="str">
        <x:v>1. 负责通信项目从需求分析、方案设计、实施部署到后期维护的全流程管理，确保项目按计划推进。 2. 制定详细的项目时间表和预算，合理分配人力资源，监控项目进度，及时调整策略应对突发状况。 3. 与客户保持良好沟通，准确理解并传达其需求，确保项目成果符合预期标准。 4. 组织定期会议，收集项目进展报告，评估潜在问题并提出解决方案，保障项目目标的达成。 5. 对…</x:v>
      </x:c>
    </x:row>
    <x:row r="141" ht="52" customHeight="1">
      <x:c r="A141" s="42" t="n">
        <x:v>44</x:v>
      </x:c>
      <x:c r="B141" s="39" t="str">
        <x:v>物流总监</x:v>
      </x:c>
      <x:c r="C141" s="39" t="str">
        <x:v>条件合并（先修分类）</x:v>
      </x:c>
      <x:c r="D141" s="39" t="str">
        <x:v>物流总监</x:v>
      </x:c>
      <x:c r="E141" s="42" t="n">
        <x:v>755</x:v>
      </x:c>
      <x:c r="F141" s="39" t="str">
        <x:v>IC-L3-906</x:v>
      </x:c>
      <x:c r="G141" s="42" t="n">
        <x:v>906</x:v>
      </x:c>
      <x:c r="H141" s="39" t="str">
        <x:v>物流/供应链 &gt; 仓储 &gt; 物流总监</x:v>
      </x:c>
      <x:c r="I141" s="39" t="str">
        <x:v>4-02-06-01</x:v>
      </x:c>
      <x:c r="J141" s="39" t="str">
        <x:v>仓储管理员</x:v>
      </x:c>
      <x:c r="K141" s="39" t="str">
        <x:v>物流总监是专门从事仓储物流体系规划与管理的专业人员。该职位的核心目标是通过优化供应链网络和仓储运营效率，实现降本增效和客户满意度提升。在日常工作中，需要进行仓储布局设计、运输管理、库存控制、团队建设及成本分析等工作。</x:v>
      </x:c>
      <x:c r="L141" s="39" t="str">
        <x:v>1. 制定物流战略规划 2. 优化仓储运营流程 3. 管理运输配送体系 4. 控制物流成本预算 5. 提升库存周转效率 6. 确保供应链安全合规</x:v>
      </x:c>
    </x:row>
    <x:row r="142" ht="52" customHeight="1">
      <x:c r="A142" s="42" t="n">
        <x:v>44</x:v>
      </x:c>
      <x:c r="B142" s="39" t="str">
        <x:v>物流总监</x:v>
      </x:c>
      <x:c r="C142" s="39" t="str">
        <x:v>条件合并（先修分类）</x:v>
      </x:c>
      <x:c r="D142" s="39" t="str">
        <x:v>物流总监</x:v>
      </x:c>
      <x:c r="E142" s="42" t="n">
        <x:v>767</x:v>
      </x:c>
      <x:c r="F142" s="39" t="str">
        <x:v>IC-L3-918</x:v>
      </x:c>
      <x:c r="G142" s="42" t="n">
        <x:v>918</x:v>
      </x:c>
      <x:c r="H142" s="39" t="str">
        <x:v>物流/供应链 &gt; 物流/运输 &gt; 物流总监</x:v>
      </x:c>
      <x:c r="I142" s="39" t="str">
        <x:v>4-02-06-03</x:v>
      </x:c>
      <x:c r="J142" s="39" t="str">
        <x:v>物流服务师</x:v>
      </x:c>
      <x:c r="K142" s="39" t="str">
        <x:v>物流总监是物流与供应链行业中不可或缺的关键角色，负责整个物流系统的战略规划与实施，确保物流活动高效、顺畅地运行，从而支持企业的整体业务发展。作为公司物流体系的核心领导者，物流总监的核心目标在于优化物流流程，降低运营成本，提高客户满意度，通过创新解决方案提升供应链管理效能，为企业创造显著的价值。此外，物流总监还需与其他部门密切合作，如销售、采购和生产等，以实现…</x:v>
      </x:c>
      <x:c r="L142" s="39" t="str">
        <x:v>1. 制定并执行全面的物流策略，涵盖仓储、运输、配送等各个环节，以确保供应链的稳定性和灵活性，满足市场需求变化。 2. 分析物流数据，识别潜在问题与改进机会，持续优化物流网络布局及操作流程，减少浪费，提高效率。 3. 管理供应商关系，建立长期合作伙伴关系，确保服务质量与成本效益最大化，同时监督第三方物流服务商的表现，确保其符合公司标准。 4. 领导物流团队，…</x:v>
      </x:c>
    </x:row>
    <x:row r="143" ht="52" customHeight="1">
      <x:c r="A143" s="42" t="n">
        <x:v>44</x:v>
      </x:c>
      <x:c r="B143" s="39" t="str">
        <x:v>物流总监</x:v>
      </x:c>
      <x:c r="C143" s="39" t="str">
        <x:v>条件合并（先修分类）</x:v>
      </x:c>
      <x:c r="D143" s="39" t="str">
        <x:v>物流总监</x:v>
      </x:c>
      <x:c r="E143" s="42" t="n">
        <x:v>777</x:v>
      </x:c>
      <x:c r="F143" s="39" t="str">
        <x:v>IC-L3-928</x:v>
      </x:c>
      <x:c r="G143" s="42" t="n">
        <x:v>928</x:v>
      </x:c>
      <x:c r="H143" s="39" t="str">
        <x:v>物流/供应链 &gt; 配送管理 &gt; 物流总监</x:v>
      </x:c>
      <x:c r="I143" s="39" t="str">
        <x:v>4-02-06-03</x:v>
      </x:c>
      <x:c r="J143" s="39" t="str">
        <x:v>物流服务师</x:v>
      </x:c>
      <x:c r="K143" s="39" t="str">
        <x:v>物流总监是专门从事配送体系规划与管理的战略型专业人员。该职位的核心目标是通过优化供应链网络和资源配置，提升企业物流运营效率与成本效益。在日常工作中，需要进行物流战略制定、配送流程优化、运输成本控制以及团队管理等工作。</x:v>
      </x:c>
      <x:c r="L143" s="39" t="str">
        <x:v>1. 制定物流战略规划 2. 优化配送网络布局 3. 管理运输成本预算 4. 监督配送服务质量 5. 协调跨部门协作 6. 提升运营效率指标</x:v>
      </x:c>
    </x:row>
    <x:row r="144" ht="52" customHeight="1">
      <x:c r="A144" s="42" t="n">
        <x:v>45</x:v>
      </x:c>
      <x:c r="B144" s="39" t="str">
        <x:v>项目主管</x:v>
      </x:c>
      <x:c r="C144" s="39" t="str">
        <x:v>需拆分后合并</x:v>
      </x:c>
      <x:c r="D144" s="39" t="str">
        <x:v>待补专业方向限定词</x:v>
      </x:c>
      <x:c r="E144" s="42" t="n">
        <x:v>37</x:v>
      </x:c>
      <x:c r="F144" s="39" t="str">
        <x:v>IC-L3-188</x:v>
      </x:c>
      <x:c r="G144" s="42" t="n">
        <x:v>188</x:v>
      </x:c>
      <x:c r="H144" s="39" t="str">
        <x:v>互联网技术 &gt; 技术管理 &gt; 项目主管</x:v>
      </x:c>
      <x:c r="I144" s="39" t="str">
        <x:v>2-02-10-03</x:v>
      </x:c>
      <x:c r="J144" s="39" t="str">
        <x:v>计算机软件工程技术人员</x:v>
      </x:c>
      <x:c r="K144" s="39" t="str">
        <x:v>项目主管是互联网技术行业中至关重要的角色，负责确保项目的顺利进行与成功交付。作为技术管理和执行之间的桥梁，项目主管不仅需要具备深厚的技术背景，还需拥有卓越的领导力和沟通技巧，以协调不同部门资源，解决项目实施过程中遇到的各种问题。 该职位的核心目标在于通过高效地管理项目进度、成本及质量，为公司创造最大化的商业价值。项目主管需制定详尽的项目计划并监督执行情况，确…</x:v>
      </x:c>
      <x:c r="L144" s="39" t="str">
        <x:v>1. 负责项目从启动到收尾全过程的管理，包括但不限于需求分析、方案设计、时间安排、预算控制等，确保项目目标达成。 2. 与客户、供应商以及内部各部门保持良好沟通，明确各方期望，协调资源，解决冲突，维护良好的合作关系。 3. 监控项目进展，定期向高层汇报项目状态，识别潜在风险并提出预防措施，确保项目按计划推进。 4. 组织并主持项目会议，记录会议纪要，跟踪落实…</x:v>
      </x:c>
    </x:row>
    <x:row r="145" ht="52" customHeight="1">
      <x:c r="A145" s="42" t="n">
        <x:v>45</x:v>
      </x:c>
      <x:c r="B145" s="39" t="str">
        <x:v>项目主管</x:v>
      </x:c>
      <x:c r="C145" s="39" t="str">
        <x:v>需拆分后合并</x:v>
      </x:c>
      <x:c r="D145" s="39" t="str">
        <x:v>待补专业方向限定词</x:v>
      </x:c>
      <x:c r="E145" s="42" t="n">
        <x:v>1138</x:v>
      </x:c>
      <x:c r="F145" s="39" t="str">
        <x:v>IC-L3-1289</x:v>
      </x:c>
      <x:c r="G145" s="42" t="n">
        <x:v>1289</x:v>
      </x:c>
      <x:c r="H145" s="39" t="str">
        <x:v>通信/电子 &gt; 技术项目管理 &gt; 项目主管</x:v>
      </x:c>
      <x:c r="I145" s="39" t="str">
        <x:v>2-02-30-04</x:v>
      </x:c>
      <x:c r="J145" s="39" t="str">
        <x:v>项目管理工程技术人员</x:v>
      </x:c>
      <x:c r="K145" s="39" t="str">
        <x:v>项目主管是通信/电子行业中不可或缺的角色，负责确保技术项目的顺利实施与高效完成。作为项目的核心领导者，项目主管不仅需要具备扎实的技术背景，还需拥有出色的组织协调能力，以应对复杂多变的项目环境。 该职位的核心目标在于通过优化资源配置、控制项目进度及质量，确保项目按期高质量交付，从而提升公司在市场竞争中的地位和技术优势。项目主管通过对项目成本的有效控制，以及对潜…</x:v>
      </x:c>
      <x:c r="L145" s="39" t="str">
        <x:v>1. 负责制定项目计划，明确项目目标、时间表和预算，并监督执行情况，确保项目按时完成并达到预期效果。 2. 协调内外部资源，解决项目过程中遇到的技术难题和管理障碍，保证项目顺利推进。 3. 与相关部门沟通，收集客户需求，进行需求分析，确保项目满足客户期望。 4. 定期向高层管理层报告项目进展情况，提供决策支持信息，以便及时调整策略。 5. 组织培训和技术交流…</x:v>
      </x:c>
    </x:row>
    <x:row r="146" ht="52" customHeight="1">
      <x:c r="A146" s="42" t="n">
        <x:v>45</x:v>
      </x:c>
      <x:c r="B146" s="39" t="str">
        <x:v>项目主管</x:v>
      </x:c>
      <x:c r="C146" s="39" t="str">
        <x:v>需拆分后合并</x:v>
      </x:c>
      <x:c r="D146" s="39" t="str">
        <x:v>待补专业方向限定词</x:v>
      </x:c>
      <x:c r="E146" s="42" t="n">
        <x:v>1325</x:v>
      </x:c>
      <x:c r="F146" s="39" t="str">
        <x:v>IC-L3-1476</x:v>
      </x:c>
      <x:c r="G146" s="42" t="n">
        <x:v>1476</x:v>
      </x:c>
      <x:c r="H146" s="39" t="str">
        <x:v>项目经理/管理 &gt; 项目经理/管理 &gt; 项目主管</x:v>
      </x:c>
      <x:c r="I146" s="39" t="str">
        <x:v>2-02-30-04</x:v>
      </x:c>
      <x:c r="J146" s="39" t="str">
        <x:v>项目管理工程技术人员</x:v>
      </x:c>
      <x:c r="K146" s="39" t="str">
        <x:v>项目主管是项目管理领域中不可或缺的角色，其重要性在于确保项目的顺利实施与成功完成。作为连接公司战略与执行层面的关键桥梁，项目主管不仅需要具备扎实的专业技能，还应拥有卓越的领导力和沟通协调能力，以确保团队能够高效运作并达成既定目标。 项目主管的核心目标在于通过科学合理的项目规划、资源调配以及风险控制，最大化地提升项目效率与质量，从而为公司创造更大的商业价值和社…</x:v>
      </x:c>
      <x:c r="L146" s="39" t="str">
        <x:v>1. 负责项目从启动到收尾整个生命周期的全面管理工作，确保项目按计划推进，达到预期目标。 2. 组织召开定期会议，收集各方意见和建议，及时解决项目过程中出现的问题，确保项目顺利进行。 3. 制定并优化项目流程，提高工作效率，降低运营成本，提升项目成功率。 4. 与客户保持良好关系，准确理解客户需求，提供专业咨询，协助客户做出正确决策。 5. 对项目团队成员进…</x:v>
      </x:c>
    </x:row>
    <x:row r="147" ht="52" customHeight="1">
      <x:c r="A147" s="42" t="n">
        <x:v>46</x:v>
      </x:c>
      <x:c r="B147" s="39" t="str">
        <x:v>项目助理</x:v>
      </x:c>
      <x:c r="C147" s="39" t="str">
        <x:v>需拆分后合并</x:v>
      </x:c>
      <x:c r="D147" s="39" t="str">
        <x:v>待补专业方向限定词</x:v>
      </x:c>
      <x:c r="E147" s="42" t="n">
        <x:v>38</x:v>
      </x:c>
      <x:c r="F147" s="39" t="str">
        <x:v>IC-L3-189</x:v>
      </x:c>
      <x:c r="G147" s="42" t="n">
        <x:v>189</x:v>
      </x:c>
      <x:c r="H147" s="39" t="str">
        <x:v>互联网技术 &gt; 技术管理 &gt; 项目助理</x:v>
      </x:c>
      <x:c r="I147" s="39" t="str">
        <x:v>2-02-10-03</x:v>
      </x:c>
      <x:c r="J147" s="39" t="str">
        <x:v>计算机软件工程技术人员</x:v>
      </x:c>
      <x:c r="K147" s="39" t="str">
        <x:v>项目助理是互联网技术行业中不可或缺的角色，主要负责协助项目经理进行项目的日常管理和协调工作。作为技术与管理之间的桥梁，项目助理在确保项目按时交付、成本控制及质量保证方面发挥着关键作用，对于推动公司技术创新和业务发展具有重要意义。 该职位的核心目标是通过有效的沟通协调能力，确保项目团队成员之间的信息畅通无阻，促进跨部门合作，提高工作效率。项目助理需要密切跟踪项…</x:v>
      </x:c>
      <x:c r="L147" s="39" t="str">
        <x:v>1. 负责项目文档的整理与归档，确保所有文件资料齐全、规范，便于查阅和追溯。 2. 协助项目经理制定项目计划，监控项目执行情况，定期向相关人员汇报项目进展状况。 3. 组织召开项目会议，记录会议纪要，跟进会议决议事项的落实情况，确保各项任务按时完成。 4. 收集并分析项目数据，为项目决策提供依据，协助解决项目过程中出现的技术难题。 5. 与内外部客户保持良好…</x:v>
      </x:c>
    </x:row>
    <x:row r="148" ht="52" customHeight="1">
      <x:c r="A148" s="42" t="n">
        <x:v>46</x:v>
      </x:c>
      <x:c r="B148" s="39" t="str">
        <x:v>项目助理</x:v>
      </x:c>
      <x:c r="C148" s="39" t="str">
        <x:v>需拆分后合并</x:v>
      </x:c>
      <x:c r="D148" s="39" t="str">
        <x:v>待补专业方向限定词</x:v>
      </x:c>
      <x:c r="E148" s="42" t="n">
        <x:v>1139</x:v>
      </x:c>
      <x:c r="F148" s="39" t="str">
        <x:v>IC-L3-1290</x:v>
      </x:c>
      <x:c r="G148" s="42" t="n">
        <x:v>1290</x:v>
      </x:c>
      <x:c r="H148" s="39" t="str">
        <x:v>通信/电子 &gt; 技术项目管理 &gt; 项目助理</x:v>
      </x:c>
      <x:c r="I148" s="39" t="str">
        <x:v>2-02-30-04</x:v>
      </x:c>
      <x:c r="J148" s="39" t="str">
        <x:v>项目管理工程技术人员</x:v>
      </x:c>
      <x:c r="K148" s="39" t="str">
        <x:v>项目助理在通信/电子行业中扮演着至关重要的角色，负责支持项目经理和技术团队完成从项目启动到交付的全过程。通过协调资源、监控进度以及确保项目按时按质完成，项目助理不仅提高了项目的执行效率，还增强了团队间的沟通与合作，对于促进公司技术创新和市场竞争力具有不可替代的作用。此外，该职位与多个部门紧密合作，如研发、生产及销售等，为个人提供了广阔的职业发展空间和丰富的学…</x:v>
      </x:c>
      <x:c r="L148" s="39" t="str">
        <x:v>1. 协助项目经理制定详细的项目计划，包括时间表、预算分配和资源调配，以确保项目目标的实现。 2. 负责跟踪项目进展，定期收集并分析项目数据，及时向项目经理报告潜在风险和问题，提出改进建议。 3. 组织并参与项目会议，记录会议纪要，确保所有参与者了解各自的职责和任务状态。 4. 与内外部客户保持良好沟通，准确传达项目需求和进展情况，建立积极的合作关系。 5.…</x:v>
      </x:c>
    </x:row>
    <x:row r="149" ht="52" customHeight="1">
      <x:c r="A149" s="42" t="n">
        <x:v>46</x:v>
      </x:c>
      <x:c r="B149" s="39" t="str">
        <x:v>项目助理</x:v>
      </x:c>
      <x:c r="C149" s="39" t="str">
        <x:v>需拆分后合并</x:v>
      </x:c>
      <x:c r="D149" s="39" t="str">
        <x:v>待补专业方向限定词</x:v>
      </x:c>
      <x:c r="E149" s="42" t="n">
        <x:v>1326</x:v>
      </x:c>
      <x:c r="F149" s="39" t="str">
        <x:v>IC-L3-1477</x:v>
      </x:c>
      <x:c r="G149" s="42" t="n">
        <x:v>1477</x:v>
      </x:c>
      <x:c r="H149" s="39" t="str">
        <x:v>项目经理/管理 &gt; 项目经理/管理 &gt; 项目助理</x:v>
      </x:c>
      <x:c r="I149" s="39" t="str">
        <x:v>2-02-30-04</x:v>
      </x:c>
      <x:c r="J149" s="39" t="str">
        <x:v>项目管理工程技术人员</x:v>
      </x:c>
      <x:c r="K149" s="39" t="str">
        <x:v>项目助理在项目经理/管理行业中扮演着至关重要的角色，是确保项目顺利实施与成功完成的关键人物之一。作为项目经理的得力助手，项目助理不仅负责日常行政事务的支持工作，还承担着协助制定项目计划、监控项目进度等重要任务，对于维护良好的客户关系同样不可或缺。 该职位的核心目标在于通过高效地组织协调各类资源，促进团队内部沟通，提高工作效率，最终实现项目按时按质交付的目标。…</x:v>
      </x:c>
      <x:c r="L149" s="39" t="str">
        <x:v>1. 协助项目经理编制详细的项目计划书，明确项目目标、时间表及所需资源，确保所有参与者都清楚自己的责任分工。 2. 跟踪并记录项目进展情况，定期向项目经理汇报，及时发现并报告任何可能影响项目按时完成的因素。 3. 组织召开项目会议，准备相关材料，确保会议高效有序进行，会后整理会议纪要并分发给相关人员。 4. 与供应商、承包商及其他外部合作伙伴保持良好沟通，协…</x:v>
      </x:c>
    </x:row>
    <x:row r="150" ht="52" customHeight="1">
      <x:c r="A150" s="42" t="n">
        <x:v>47</x:v>
      </x:c>
      <x:c r="B150" s="39" t="str">
        <x:v>项目总监</x:v>
      </x:c>
      <x:c r="C150" s="39" t="str">
        <x:v>需拆分后合并</x:v>
      </x:c>
      <x:c r="D150" s="39" t="str">
        <x:v>待补专业方向限定词</x:v>
      </x:c>
      <x:c r="E150" s="42" t="n">
        <x:v>39</x:v>
      </x:c>
      <x:c r="F150" s="39" t="str">
        <x:v>IC-L3-190</x:v>
      </x:c>
      <x:c r="G150" s="42" t="n">
        <x:v>190</x:v>
      </x:c>
      <x:c r="H150" s="39" t="str">
        <x:v>互联网技术 &gt; 技术管理 &gt; 项目总监</x:v>
      </x:c>
      <x:c r="I150" s="39" t="str">
        <x:v>2-02-10-03</x:v>
      </x:c>
      <x:c r="J150" s="39" t="str">
        <x:v>计算机软件工程技术人员</x:v>
      </x:c>
      <x:c r="K150" s="39" t="str">
        <x:v>项目总监是互联网技术行业中至关重要的高级管理职位，负责监督和指导多个大型项目的执行与交付。作为公司技术战略的重要组成部分，项目总监不仅需要确保项目按时按质完成，还需不断优化流程，提高团队效率，以支持公司的长期发展和技术领先优势。此职位需要与跨部门团队紧密合作，包括但不限于研发、市场、销售等部门，同时为团队成员提供成长机会，促进个人与团队的共同进步。</x:v>
      </x:c>
      <x:c r="L150" s="39" t="str">
        <x:v>1. 制定并实施项目管理策略，确保所有项目从启动到收尾的每个阶段都能高效运行，达到既定的质量标准和时间要求。 2. 监控项目进展，定期向高级管理层报告项目状态，及时识别潜在风险并提出解决方案，保障项目顺利推进。 3. 组织协调资源，优化项目资源配置，提高工作效率，降低运营成本。 4. 建立健全项目管理体系，引入先进的项目管理工具和方法论，持续改进项目管理流程…</x:v>
      </x:c>
    </x:row>
    <x:row r="151" ht="52" customHeight="1">
      <x:c r="A151" s="42" t="n">
        <x:v>47</x:v>
      </x:c>
      <x:c r="B151" s="39" t="str">
        <x:v>项目总监</x:v>
      </x:c>
      <x:c r="C151" s="39" t="str">
        <x:v>需拆分后合并</x:v>
      </x:c>
      <x:c r="D151" s="39" t="str">
        <x:v>待补专业方向限定词</x:v>
      </x:c>
      <x:c r="E151" s="42" t="n">
        <x:v>1140</x:v>
      </x:c>
      <x:c r="F151" s="39" t="str">
        <x:v>IC-L3-1291</x:v>
      </x:c>
      <x:c r="G151" s="42" t="n">
        <x:v>1291</x:v>
      </x:c>
      <x:c r="H151" s="39" t="str">
        <x:v>通信/电子 &gt; 技术项目管理 &gt; 项目总监</x:v>
      </x:c>
      <x:c r="I151" s="39" t="str">
        <x:v>2-02-30-04</x:v>
      </x:c>
      <x:c r="J151" s="39" t="str">
        <x:v>项目管理工程技术人员</x:v>
      </x:c>
      <x:c r="K151" s="39" t="str">
        <x:v>项目总监是通信/电子行业中不可或缺的角色，负责监督和指导整个项目的执行过程，确保项目按时、按质完成，对于推动技术创新和提升企业竞争力具有重要意义。作为公司内部的技术领导者，项目总监的核心目标在于通过高效管理和资源整合，促进跨部门合作，优化项目流程，降低运营成本，提高产品或服务的质量与市场响应速度，从而为公司创造更大的商业价值。此外，项目总监还需与研发、销售等…</x:v>
      </x:c>
      <x:c r="L151" s="39" t="str">
        <x:v>1. 负责制定并实施项目计划，明确项目目标、时间表和预算，确保项目顺利推进，达到预期成果。 2. 组织和领导项目团队，合理分配工作任务，定期检查进度，评估风险，及时调整策略以应对挑战。 3. 与客户保持良好沟通，准确理解客户需求，提供专业建议，确保项目满足或超越客户的期望。 4. 监控项目成本，控制预算超支现象，保证项目经济效益最大化。 5. 推动项目标准化…</x:v>
      </x:c>
    </x:row>
    <x:row r="152" ht="52" customHeight="1">
      <x:c r="A152" s="42" t="n">
        <x:v>47</x:v>
      </x:c>
      <x:c r="B152" s="39" t="str">
        <x:v>项目总监</x:v>
      </x:c>
      <x:c r="C152" s="39" t="str">
        <x:v>需拆分后合并</x:v>
      </x:c>
      <x:c r="D152" s="39" t="str">
        <x:v>待补专业方向限定词</x:v>
      </x:c>
      <x:c r="E152" s="42" t="n">
        <x:v>1327</x:v>
      </x:c>
      <x:c r="F152" s="39" t="str">
        <x:v>IC-L3-1478</x:v>
      </x:c>
      <x:c r="G152" s="42" t="n">
        <x:v>1478</x:v>
      </x:c>
      <x:c r="H152" s="39" t="str">
        <x:v>项目经理/管理 &gt; 项目经理/管理 &gt; 项目总监</x:v>
      </x:c>
      <x:c r="I152" s="39" t="str">
        <x:v>2-02-30-04</x:v>
      </x:c>
      <x:c r="J152" s="39" t="str">
        <x:v>项目管理工程技术人员</x:v>
      </x:c>
      <x:c r="K152" s="39" t="str">
        <x:v>项目总监是企业中不可或缺的关键角色，负责监督和指导多个大型项目的实施过程。作为连接公司高层与项目执行团队之间的桥梁，项目总监不仅确保项目按时按质完成，同时还要确保项目符合公司的战略目标，为企业创造最大化的商业价值。此外，项目总监还负责协调不同部门之间的合作，通过优化资源配置来提高项目成功率，为个人职业发展提供了广阔的空间，同时也是培养领导力和战略思维的重要平…</x:v>
      </x:c>
      <x:c r="L152" s="39" t="str">
        <x:v>1. 制定并实施项目管理策略，确保所有项目从启动到收尾的每个阶段都能高效运作，最终达成既定目标。 2. 对接公司高层及客户，准确理解需求并转化为可执行的项目计划，确保项目目标与公司整体战略相一致。 3. 监控项目进度与成本，定期向管理层汇报项目状态，及时识别潜在风险并采取有效措施进行预防或解决。 4. 组织跨部门会议，促进团队成员间的沟通与协作，建立良好的工…</x:v>
      </x:c>
    </x:row>
    <x:row r="153" ht="52" customHeight="1">
      <x:c r="A153" s="42" t="n">
        <x:v>48</x:v>
      </x:c>
      <x:c r="B153" s="39" t="str">
        <x:v>销售总监</x:v>
      </x:c>
      <x:c r="C153" s="39" t="str">
        <x:v>可直接合并</x:v>
      </x:c>
      <x:c r="D153" s="39" t="str">
        <x:v>销售总监</x:v>
      </x:c>
      <x:c r="E153" s="42" t="n">
        <x:v>298</x:v>
      </x:c>
      <x:c r="F153" s="39" t="str">
        <x:v>IC-L3-449</x:v>
      </x:c>
      <x:c r="G153" s="42" t="n">
        <x:v>449</x:v>
      </x:c>
      <x:c r="H153" s="39" t="str">
        <x:v>销售/客服 &gt; 销售人员 &gt; 销售总监</x:v>
      </x:c>
      <x:c r="I153" s="39" t="str">
        <x:v>4-01-02-01</x:v>
      </x:c>
      <x:c r="J153" s="39" t="str">
        <x:v>营销员</x:v>
      </x:c>
      <x:c r="K153" s="39" t="str">
        <x:v>销售总监是专门负责企业销售战略规划与执行的高级管理人员。该职位的核心目标是通过制定销售策略、优化销售流程，实现公司业绩目标与市场份额增长。在日常工作中，需要进行销售团队管理、市场分析、客户关系维护及销售目标达成等工作。</x:v>
      </x:c>
      <x:c r="L153" s="39" t="str">
        <x:v>1. 制定销售战略 2. 管理销售团队 3. 达成业绩目标 4. 开拓市场渠道 5. 维护客户关系 6. 分析销售数据</x:v>
      </x:c>
    </x:row>
    <x:row r="154" ht="52" customHeight="1">
      <x:c r="A154" s="42" t="n">
        <x:v>48</x:v>
      </x:c>
      <x:c r="B154" s="39" t="str">
        <x:v>销售总监</x:v>
      </x:c>
      <x:c r="C154" s="39" t="str">
        <x:v>可直接合并</x:v>
      </x:c>
      <x:c r="D154" s="39" t="str">
        <x:v>销售总监</x:v>
      </x:c>
      <x:c r="E154" s="42" t="n">
        <x:v>317</x:v>
      </x:c>
      <x:c r="F154" s="39" t="str">
        <x:v>IC-L3-468</x:v>
      </x:c>
      <x:c r="G154" s="42" t="n">
        <x:v>468</x:v>
      </x:c>
      <x:c r="H154" s="39" t="str">
        <x:v>销售/客服 &gt; 销售行政及商务 &gt; 销售总监</x:v>
      </x:c>
      <x:c r="I154" s="39" t="str">
        <x:v>4-01-02-01</x:v>
      </x:c>
      <x:c r="J154" s="39" t="str">
        <x:v>营销员</x:v>
      </x:c>
      <x:c r="K154" s="39" t="str">
        <x:v>销售总监是专门从事销售战略规划与团队管理的专业人员。该职位的核心目标是通过制定销售策略、拓展市场渠道，实现公司业绩持续增长。在日常工作中，需要进行销售团队建设、客户关系维护、业务数据分析及销售目标分解等工作。</x:v>
      </x:c>
      <x:c r="L154" s="39" t="str">
        <x:v>1. 制定销售战略规划 2. 达成年度业绩目标 3. 管理销售团队运营 4. 维护重点客户关系 5. 优化销售业务流程 6. 分析市场数据报告</x:v>
      </x:c>
    </x:row>
    <x:row r="155" ht="52" customHeight="1">
      <x:c r="A155" s="42" t="n">
        <x:v>48</x:v>
      </x:c>
      <x:c r="B155" s="39" t="str">
        <x:v>销售总监</x:v>
      </x:c>
      <x:c r="C155" s="39" t="str">
        <x:v>可直接合并</x:v>
      </x:c>
      <x:c r="D155" s="39" t="str">
        <x:v>销售总监</x:v>
      </x:c>
      <x:c r="E155" s="42" t="n">
        <x:v>331</x:v>
      </x:c>
      <x:c r="F155" s="39" t="str">
        <x:v>IC-L3-482</x:v>
      </x:c>
      <x:c r="G155" s="42" t="n">
        <x:v>482</x:v>
      </x:c>
      <x:c r="H155" s="39" t="str">
        <x:v>销售/客服 &gt; 销售高级管理 &gt; 销售总监</x:v>
      </x:c>
      <x:c r="I155" s="39" t="str">
        <x:v>4-01-02-01</x:v>
      </x:c>
      <x:c r="J155" s="39" t="str">
        <x:v>营销员</x:v>
      </x:c>
      <x:c r="K155" s="39" t="str">
        <x:v>销售总监是销售/客服行业中不可或缺的关键角色，负责引领销售团队实现业绩目标，推动公司业务增长。作为高级管理层的一员，销售总监不仅需要具备卓越的领导力和战略眼光，还需拥有丰富的市场洞察力和客户关系管理经验，以确保公司在竞争激烈的市场中保持领先地位。 该职位的核心目标在于制定并执行有效的销售策略，确保销售目标的达成与超越，同时优化销售流程，提高销售效率。通过精准…</x:v>
      </x:c>
      <x:c r="L155" s="39" t="str">
        <x:v>1. 制定并实施全面的销售计划，设定短期与长期的销售目标，带领团队完成既定任务。 2. 分析市场趋势，识别潜在机会与挑战，调整销售策略以适应不断变化的市场需求。 3. 管理销售团队，包括招聘、培训、绩效评估及激励机制的设计，打造高效能的销售队伍。 4. 与重要客户建立稳固的合作关系，提供定制化的解决方案，促进销售额持续增长。 5. 协调跨部门资源，确保销售活…</x:v>
      </x:c>
    </x:row>
    <x:row r="156" ht="52" customHeight="1">
      <x:c r="A156" s="42" t="n">
        <x:v>49</x:v>
      </x:c>
      <x:c r="B156" s="39" t="str">
        <x:v>药理研究员</x:v>
      </x:c>
      <x:c r="C156" s="39" t="str">
        <x:v>可直接合并</x:v>
      </x:c>
      <x:c r="D156" s="39" t="str">
        <x:v>药理研究员</x:v>
      </x:c>
      <x:c r="E156" s="42" t="n">
        <x:v>162</x:v>
      </x:c>
      <x:c r="F156" s="39" t="str">
        <x:v>IC-L3-313</x:v>
      </x:c>
      <x:c r="G156" s="42" t="n">
        <x:v>313</x:v>
      </x:c>
      <x:c r="H156" s="39" t="str">
        <x:v>医药/医疗 &gt; 临床试验 &gt; 药理研究员</x:v>
      </x:c>
      <x:c r="I156" s="39" t="str">
        <x:v>2-01-06-03</x:v>
      </x:c>
      <x:c r="J156" s="39" t="str">
        <x:v>化学研究人员</x:v>
      </x:c>
      <x:c r="K156" s="39" t="str">
        <x:v>药理研究员是专门从事药物作用机制及药效评估的专业人员。该职位的核心目标是通过开展临床前及临床药理研究，支持新药研发与安全性评估。在日常工作中，需要进行实验方案设计、数据收集分析、研究报告撰写及跨部门协作等工作。</x:v>
      </x:c>
      <x:c r="L156" s="39" t="str">
        <x:v>1. 设计药理实验方案 2. 开展药物作用机制研究 3. 分析临床前药效数据 4. 评估药物安全性指标 5. 撰写药理研究报告 6. 参与临床试验方案制定</x:v>
      </x:c>
    </x:row>
    <x:row r="157" ht="52" customHeight="1">
      <x:c r="A157" s="42" t="n">
        <x:v>49</x:v>
      </x:c>
      <x:c r="B157" s="39" t="str">
        <x:v>药理研究员</x:v>
      </x:c>
      <x:c r="C157" s="39" t="str">
        <x:v>可直接合并</x:v>
      </x:c>
      <x:c r="D157" s="39" t="str">
        <x:v>药理研究员</x:v>
      </x:c>
      <x:c r="E157" s="42" t="n">
        <x:v>191</x:v>
      </x:c>
      <x:c r="F157" s="39" t="str">
        <x:v>IC-L3-342</x:v>
      </x:c>
      <x:c r="G157" s="42" t="n">
        <x:v>342</x:v>
      </x:c>
      <x:c r="H157" s="39" t="str">
        <x:v>医药/医疗 &gt; 医生/医技 &gt; 药理研究员</x:v>
      </x:c>
      <x:c r="I157" s="39" t="str">
        <x:v>2-01-06-03</x:v>
      </x:c>
      <x:c r="J157" s="39" t="str">
        <x:v>化学研究人员</x:v>
      </x:c>
      <x:c r="K157" s="39" t="str">
        <x:v>药理研究员是专门从事药物作用机制与药效评价的专业人员。该职位的核心目标是通过开展系统性药理研究，支持新药研发与临床用药方案优化。在日常工作中，需要进行体外/体内药效实验设计、数据收集分析、研究报告撰写等工作。</x:v>
      </x:c>
      <x:c r="L157" s="39" t="str">
        <x:v>1. 设计药理实验方案 2. 开展药物体内外试验 3. 分析药物作用机制 4. 评估药物安全有效性 5. 撰写实验研究报告 6. 跟进新药研发进程</x:v>
      </x:c>
    </x:row>
    <x:row r="158" ht="52" customHeight="1">
      <x:c r="A158" s="42" t="n">
        <x:v>49</x:v>
      </x:c>
      <x:c r="B158" s="39" t="str">
        <x:v>药理研究员</x:v>
      </x:c>
      <x:c r="C158" s="39" t="str">
        <x:v>可直接合并</x:v>
      </x:c>
      <x:c r="D158" s="39" t="str">
        <x:v>药理研究员</x:v>
      </x:c>
      <x:c r="E158" s="42" t="n">
        <x:v>247</x:v>
      </x:c>
      <x:c r="F158" s="39" t="str">
        <x:v>IC-L3-398</x:v>
      </x:c>
      <x:c r="G158" s="42" t="n">
        <x:v>398</x:v>
      </x:c>
      <x:c r="H158" s="39" t="str">
        <x:v>医药/医疗 &gt; 生物制药 &gt; 药理研究员</x:v>
      </x:c>
      <x:c r="I158" s="39" t="str">
        <x:v>2-01-06-03</x:v>
      </x:c>
      <x:c r="J158" s="39" t="str">
        <x:v>化学研究人员</x:v>
      </x:c>
      <x:c r="K158" s="39" t="str">
        <x:v>药理研究员是医药行业中不可或缺的专业人才，在生物制药领域扮演着至关重要的角色。他们负责研究药物的作用机制、评估新药的安全性和有效性，确保产品能够顺利通过临床试验并最终上市，为人类健康做出贡献。此外，药理研究员还参与制定药物研发策略，推动技术创新，提升公司在市场上的竞争力。在这个职位上，您将与跨学科的团队紧密合作，包括化学家、毒理学家、临床医生等，共同解决复杂…</x:v>
      </x:c>
      <x:c r="L158" s="39" t="str">
        <x:v>1. 负责开展药理学实验，分析数据以确定候选药物的治疗效果及潜在副作用，确保研究结果准确可靠。 2. 依据项目需求，设计并执行动物模型实验，评估新药在不同条件下的药效动力学特征。 3. 参与药物开发流程，从早期发现到临床前研究阶段提供专业意见，协助优化药物配方。 4. 编写详细的实验报告，整理研究成果，并定期向项目组汇报进展情况。 5. 关注国内外相关领域的…</x:v>
      </x:c>
    </x:row>
    <x:row r="159" ht="52" customHeight="1">
      <x:c r="A159" s="42" t="n">
        <x:v>50</x:v>
      </x:c>
      <x:c r="B159" s="39" t="str">
        <x:v>医疗器械销售经理/主管</x:v>
      </x:c>
      <x:c r="C159" s="39" t="str">
        <x:v>可直接合并</x:v>
      </x:c>
      <x:c r="D159" s="39" t="str">
        <x:v>医疗器械销售经理/主管</x:v>
      </x:c>
      <x:c r="E159" s="42" t="n">
        <x:v>199</x:v>
      </x:c>
      <x:c r="F159" s="39" t="str">
        <x:v>IC-L3-350</x:v>
      </x:c>
      <x:c r="G159" s="42" t="n">
        <x:v>350</x:v>
      </x:c>
      <x:c r="H159" s="39" t="str">
        <x:v>医药/医疗 &gt; 医疗器械 &gt; 医疗器械销售经理/主管</x:v>
      </x:c>
      <x:c r="I159" s="39" t="str">
        <x:v>4-01-02-01</x:v>
      </x:c>
      <x:c r="J159" s="39" t="str">
        <x:v>营销员</x:v>
      </x:c>
      <x:c r="K159" s="39" t="str">
        <x:v>医疗器械销售经理/主管是医药/医疗行业中不可或缺的角色，他们不仅负责推动公司产品的市场拓展，还承担着维护客户关系、提高市场份额的重要职责。作为连接企业与市场的桥梁，他们通过精准把握市场需求、制定有效的销售策略，为公司创造持续稳定的收入来源，同时提升品牌影响力和竞争力。该职位需要与产品开发、市场推广等多个部门紧密合作，共同推进项目的成功实施；此外，销售经理/主…</x:v>
      </x:c>
      <x:c r="L159" s="39" t="str">
        <x:v>1. 制定并执行年度销售计划，确保完成既定的销售额及利润目标。 2. 负责区域市场的开拓与维护，建立长期稳定的合作关系，提高客户满意度和忠诚度。 3. 分析市场趋势和竞争对手动态，及时调整销售策略，以适应不断变化的市场环境。 4. 组织培训活动，提升销售团队的专业技能和服务水平，打造高效能的销售队伍。 5. 定期向管理层汇报工作进展，提出改进建议，支持公司战…</x:v>
      </x:c>
    </x:row>
    <x:row r="160" ht="52" customHeight="1">
      <x:c r="A160" s="42" t="n">
        <x:v>50</x:v>
      </x:c>
      <x:c r="B160" s="39" t="str">
        <x:v>医疗器械销售经理/主管</x:v>
      </x:c>
      <x:c r="C160" s="39" t="str">
        <x:v>可直接合并</x:v>
      </x:c>
      <x:c r="D160" s="39" t="str">
        <x:v>医疗器械销售经理/主管</x:v>
      </x:c>
      <x:c r="E160" s="42" t="n">
        <x:v>203</x:v>
      </x:c>
      <x:c r="F160" s="39" t="str">
        <x:v>IC-L3-354</x:v>
      </x:c>
      <x:c r="G160" s="42" t="n">
        <x:v>354</x:v>
      </x:c>
      <x:c r="H160" s="39" t="str">
        <x:v>医药/医疗 &gt; 医疗销售 &gt; 医疗器械销售经理/主管</x:v>
      </x:c>
      <x:c r="I160" s="39" t="str">
        <x:v>4-01-02-01</x:v>
      </x:c>
      <x:c r="J160" s="39" t="str">
        <x:v>营销员</x:v>
      </x:c>
      <x:c r="K160" s="39" t="str">
        <x:v>医疗器械销售经理/主管是医药/医疗行业中不可或缺的角色，主要负责推动公司医疗器械产品的市场拓展与销售业绩增长。通过精准把握市场需求变化，制定并实施有效的销售策略，确保公司在竞争激烈的市场环境中占据有利地位。 该职位的核心目标在于实现年度销售计划，提升市场份额及品牌影响力，同时维护并扩大客户群体，建立长期稳定的合作关系。通过对市场趋势的敏锐洞察和对产品优势的充…</x:v>
      </x:c>
      <x:c r="L160" s="39" t="str">
        <x:v>1. 负责制定并执行医疗器械产品的年度销售计划，确保完成既定的销售指标。 2. 分析市场动态，识别潜在客户，开发新客户资源，维护现有客户关系，提高客户满意度和忠诚度。 3. 组织并参与各类市场推广活动，如展会、学术会议等，扩大产品知名度，增强品牌形象。 4. 定期收集反馈信息，评估销售效果，及时调整销售策略，优化销售流程。 5. 协调内部资源，解决客户提出的…</x:v>
      </x:c>
    </x:row>
    <x:row r="161" ht="52" customHeight="1">
      <x:c r="A161" s="42" t="n">
        <x:v>50</x:v>
      </x:c>
      <x:c r="B161" s="39" t="str">
        <x:v>医疗器械销售经理/主管</x:v>
      </x:c>
      <x:c r="C161" s="39" t="str">
        <x:v>可直接合并</x:v>
      </x:c>
      <x:c r="D161" s="39" t="str">
        <x:v>医疗器械销售经理/主管</x:v>
      </x:c>
      <x:c r="E161" s="42" t="n">
        <x:v>324</x:v>
      </x:c>
      <x:c r="F161" s="39" t="str">
        <x:v>IC-L3-475</x:v>
      </x:c>
      <x:c r="G161" s="42" t="n">
        <x:v>475</x:v>
      </x:c>
      <x:c r="H161" s="39" t="str">
        <x:v>销售/客服 &gt; 销售高级管理 &gt; 医疗器械销售经理/主管</x:v>
      </x:c>
      <x:c r="I161" s="39" t="str">
        <x:v>4-01-02-01</x:v>
      </x:c>
      <x:c r="J161" s="39" t="str">
        <x:v>营销员</x:v>
      </x:c>
      <x:c r="K161" s="39" t="str">
        <x:v>医疗器械销售经理/主管是销售与客服行业中不可或缺的角色，其主要职责在于推动公司医疗器械产品的市场销售，确保销售目标的实现。该职位不仅需要具备出色的销售技巧，还需拥有良好的市场分析能力和客户服务意识，以满足不同客户的需求，从而提升公司的市场份额和品牌影响力。 该职位的核心目标是在保证客户满意度的同时，通过制定有效的销售策略和计划，带领销售团队完成或超越年度销售…</x:v>
      </x:c>
      <x:c r="L161" s="39" t="str">
        <x:v>1. 制定并实施年度销售计划，确保团队按时完成既定销售指标，同时关注市场变化趋势，灵活调整销售策略。 2. 负责建立和维护长期稳定的客户关系，积极开拓潜在客户群体，提高客户满意度及忠诚度。 3. 定期组织销售培训会议，分享成功案例，提升团队整体销售技能和服务水平。 4. 与内部相关部门紧密配合，协调解决销售过程中遇到的问题，优化销售流程，提高工作效率。 5.…</x:v>
      </x:c>
    </x:row>
    <x:row r="162" ht="52" customHeight="1">
      <x:c r="A162" s="42" t="n">
        <x:v>51</x:v>
      </x:c>
      <x:c r="B162" s="39" t="str">
        <x:v>医学顾问</x:v>
      </x:c>
      <x:c r="C162" s="39" t="str">
        <x:v>需拆分后合并</x:v>
      </x:c>
      <x:c r="D162" s="39" t="str">
        <x:v>待补专业方向限定词</x:v>
      </x:c>
      <x:c r="E162" s="42" t="n">
        <x:v>200</x:v>
      </x:c>
      <x:c r="F162" s="39" t="str">
        <x:v>IC-L3-351</x:v>
      </x:c>
      <x:c r="G162" s="42" t="n">
        <x:v>351</x:v>
      </x:c>
      <x:c r="H162" s="39" t="str">
        <x:v>医药/医疗 &gt; 医疗器械 &gt; 医学顾问</x:v>
      </x:c>
      <x:c r="I162" s="39" t="str">
        <x:v>2-05-07-01</x:v>
      </x:c>
      <x:c r="J162" s="39" t="str">
        <x:v>影像技师</x:v>
      </x:c>
      <x:c r="K162" s="39" t="str">
        <x:v>医学顾问是具备临床医学专业背景的医疗器械领域专业人员。该职位的核心目标是通过提供专业医学支持，确保产品临床合规性并优化产品应用价值。在日常工作中，需要进行临床评估、医学文献审核、医生培训及产品临床应用指导等工作。</x:v>
      </x:c>
      <x:c r="L162" s="39" t="str">
        <x:v>1. 提供医学专业支持 2. 审核医疗器械资料 3. 参与临床方案设计 4. 解答医学技术问题 5. 跟进产品注册流程 6. 培训销售医学知识</x:v>
      </x:c>
    </x:row>
    <x:row r="163" ht="52" customHeight="1">
      <x:c r="A163" s="42" t="n">
        <x:v>51</x:v>
      </x:c>
      <x:c r="B163" s="39" t="str">
        <x:v>医学顾问</x:v>
      </x:c>
      <x:c r="C163" s="39" t="str">
        <x:v>需拆分后合并</x:v>
      </x:c>
      <x:c r="D163" s="39" t="str">
        <x:v>待补专业方向限定词</x:v>
      </x:c>
      <x:c r="E163" s="42" t="n">
        <x:v>253</x:v>
      </x:c>
      <x:c r="F163" s="39" t="str">
        <x:v>IC-L3-404</x:v>
      </x:c>
      <x:c r="G163" s="42" t="n">
        <x:v>404</x:v>
      </x:c>
      <x:c r="H163" s="39" t="str">
        <x:v>医药/医疗 &gt; 生物制药 &gt; 医学顾问</x:v>
      </x:c>
      <x:c r="I163" s="39" t="str">
        <x:v>2-05-07-01</x:v>
      </x:c>
      <x:c r="J163" s="39" t="str">
        <x:v>影像技师</x:v>
      </x:c>
      <x:c r="K163" s="39" t="str">
        <x:v>医学顾问是专门从事医学科学支持与咨询的专业人员。该职位的核心目标是通过提供专业医学知识支持，确保公司产品科学合理应用。在日常工作中，需要进行医学信息沟通、临床研究支持、医学培训以及产品安全性监测等工作。</x:v>
      </x:c>
      <x:c r="L163" s="39" t="str">
        <x:v>1. 提供医学专业支持 2. 审核临床试验方案 3. 解读医学研究数据 4. 协助药品注册申报 5. 培训销售医学知识 6. 维护专家学术关系</x:v>
      </x:c>
    </x:row>
    <x:row r="164" ht="52" customHeight="1">
      <x:c r="A164" s="42" t="n">
        <x:v>51</x:v>
      </x:c>
      <x:c r="B164" s="39" t="str">
        <x:v>医学顾问</x:v>
      </x:c>
      <x:c r="C164" s="39" t="str">
        <x:v>需拆分后合并</x:v>
      </x:c>
      <x:c r="D164" s="39" t="str">
        <x:v>待补专业方向限定词</x:v>
      </x:c>
      <x:c r="E164" s="42" t="n">
        <x:v>285</x:v>
      </x:c>
      <x:c r="F164" s="39" t="str">
        <x:v>IC-L3-436</x:v>
      </x:c>
      <x:c r="G164" s="42" t="n">
        <x:v>436</x:v>
      </x:c>
      <x:c r="H164" s="39" t="str">
        <x:v>销售/客服 &gt; 销售人员 &gt; 医学顾问</x:v>
      </x:c>
      <x:c r="I164" s="39" t="str">
        <x:v>4-01-02-01</x:v>
      </x:c>
      <x:c r="J164" s="39" t="str">
        <x:v>营销员</x:v>
      </x:c>
      <x:c r="K164" s="39" t="str">
        <x:v>医学顾问是销售与客服行业中不可或缺的专业角色，他们不仅在医疗产品和服务的推广中扮演着关键角色，而且通过提供专业的医学知识支持，帮助企业建立良好的客户关系。作为公司与医疗机构之间的桥梁，医学顾问的核心目标在于深入了解客户需求，为客户提供量身定制的解决方案，从而提高产品的市场占有率和品牌影响力，同时确保所有推荐的产品或服务都符合医学伦理标准。此外，医学顾问通常需…</x:v>
      </x:c>
      <x:c r="L164" s="39" t="str">
        <x:v>1. 与潜在客户进行沟通，了解其需求并提供专业的医学建议，旨在提升客户满意度及忠诚度。 2. 定期拜访医院、诊所等医疗机构，介绍公司最新产品特点与优势，扩大市场份额。 3. 参与制定并执行销售计划，完成个人及团队设定的业绩指标，推动业务增长。 4. 收集行业动态和竞争对手信息，分析市场趋势，为公司战略决策提供数据支持。 5. 协助解决客户使用过程中遇到的问题…</x:v>
      </x:c>
    </x:row>
    <x:row r="165" ht="52" customHeight="1">
      <x:c r="A165" s="42" t="n">
        <x:v>52</x:v>
      </x:c>
      <x:c r="B165" s="39" t="str">
        <x:v>医药销售经理/主管</x:v>
      </x:c>
      <x:c r="C165" s="39" t="str">
        <x:v>可直接合并</x:v>
      </x:c>
      <x:c r="D165" s="39" t="str">
        <x:v>医药销售经理/主管</x:v>
      </x:c>
      <x:c r="E165" s="42" t="n">
        <x:v>206</x:v>
      </x:c>
      <x:c r="F165" s="39" t="str">
        <x:v>IC-L3-357</x:v>
      </x:c>
      <x:c r="G165" s="42" t="n">
        <x:v>357</x:v>
      </x:c>
      <x:c r="H165" s="39" t="str">
        <x:v>医药/医疗 &gt; 医疗销售 &gt; 医药销售经理/主管</x:v>
      </x:c>
      <x:c r="I165" s="39" t="str">
        <x:v>2-06-07-07</x:v>
      </x:c>
      <x:c r="J165" s="39" t="str">
        <x:v>医药代表</x:v>
      </x:c>
      <x:c r="K165" s="39" t="str">
        <x:v>医药销售经理/主管是医药/医疗行业中至关重要的角色之一。作为连接公司与市场的桥梁，他们不仅负责推动产品销售，还承担着建立和维护客户关系的重要任务，确保公司产品能够有效满足市场需求，同时提升品牌影响力。该职位通过制定并执行有效的销售策略，实现销售目标，对公司业绩增长和市场份额扩张具有不可替代的作用。此外，医药销售经理/主管还需要与其他部门紧密合作，如市场部、研…</x:v>
      </x:c>
      <x:c r="L165" s="39" t="str">
        <x:v>医药销售经理/主管的主要职责包括：制定并执行销售策略，达成销售目标；管理销售团队，提升团队业绩；维护和拓展客户关系，开发新客户资源；收集市场信息，分析竞争对手动态；组织销售培训，提升团队专业能力；协调内部资源，确保销售流程顺畅；参与产品推广活动，提升品牌影响力。</x:v>
      </x:c>
    </x:row>
    <x:row r="166" ht="52" customHeight="1">
      <x:c r="A166" s="42" t="n">
        <x:v>52</x:v>
      </x:c>
      <x:c r="B166" s="39" t="str">
        <x:v>医药销售经理/主管</x:v>
      </x:c>
      <x:c r="C166" s="39" t="str">
        <x:v>可直接合并</x:v>
      </x:c>
      <x:c r="D166" s="39" t="str">
        <x:v>医药销售经理/主管</x:v>
      </x:c>
      <x:c r="E166" s="42" t="n">
        <x:v>235</x:v>
      </x:c>
      <x:c r="F166" s="39" t="str">
        <x:v>IC-L3-386</x:v>
      </x:c>
      <x:c r="G166" s="42" t="n">
        <x:v>386</x:v>
      </x:c>
      <x:c r="H166" s="39" t="str">
        <x:v>医药/医疗 &gt; 生物制药 &gt; 医药销售经理/主管</x:v>
      </x:c>
      <x:c r="I166" s="39" t="str">
        <x:v>2-06-07-07</x:v>
      </x:c>
      <x:c r="J166" s="39" t="str">
        <x:v>医药代表</x:v>
      </x:c>
      <x:c r="K166" s="39" t="str">
        <x:v>医药销售经理/主管是生物制药行业中至关重要的角色，他们不仅负责推动公司产品的市场渗透率，还肩负着建立和维护客户关系的重要任务，对于实现企业的商业目标具有不可替代的作用。作为公司与市场之间的桥梁，医药销售经理/主管的核心目标在于通过高效地推广公司研发的生物制药产品，确保销售额稳定增长，同时提高品牌知名度和市场占有率，从而为公司带来持续的经济效益。此外，该职位还…</x:v>
      </x:c>
      <x:c r="L166" s="39" t="str">
        <x:v>医药销售经理/主管的主要职责包括：制定并执行销售策略，达成销售目标；管理销售团队，提升团队业绩；维护和拓展客户关系，开发新客户资源；收集市场信息，分析竞争对手动态；组织销售培训，提升团队专业能力；协调内部资源，确保销售流程顺畅；参与产品推广活动，提升品牌影响力。</x:v>
      </x:c>
    </x:row>
    <x:row r="167" ht="52" customHeight="1">
      <x:c r="A167" s="42" t="n">
        <x:v>52</x:v>
      </x:c>
      <x:c r="B167" s="39" t="str">
        <x:v>医药销售经理/主管</x:v>
      </x:c>
      <x:c r="C167" s="39" t="str">
        <x:v>可直接合并</x:v>
      </x:c>
      <x:c r="D167" s="39" t="str">
        <x:v>医药销售经理/主管</x:v>
      </x:c>
      <x:c r="E167" s="42" t="n">
        <x:v>325</x:v>
      </x:c>
      <x:c r="F167" s="39" t="str">
        <x:v>IC-L3-476</x:v>
      </x:c>
      <x:c r="G167" s="42" t="n">
        <x:v>476</x:v>
      </x:c>
      <x:c r="H167" s="39" t="str">
        <x:v>销售/客服 &gt; 销售高级管理 &gt; 医药销售经理/主管</x:v>
      </x:c>
      <x:c r="I167" s="39" t="str">
        <x:v>2-06-07-07</x:v>
      </x:c>
      <x:c r="J167" s="39" t="str">
        <x:v>医药代表</x:v>
      </x:c>
      <x:c r="K167" s="39" t="str">
        <x:v>医药销售经理/主管是销售/客服行业中不可或缺的关键角色，他们不仅负责推动公司产品在医疗领域的市场渗透，还承担着建立并维护与医疗机构良好关系的重要任务。作为连接公司与市场的桥梁，该职位对于实现企业的商业目标至关重要，通过制定有效的销售策略、管理销售团队以及优化客户体验，确保公司业绩持续增长，同时提升品牌形象和市场份额。此外，医药销售经理/主管还需要与其他部门密…</x:v>
      </x:c>
      <x:c r="L167" s="39" t="str">
        <x:v>医药销售经理/主管的主要职责包括：制定并执行销售策略，达成销售目标；管理销售团队，提升团队业绩；维护和拓展客户关系，开发新客户资源；收集市场信息，分析竞争对手动态；组织销售培训，提升团队专业能力；协调内部资源，确保销售流程顺畅；参与产品推广活动，提升品牌影响力。</x:v>
      </x:c>
    </x:row>
    <x:row r="168" ht="52" customHeight="1">
      <x:c r="A168" s="42" t="n">
        <x:v>53</x:v>
      </x:c>
      <x:c r="B168" s="39" t="str">
        <x:v>硬件测试工程师</x:v>
      </x:c>
      <x:c r="C168" s="39" t="str">
        <x:v>条件合并（先修分类）</x:v>
      </x:c>
      <x:c r="D168" s="39" t="str">
        <x:v>硬件测试工程师</x:v>
      </x:c>
      <x:c r="E168" s="42" t="n">
        <x:v>62</x:v>
      </x:c>
      <x:c r="F168" s="39" t="str">
        <x:v>IC-L3-213</x:v>
      </x:c>
      <x:c r="G168" s="42" t="n">
        <x:v>213</x:v>
      </x:c>
      <x:c r="H168" s="39" t="str">
        <x:v>互联网技术 &gt; 测试 &gt; 硬件测试工程师</x:v>
      </x:c>
      <x:c r="I168" s="39" t="str">
        <x:v>4-04-05-02</x:v>
      </x:c>
      <x:c r="J168" s="39" t="str">
        <x:v>计算机软件测试员</x:v>
      </x:c>
      <x:c r="K168" s="39" t="str">
        <x:v>硬件测试工程师是互联网技术行业中不可或缺的角色，负责确保产品硬件的质量与稳定性，直接关系到产品的市场竞争力和用户体验。通过系统地测试和评估硬件性能，该职位能够有效发现并解决潜在的技术问题，减少产品上市后的风险，对公司的技术创新和品牌建设具有重要贡献。此外，硬件测试工程师需要与研发、生产等多个部门紧密合作，共同推动项目进展，其专业技能和个人成长空间广阔，是公司…</x:v>
      </x:c>
      <x:c r="L168" s="39" t="str">
        <x:v>1. 负责制定详细的硬件测试计划，包括但不限于功能测试、性能测试、环境适应性测试等，确保所有测试活动覆盖全面，达到预期的质量标准。 2. 执行具体的硬件测试任务，记录测试数据，分析测试结果，及时反馈发现的问题，并提出改进建议，协助开发团队快速定位并解决问题。 3. 参与新产品的设计评审会议，从测试角度出发，提供可行性建议，预防设计缺陷，提高产品的一次成功率。…</x:v>
      </x:c>
    </x:row>
    <x:row r="169" ht="52" customHeight="1">
      <x:c r="A169" s="42" t="n">
        <x:v>53</x:v>
      </x:c>
      <x:c r="B169" s="39" t="str">
        <x:v>硬件测试工程师</x:v>
      </x:c>
      <x:c r="C169" s="39" t="str">
        <x:v>条件合并（先修分类）</x:v>
      </x:c>
      <x:c r="D169" s="39" t="str">
        <x:v>硬件测试工程师</x:v>
      </x:c>
      <x:c r="E169" s="42" t="n">
        <x:v>1174</x:v>
      </x:c>
      <x:c r="F169" s="39" t="str">
        <x:v>IC-L3-1325</x:v>
      </x:c>
      <x:c r="G169" s="42" t="n">
        <x:v>1325</x:v>
      </x:c>
      <x:c r="H169" s="39" t="str">
        <x:v>通信/电子 &gt; 电子/电器/仪器仪表 &gt; 硬件测试工程师</x:v>
      </x:c>
      <x:c r="I169" s="39" t="str">
        <x:v>2-02-09-02</x:v>
      </x:c>
      <x:c r="J169" s="39" t="str">
        <x:v>电子元器件工程技术人员</x:v>
      </x:c>
      <x:c r="K169" s="39" t="str">
        <x:v>硬件测试工程师是通信/电子行业中至关重要的角色，他们负责确保公司产品的硬件质量，通过系统的测试流程来验证产品是否符合设计要求和行业标准。在项目开发周期中，硬件测试工程师不仅能够发现并解决潜在的技术问题，还能为优化产品性能提供有价值的反馈，从而提升产品的市场竞争力，减少后期维护成本。此外，该职位通常需要与研发、生产等多部门密切合作，共同推动项目的顺利进行，同时…</x:v>
      </x:c>
      <x:c r="L169" s="39" t="str">
        <x:v>1. 负责制定详细的硬件测试计划，包括但不限于功能测试、性能测试、可靠性测试等，确保所有测试活动均能覆盖产品规格书的要求。 2. 执行硬件测试任务，记录测试数据，编写测试报告，分析测试结果，及时发现并跟踪问题直至解决，以保证产品质量达到预定目标。 3. 协助研发团队定位并解决硬件故障，提出改进建议，参与新产品的设计评审，从测试角度出发给予专业意见，预防未来可…</x:v>
      </x:c>
    </x:row>
    <x:row r="170" ht="52" customHeight="1">
      <x:c r="A170" s="42" t="n">
        <x:v>53</x:v>
      </x:c>
      <x:c r="B170" s="39" t="str">
        <x:v>硬件测试工程师</x:v>
      </x:c>
      <x:c r="C170" s="39" t="str">
        <x:v>条件合并（先修分类）</x:v>
      </x:c>
      <x:c r="D170" s="39" t="str">
        <x:v>硬件测试工程师</x:v>
      </x:c>
      <x:c r="E170" s="42" t="n">
        <x:v>1183</x:v>
      </x:c>
      <x:c r="F170" s="39" t="str">
        <x:v>IC-L3-1334</x:v>
      </x:c>
      <x:c r="G170" s="42" t="n">
        <x:v>1334</x:v>
      </x:c>
      <x:c r="H170" s="39" t="str">
        <x:v>通信/电子 &gt; 硬件开发 &gt; 硬件测试工程师</x:v>
      </x:c>
      <x:c r="I170" s="39" t="str">
        <x:v>2-02-09-02</x:v>
      </x:c>
      <x:c r="J170" s="39" t="str">
        <x:v>电子元器件工程技术人员</x:v>
      </x:c>
      <x:c r="K170" s="39" t="str">
        <x:v>硬件测试工程师是通信/电子行业中不可或缺的角色，他们负责确保产品硬件的质量与可靠性，对于推动技术创新和提高客户满意度至关重要。通过精准地检测和评估硬件性能，该职位能够帮助公司及时发现并解决潜在问题，降低后期维护成本，增强产品的市场竞争力。此外，硬件测试工程师通常需要与其他研发部门紧密合作，共同优化设计流程，随着技术的进步和个人技能的提升，这一职位也提供了广阔…</x:v>
      </x:c>
      <x:c r="L170" s="39" t="str">
        <x:v>1. 设计并执行全面的硬件测试方案，覆盖从元器件到整机系统的各个层面，确保所有硬件组件符合既定标准和规范。 2. 利用专业的测试工具和设备，对新开发的产品进行功能验证及性能测试，记录详细的测试结果，撰写测试报告。 3. 与研发团队密切沟通，针对发现的问题提出改进建议，协助完成故障排查和问题定位，直至问题得到有效解决。 4. 参与产品生命周期各阶段的评审会议，…</x:v>
      </x:c>
    </x:row>
    <x:row r="171" ht="52" customHeight="1">
      <x:c r="A171" s="42" t="n">
        <x:v>54</x:v>
      </x:c>
      <x:c r="B171" s="39" t="str">
        <x:v>硬件工程师</x:v>
      </x:c>
      <x:c r="C171" s="39" t="str">
        <x:v>可直接合并</x:v>
      </x:c>
      <x:c r="D171" s="39" t="str">
        <x:v>硬件工程师</x:v>
      </x:c>
      <x:c r="E171" s="42" t="n">
        <x:v>126</x:v>
      </x:c>
      <x:c r="F171" s="39" t="str">
        <x:v>IC-L3-277</x:v>
      </x:c>
      <x:c r="G171" s="42" t="n">
        <x:v>277</x:v>
      </x:c>
      <x:c r="H171" s="39" t="str">
        <x:v>产品 &gt; 硬件产品经理 &gt; 硬件工程师</x:v>
      </x:c>
      <x:c r="I171" s="39" t="str">
        <x:v>2-02-09-02</x:v>
      </x:c>
      <x:c r="J171" s="39" t="str">
        <x:v>电子元器件工程技术人员</x:v>
      </x:c>
      <x:c r="K171" s="39" t="str">
        <x:v>硬件工程师是专门从事电子硬件系统设计与开发的专业人员。该职位的核心目标是通过硬件方案设计和技术创新，实现产品功能与性能指标。在日常工作中，需要进行电路设计、PCB布局、原型测试及与产品经理协作优化硬件方案等工作。</x:v>
      </x:c>
      <x:c r="L171" s="39" t="str">
        <x:v>1. 设计硬件电路方案 2. 开发产品原型样品 3. 测试硬件性能参数 4. 优化产品设计方案 5. 编写技术文档资料 6. 解决生产质量问题</x:v>
      </x:c>
    </x:row>
    <x:row r="172" ht="52" customHeight="1">
      <x:c r="A172" s="42" t="n">
        <x:v>54</x:v>
      </x:c>
      <x:c r="B172" s="39" t="str">
        <x:v>硬件工程师</x:v>
      </x:c>
      <x:c r="C172" s="39" t="str">
        <x:v>可直接合并</x:v>
      </x:c>
      <x:c r="D172" s="39" t="str">
        <x:v>硬件工程师</x:v>
      </x:c>
      <x:c r="E172" s="42" t="n">
        <x:v>1173</x:v>
      </x:c>
      <x:c r="F172" s="39" t="str">
        <x:v>IC-L3-1324</x:v>
      </x:c>
      <x:c r="G172" s="42" t="n">
        <x:v>1324</x:v>
      </x:c>
      <x:c r="H172" s="39" t="str">
        <x:v>通信/电子 &gt; 电子/电器/仪器仪表 &gt; 硬件工程师</x:v>
      </x:c>
      <x:c r="I172" s="39" t="str">
        <x:v>2-02-09-02</x:v>
      </x:c>
      <x:c r="J172" s="39" t="str">
        <x:v>电子元器件工程技术人员</x:v>
      </x:c>
      <x:c r="K172" s="39" t="str">
        <x:v>硬件工程师在通信/电子行业中扮演着至关重要的角色，他们负责设计与开发电子设备的核心组件，确保产品的高效运行及可靠性。作为连接理论设计与实际应用的桥梁，硬件工程师不仅需要具备扎实的专业知识，还需要拥有创新思维和解决问题的能力，以满足市场日益增长的技术需求。此外，硬件工程师通常需要与其他部门紧密合作，如软件开发团队、产品设计团队等，共同推进项目进度；同时，随着技…</x:v>
      </x:c>
      <x:c r="L172" s="39" t="str">
        <x:v>1. 负责新产品的硬件架构设计与实现，包括电路板布局、元器件选型等工作，确保设计方案符合性能指标要求。 2. 进行硬件测试与调试，通过模拟实验验证电路功能，及时发现并解决潜在问题，保障产品质量。 3. 与软件工程师协同工作，确保硬件平台能够支持上层应用程序的正常运行，优化系统整体性能。 4. 编写详细的硬件开发文档和技术报告，记录设计思路、测试过程及结果，便…</x:v>
      </x:c>
    </x:row>
    <x:row r="173" ht="52" customHeight="1">
      <x:c r="A173" s="42" t="n">
        <x:v>54</x:v>
      </x:c>
      <x:c r="B173" s="39" t="str">
        <x:v>硬件工程师</x:v>
      </x:c>
      <x:c r="C173" s="39" t="str">
        <x:v>可直接合并</x:v>
      </x:c>
      <x:c r="D173" s="39" t="str">
        <x:v>硬件工程师</x:v>
      </x:c>
      <x:c r="E173" s="42" t="n">
        <x:v>1182</x:v>
      </x:c>
      <x:c r="F173" s="39" t="str">
        <x:v>IC-L3-1333</x:v>
      </x:c>
      <x:c r="G173" s="42" t="n">
        <x:v>1333</x:v>
      </x:c>
      <x:c r="H173" s="39" t="str">
        <x:v>通信/电子 &gt; 硬件开发 &gt; 硬件工程师</x:v>
      </x:c>
      <x:c r="I173" s="39" t="str">
        <x:v>2-02-09-02</x:v>
      </x:c>
      <x:c r="J173" s="39" t="str">
        <x:v>电子元器件工程技术人员</x:v>
      </x:c>
      <x:c r="K173" s="39" t="str">
        <x:v>硬件工程师是通信/电子行业中不可或缺的专业技术人才，他们负责设计、测试和优化各种电子设备和系统的硬件部分，确保产品的性能达到最优。通过持续的技术创新和问题解决，硬件工程师不仅能够推动公司产品竞争力的提升，还能够帮助公司在激烈的市场竞争中占据有利地位。此外，硬件工程师通常与软件工程师、项目经理等多部门密切合作，共同推进项目进展，这一角色为个人提供了广阔的职业发…</x:v>
      </x:c>
      <x:c r="L173" s="39" t="str">
        <x:v>1. 负责新产品的硬件方案设计，包括电路原理图的设计、PCB布局及元器件选型，以确保设计方案满足产品功能需求并符合成本预算。 2. 执行详细的硬件测试计划，验证电路板的功能正确性和稳定性，及时发现并解决潜在的技术难题，保证产品按时高质量地完成开发任务。 3. 与软件团队紧密配合，参与系统集成调试工作，确保软硬件之间的兼容性和协同工作效果，最终实现产品的预期功…</x:v>
      </x:c>
    </x:row>
    <x:row r="174" ht="52" customHeight="1">
      <x:c r="A174" s="42" t="n">
        <x:v>55</x:v>
      </x:c>
      <x:c r="B174" s="39" t="str">
        <x:v>招生老师</x:v>
      </x:c>
      <x:c r="C174" s="39" t="str">
        <x:v>可直接合并</x:v>
      </x:c>
      <x:c r="D174" s="39" t="str">
        <x:v>招生老师</x:v>
      </x:c>
      <x:c r="E174" s="42" t="n">
        <x:v>268</x:v>
      </x:c>
      <x:c r="F174" s="39" t="str">
        <x:v>IC-L3-419</x:v>
      </x:c>
      <x:c r="G174" s="42" t="n">
        <x:v>419</x:v>
      </x:c>
      <x:c r="H174" s="39" t="str">
        <x:v>销售/客服 &gt; 教培销售 &gt; 招生老师</x:v>
      </x:c>
      <x:c r="I174" s="39" t="str">
        <x:v>2-08-01-01</x:v>
      </x:c>
      <x:c r="J174" s="39" t="str">
        <x:v>普通高等学校教师</x:v>
      </x:c>
      <x:c r="K174" s="39" t="str">
        <x:v>招生老师在教育培训机构中扮演着至关重要的角色，是连接潜在学生与机构之间的桥梁。他们不仅负责吸引新客户，还承担着维护现有客户关系的任务，通过高效沟通和服务提升客户的满意度和忠诚度，从而促进机构的长期发展和品牌建设。 作为招生老师，其核心目标在于通过精准的市场分析和有效的推广策略，达成或超越每月的招生指标，同时确保每位学生的报名体验顺畅无阻。该职位对于公司而言，…</x:v>
      </x:c>
      <x:c r="L174" s="39" t="str">
        <x:v>1. 主动开发潜在客户资源，通过电话、网络及线下活动等多种渠道进行有效沟通，激发家长和学生的兴趣，引导完成报名流程。 2. 定期参加行业交流会和教育培训会，了解最新的教育政策和市场需求变化，以便及时调整招生策略。 3. 负责解答家长及学生关于课程设置、师资力量等方面的问题，提供专业咨询建议，增强客户信任感。 4. 协同相关部门制定并实施年度招生计划，确保招生…</x:v>
      </x:c>
    </x:row>
    <x:row r="175" ht="52" customHeight="1">
      <x:c r="A175" s="42" t="n">
        <x:v>55</x:v>
      </x:c>
      <x:c r="B175" s="39" t="str">
        <x:v>招生老师</x:v>
      </x:c>
      <x:c r="C175" s="39" t="str">
        <x:v>可直接合并</x:v>
      </x:c>
      <x:c r="D175" s="39" t="str">
        <x:v>招生老师</x:v>
      </x:c>
      <x:c r="E175" s="42" t="n">
        <x:v>826</x:v>
      </x:c>
      <x:c r="F175" s="39" t="str">
        <x:v>IC-L3-977</x:v>
      </x:c>
      <x:c r="G175" s="42" t="n">
        <x:v>977</x:v>
      </x:c>
      <x:c r="H175" s="39" t="str">
        <x:v>生活服务/零售 &gt; 服务员 &gt; 招生老师</x:v>
      </x:c>
      <x:c r="I175" s="39" t="str">
        <x:v>2-08-01-01</x:v>
      </x:c>
      <x:c r="J175" s="39" t="str">
        <x:v>普通高等学校教师</x:v>
      </x:c>
      <x:c r="K175" s="39" t="str">
        <x:v>招生老师是专门从事教育服务行业人才招募与发展的专业人员。该职位的核心目标是通过精准人才选拔和培养，为服务业输送优质人才。在日常工作中，需要进行招生宣传、学员面试评估、培训需求分析及入学手续办理等工作。</x:v>
      </x:c>
      <x:c r="L175" s="39" t="str">
        <x:v>1. 制定招生计划 2. 开展招生宣传 3. 接待咨询家长 4. 组织参观体验 5. 完成招生指标 6. 维护客户关系</x:v>
      </x:c>
    </x:row>
    <x:row r="176" ht="52" customHeight="1">
      <x:c r="A176" s="42" t="n">
        <x:v>55</x:v>
      </x:c>
      <x:c r="B176" s="39" t="str">
        <x:v>招生老师</x:v>
      </x:c>
      <x:c r="C176" s="39" t="str">
        <x:v>可直接合并</x:v>
      </x:c>
      <x:c r="D176" s="39" t="str">
        <x:v>招生老师</x:v>
      </x:c>
      <x:c r="E176" s="42" t="n">
        <x:v>899</x:v>
      </x:c>
      <x:c r="F176" s="39" t="str">
        <x:v>IC-L3-1050</x:v>
      </x:c>
      <x:c r="G176" s="42" t="n">
        <x:v>1050</x:v>
      </x:c>
      <x:c r="H176" s="39" t="str">
        <x:v>科研/教育/培训 &gt; 教育咨询 &gt; 招生老师</x:v>
      </x:c>
      <x:c r="I176" s="39" t="str">
        <x:v>2-08-01-01</x:v>
      </x:c>
      <x:c r="J176" s="39" t="str">
        <x:v>普通高等学校教师</x:v>
      </x:c>
      <x:c r="K176" s="39" t="str">
        <x:v>招生老师是科研/教育/培训行业中不可或缺的角色，主要负责吸引并选拔合适的学生加入教育机构或项目。作为学校与学生之间的桥梁，招生老师不仅代表着学校的形象，还肩负着为学生提供准确、全面的信息服务的责任，以帮助他们做出明智的选择。 该职位的核心目标在于确保招生计划的顺利实施，通过有效的沟通策略提高报名率和录取率，同时维护良好的品牌形象。招生老师需深入了解学校的优势…</x:v>
      </x:c>
      <x:c r="L176" s="39" t="str">
        <x:v>1. 主动联系并接待来访学生及家长，耐心解答关于学校概况、专业设置、就业前景等方面的问题，提供专业咨询，引导其完成入学申请流程。 2. 定期参加各类招生宣讲会、开放日等活动，积极展示学校特色，收集意向客户信息，建立并维护潜在生源数据库。 3. 制定并执行年度招生计划，分析招生数据，评估活动效果，及时调整策略以达成预期目标。 4. 与相关部门协调配合，确保招生…</x:v>
      </x:c>
    </x:row>
    <x:row r="177" ht="52" customHeight="1">
      <x:c r="A177" s="42" t="n">
        <x:v>56</x:v>
      </x:c>
      <x:c r="B177" s="39" t="str">
        <x:v>智能驾驶工程师</x:v>
      </x:c>
      <x:c r="C177" s="39" t="str">
        <x:v>可直接合并</x:v>
      </x:c>
      <x:c r="D177" s="39" t="str">
        <x:v>智能驾驶工程师</x:v>
      </x:c>
      <x:c r="E177" s="42" t="n">
        <x:v>2</x:v>
      </x:c>
      <x:c r="F177" s="39" t="str">
        <x:v>IC-L3-153</x:v>
      </x:c>
      <x:c r="G177" s="42" t="n">
        <x:v>153</x:v>
      </x:c>
      <x:c r="H177" s="39" t="str">
        <x:v>互联网技术 &gt; 人工智能 &gt; 智能驾驶工程师</x:v>
      </x:c>
      <x:c r="I177" s="39" t="str">
        <x:v>2-02-38-01</x:v>
      </x:c>
      <x:c r="J177" s="39" t="str">
        <x:v>人工智能工程技术人员</x:v>
      </x:c>
      <x:c r="K177" s="39" t="str">
        <x:v>智能驾驶工程师是互联网技术行业中人工智能方向的关键角色之一，负责开发和优化自动驾驶系统，确保车辆能够在各种复杂环境中安全、高效地运行。随着全球对智能交通系统的日益重视，这一职位不仅处于技术创新的前沿，还肩负着推动社会进步的重要使命。 该职位的核心目标在于利用先进的机器学习算法和数据处理技术，构建高度可靠和适应性强的自动驾驶解决方案。通过不断迭代和测试，智能驾…</x:v>
      </x:c>
      <x:c r="L177" s="39" t="str">
        <x:v>智能驾驶工程师的主要职责包括：负责智能驾驶系统的研发与优化，包括感知、决策与控制模块；参与自动驾驶算法的设计与实现，确保系统在各种复杂环境下的稳定运行；进行数据采集与分析，持续优化算法性能；与跨部门团队紧密合作，推动智能驾驶技术的集成与测试；跟踪智能驾驶领域的最新技术发展，提出创新解决方案。</x:v>
      </x:c>
    </x:row>
    <x:row r="178" ht="52" customHeight="1">
      <x:c r="A178" s="42" t="n">
        <x:v>56</x:v>
      </x:c>
      <x:c r="B178" s="39" t="str">
        <x:v>智能驾驶工程师</x:v>
      </x:c>
      <x:c r="C178" s="39" t="str">
        <x:v>可直接合并</x:v>
      </x:c>
      <x:c r="D178" s="39" t="str">
        <x:v>智能驾驶工程师</x:v>
      </x:c>
      <x:c r="E178" s="42" t="n">
        <x:v>581</x:v>
      </x:c>
      <x:c r="F178" s="39" t="str">
        <x:v>IC-L3-732</x:v>
      </x:c>
      <x:c r="G178" s="42" t="n">
        <x:v>732</x:v>
      </x:c>
      <x:c r="H178" s="39" t="str">
        <x:v>汽车 &gt; 汽车研发设计 &gt; 智能驾驶工程师</x:v>
      </x:c>
      <x:c r="I178" s="39" t="str">
        <x:v>2-02-38-01</x:v>
      </x:c>
      <x:c r="J178" s="39" t="str">
        <x:v>人工智能工程技术人员</x:v>
      </x:c>
      <x:c r="K178" s="39" t="str">
        <x:v>智能驾驶工程师是汽车行业中推动技术创新与发展的关键角色之一，随着智能网联技术的不断进步，这一职位对于实现汽车行业的转型升级具有不可替代的作用。作为智能驾驶领域的专家，智能驾驶工程师的主要任务是开发先进的自动驾驶系统，通过优化算法和提高系统的稳定性和安全性，为公司创造核心竞争力，同时为客户提供更加安全、便捷的出行体验。在日常工作中，智能驾驶工程师需要与其他部门…</x:v>
      </x:c>
      <x:c r="L178" s="39" t="str">
        <x:v>智能驾驶工程师的主要职责包括：负责智能驾驶系统的研发与优化，包括感知、决策与控制模块；参与自动驾驶算法的设计与实现，确保系统在各种复杂环境下的稳定运行；进行数据采集与分析，持续优化算法性能；与跨部门团队紧密合作，推动智能驾驶技术的集成与测试；跟踪智能驾驶领域的最新技术发展，提出创新解决方案。</x:v>
      </x:c>
    </x:row>
    <x:row r="179" ht="52" customHeight="1">
      <x:c r="A179" s="42" t="n">
        <x:v>56</x:v>
      </x:c>
      <x:c r="B179" s="39" t="str">
        <x:v>智能驾驶工程师</x:v>
      </x:c>
      <x:c r="C179" s="39" t="str">
        <x:v>可直接合并</x:v>
      </x:c>
      <x:c r="D179" s="39" t="str">
        <x:v>智能驾驶工程师</x:v>
      </x:c>
      <x:c r="E179" s="42" t="n">
        <x:v>663</x:v>
      </x:c>
      <x:c r="F179" s="39" t="str">
        <x:v>IC-L3-814</x:v>
      </x:c>
      <x:c r="G179" s="42" t="n">
        <x:v>814</x:v>
      </x:c>
      <x:c r="H179" s="39" t="str">
        <x:v>生产制造 &gt; 工程/机械 &gt; 智能驾驶工程师</x:v>
      </x:c>
      <x:c r="I179" s="39" t="str">
        <x:v>2-02-38-01</x:v>
      </x:c>
      <x:c r="J179" s="39" t="str">
        <x:v>人工智能工程技术人员</x:v>
      </x:c>
      <x:c r="K179" s="39" t="str">
        <x:v>智能驾驶工程师是专门从事自动驾驶系统研发的专业人员。该职位的核心目标是通过算法开发与系统集成，实现车辆智能驾驶功能的安全可靠运行。在日常工作中，需要进行传感器融合、路径规划、控制算法开发及实车测试验证等工作。</x:v>
      </x:c>
      <x:c r="L179" s="39" t="str">
        <x:v>1. 研发自动驾驶算法 2. 优化传感器融合技术 3. 设计车辆控制系统 4. 测试智能驾驶功能 5. 分析路测数据报告 6. 改进系统安全性能</x:v>
      </x:c>
    </x:row>
    <x:row r="180" ht="52" customHeight="1">
      <x:c r="A180" s="42" t="n">
        <x:v>57</x:v>
      </x:c>
      <x:c r="B180" s="39" t="str">
        <x:v>BI工程师</x:v>
      </x:c>
      <x:c r="C180" s="39" t="str">
        <x:v>条件合并（先修分类）</x:v>
      </x:c>
      <x:c r="D180" s="39" t="str">
        <x:v>BI工程师</x:v>
      </x:c>
      <x:c r="E180" s="42" t="n">
        <x:v>43</x:v>
      </x:c>
      <x:c r="F180" s="39" t="str">
        <x:v>IC-L3-194</x:v>
      </x:c>
      <x:c r="G180" s="42" t="n">
        <x:v>194</x:v>
      </x:c>
      <x:c r="H180" s="39" t="str">
        <x:v>互联网技术 &gt; 技术管理 &gt; BI工程师</x:v>
      </x:c>
      <x:c r="I180" s="39" t="str">
        <x:v>2-02-10-03</x:v>
      </x:c>
      <x:c r="J180" s="39" t="str">
        <x:v>计算机软件工程技术人员</x:v>
      </x:c>
      <x:c r="K180" s="39" t="str">
        <x:v>BI工程师是专门从事商业智能系统开发与数据分析的专业人员。该职位的核心目标是通过构建数据可视化平台和分析模型，支撑企业数据驱动决策。在日常工作中，需要进行ETL流程设计、数据仓库构建、报表开发及业务需求分析等工作。</x:v>
      </x:c>
      <x:c r="L180" s="39" t="str">
        <x:v>1. 设计数据仓库架构 2. 开发ETL数据处理流程 3. 构建商业智能报表 4. 优化数据分析模型 5. 维护BI系统稳定性 6. 对接业务需求分析</x:v>
      </x:c>
    </x:row>
    <x:row r="181" ht="52" customHeight="1">
      <x:c r="A181" s="42" t="n">
        <x:v>57</x:v>
      </x:c>
      <x:c r="B181" s="39" t="str">
        <x:v>BI工程师</x:v>
      </x:c>
      <x:c r="C181" s="39" t="str">
        <x:v>条件合并（先修分类）</x:v>
      </x:c>
      <x:c r="D181" s="39" t="str">
        <x:v>BI工程师</x:v>
      </x:c>
      <x:c r="E181" s="42" t="n">
        <x:v>44</x:v>
      </x:c>
      <x:c r="F181" s="39" t="str">
        <x:v>IC-L3-195</x:v>
      </x:c>
      <x:c r="G181" s="42" t="n">
        <x:v>195</x:v>
      </x:c>
      <x:c r="H181" s="39" t="str">
        <x:v>互联网技术 &gt; 数据 &gt; BI工程师</x:v>
      </x:c>
      <x:c r="I181" s="39" t="str">
        <x:v>2-02-10-03</x:v>
      </x:c>
      <x:c r="J181" s="39" t="str">
        <x:v>计算机软件工程技术人员</x:v>
      </x:c>
      <x:c r="K181" s="39" t="str">
        <x:v>BI工程师是互联网技术行业中不可或缺的专业人才，他们通过数据分析和商业智能工具的应用，帮助企业从海量数据中挖掘出有价值的洞察，从而支持决策制定和业务优化。在数据驱动的时代背景下，BI工程师的角色越来越受到重视。 该职位的核心目标在于构建高效的数据处理与分析系统，确保数据的准确性和及时性，为公司提供强大的数据支持，帮助管理层做出更加明智的战略决策。通过对业务流…</x:v>
      </x:c>
      <x:c r="L181" s="39" t="str">
        <x:v>1. 负责设计并实现高效的数据仓库解决方案，确保数据存储的安全性和可访问性，满足不同业务场景下的查询需求。 2. 利用SQL等查询语言进行复杂的数据提取与清洗工作，保证数据质量，为后续分析打下坚实基础。 3. 开发和维护各类报表及仪表盘，将复杂的业务逻辑转化为直观易懂的图表展示，辅助高层管理人员快速掌握关键指标。 4. 与业务团队密切沟通，理解其特定的数据需…</x:v>
      </x:c>
    </x:row>
    <x:row r="182" ht="52" customHeight="1">
      <x:c r="A182" s="42" t="n">
        <x:v>57</x:v>
      </x:c>
      <x:c r="B182" s="39" t="str">
        <x:v>BI工程师</x:v>
      </x:c>
      <x:c r="C182" s="39" t="str">
        <x:v>条件合并（先修分类）</x:v>
      </x:c>
      <x:c r="D182" s="39" t="str">
        <x:v>BI工程师</x:v>
      </x:c>
      <x:c r="E182" s="42" t="n">
        <x:v>1195</x:v>
      </x:c>
      <x:c r="F182" s="39" t="str">
        <x:v>IC-L3-1346</x:v>
      </x:c>
      <x:c r="G182" s="42" t="n">
        <x:v>1346</x:v>
      </x:c>
      <x:c r="H182" s="39" t="str">
        <x:v>通信/电子 &gt; 硬件开发 &gt; BI工程师</x:v>
      </x:c>
      <x:c r="I182" s="39" t="str">
        <x:v>2-02-09-02</x:v>
      </x:c>
      <x:c r="J182" s="39" t="str">
        <x:v>电子元器件工程技术人员</x:v>
      </x:c>
      <x:c r="K182" s="39" t="str">
        <x:v>BI工程师是专门从事商业智能系统开发与数据分析的专业人员。该职位的核心目标是通过构建数据仓库和可视化分析平台，支持硬件研发决策和业务优化。在日常工作中，需要进行ETL流程开发、数据建模、BI报表设计及性能调优等工作。</x:v>
      </x:c>
      <x:c r="L182" s="39" t="str">
        <x:v>1. 设计数据仓库架构 2. 开发ETL数据处理流程 3. 构建业务分析模型 4. 优化硬件性能指标 5. 制作数据可视化报表 6. 支持业务决策分析</x:v>
      </x:c>
    </x:row>
    <x:row r="183" ht="52" customHeight="1">
      <x:c r="A183" s="42" t="n">
        <x:v>58</x:v>
      </x:c>
      <x:c r="B183" s="39" t="str">
        <x:v>BIM工程师</x:v>
      </x:c>
      <x:c r="C183" s="39" t="str">
        <x:v>条件合并（先修分类）</x:v>
      </x:c>
      <x:c r="D183" s="39" t="str">
        <x:v>BIM工程师</x:v>
      </x:c>
      <x:c r="E183" s="42" t="n">
        <x:v>452</x:v>
      </x:c>
      <x:c r="F183" s="39" t="str">
        <x:v>IC-L3-603</x:v>
      </x:c>
      <x:c r="G183" s="42" t="n">
        <x:v>603</x:v>
      </x:c>
      <x:c r="H183" s="39" t="str">
        <x:v>建筑/房地产 &gt; 建筑工程 &gt; BIM工程师</x:v>
      </x:c>
      <x:c r="I183" s="39" t="str">
        <x:v>2-02-18-01</x:v>
      </x:c>
      <x:c r="J183" s="39" t="str">
        <x:v>建筑和市政设计工程技术人员</x:v>
      </x:c>
      <x:c r="K183" s="39" t="str">
        <x:v>BIM工程师是专门从事建筑信息模型技术应用的专业人员。该职位的核心目标是通过建立和管理BIM模型，实现建筑工程全生命周期的数字化协同。在日常工作中，需要进行模型创建与维护、碰撞检测分析、施工模拟及工程量统计等工作。</x:v>
      </x:c>
      <x:c r="L183" s="39" t="str">
        <x:v>1. 建立建筑信息模型 2. 优化BIM设计方案 3. 协调各专业模型 4. 输出BIM施工图纸 5. 解决模型碰撞问题 6. 培训BIM应用技术</x:v>
      </x:c>
    </x:row>
    <x:row r="184" ht="52" customHeight="1">
      <x:c r="A184" s="42" t="n">
        <x:v>58</x:v>
      </x:c>
      <x:c r="B184" s="39" t="str">
        <x:v>BIM工程师</x:v>
      </x:c>
      <x:c r="C184" s="39" t="str">
        <x:v>条件合并（先修分类）</x:v>
      </x:c>
      <x:c r="D184" s="39" t="str">
        <x:v>BIM工程师</x:v>
      </x:c>
      <x:c r="E184" s="42" t="n">
        <x:v>455</x:v>
      </x:c>
      <x:c r="F184" s="39" t="str">
        <x:v>IC-L3-606</x:v>
      </x:c>
      <x:c r="G184" s="42" t="n">
        <x:v>606</x:v>
      </x:c>
      <x:c r="H184" s="39" t="str">
        <x:v>建筑/房地产 &gt; 建筑规划与设计 &gt; BIM工程师</x:v>
      </x:c>
      <x:c r="I184" s="39" t="str">
        <x:v>2-02-18-01</x:v>
      </x:c>
      <x:c r="J184" s="39" t="str">
        <x:v>建筑和市政设计工程技术人员</x:v>
      </x:c>
      <x:c r="K184" s="39" t="str">
        <x:v>BIM工程师是建筑规划与设计领域中不可或缺的专业人才，他们利用先进的建筑信息模型技术，将建筑设计、施工管理及后期运维等各个环节紧密联系起来，确保项目从概念到完成的每一个阶段都能高效、准确地进行。通过构建详细的三维数字模型，BIM工程师能够帮助公司优化设计方案，减少施工过程中的错误与返工，提高资源利用率，降低成本，同时增强项目的可持续性和环保性能，为公司创造更…</x:v>
      </x:c>
      <x:c r="L184" s="39" t="str">
        <x:v>1. 负责创建和维护项目全生命周期内的BIM模型，确保模型数据的完整性和准确性，满足各阶段的设计需求。 2. 与建筑师、结构工程师等多专业团队协作，协调各专业间的信息交流与共享，促进设计流程的标准化和协同化。 3. 对比分析不同方案的成本效益，提出合理化建议，协助制定最优设计方案，提升项目整体品质。 4. 参与制定并执行BIM标准和工作流程，培训新员工掌握相…</x:v>
      </x:c>
    </x:row>
    <x:row r="185" ht="52" customHeight="1">
      <x:c r="A185" s="42" t="n">
        <x:v>58</x:v>
      </x:c>
      <x:c r="B185" s="39" t="str">
        <x:v>BIM工程师</x:v>
      </x:c>
      <x:c r="C185" s="39" t="str">
        <x:v>条件合并（先修分类）</x:v>
      </x:c>
      <x:c r="D185" s="39" t="str">
        <x:v>BIM工程师</x:v>
      </x:c>
      <x:c r="E185" s="42" t="n">
        <x:v>994</x:v>
      </x:c>
      <x:c r="F185" s="39" t="str">
        <x:v>IC-L3-1145</x:v>
      </x:c>
      <x:c r="G185" s="42" t="n">
        <x:v>1145</x:v>
      </x:c>
      <x:c r="H185" s="39" t="str">
        <x:v>设计 &gt; 建筑/室内设计 &gt; BIM工程师</x:v>
      </x:c>
      <x:c r="I185" s="39" t="str">
        <x:v>2-09-06-01</x:v>
      </x:c>
      <x:c r="J185" s="39" t="str">
        <x:v>视觉传达设计人员</x:v>
      </x:c>
      <x:c r="K185" s="39" t="str">
        <x:v>BIM工程师是建筑设计与施工领域中不可或缺的专业人才，他们利用先进的BIM（Building Information Modeling）技术，在项目的设计、建造和运营过程中发挥着至关重要的作用。通过创建和管理三维模型，BIM工程师能够确保所有参与方的信息准确无误地交流，从而提高项目效率、减少错误并降低成本。BIM工程师不仅负责建立详细的建筑信息模型，还承担着…</x:v>
      </x:c>
      <x:c r="L185" s="39" t="str">
        <x:v>1. 使用BIM软件创建和维护建筑项目的三维模型，确保模型数据的准确性与完整性。 2. 协调各专业领域的设计工作，解决模型中存在的冲突问题，促进多专业间的有效沟通。 3. 分析项目需求，提出基于BIM技术的设计优化方案，以提高项目质量和施工效率。 4. 参与项目会议，向客户或团队成员展示BIM模型及相关报告，提供技术支持和建议。 5. 跟踪最新的BIM技术和…</x:v>
      </x:c>
    </x:row>
    <x:row r="186" ht="52" customHeight="1">
      <x:c r="A186" s="42" t="n">
        <x:v>59</x:v>
      </x:c>
      <x:c r="B186" s="39" t="str">
        <x:v>Flash设计师</x:v>
      </x:c>
      <x:c r="C186" s="39" t="str">
        <x:v>可直接合并</x:v>
      </x:c>
      <x:c r="D186" s="39" t="str">
        <x:v>Flash设计师</x:v>
      </x:c>
      <x:c r="E186" s="42" t="n">
        <x:v>952</x:v>
      </x:c>
      <x:c r="F186" s="39" t="str">
        <x:v>IC-L3-1103</x:v>
      </x:c>
      <x:c r="G186" s="42" t="n">
        <x:v>1103</x:v>
      </x:c>
      <x:c r="H186" s="39" t="str">
        <x:v>设计 &gt; 互联网设计 &gt; Flash设计师</x:v>
      </x:c>
      <x:c r="I186" s="39" t="str">
        <x:v>2-09-06-01</x:v>
      </x:c>
      <x:c r="J186" s="39" t="str">
        <x:v>视觉传达设计人员</x:v>
      </x:c>
      <x:c r="K186" s="39" t="str">
        <x:v>Flash设计师是互联网设计领域中不可或缺的角色之一，他们通过创新和技术手段，将创意转化为视觉上引人入胜的交互式体验。随着网络技术的发展，Flash设计师不仅能够创造出更加丰富多样的视觉效果，还能有效提升用户体验，增加用户黏性，从而为企业带来更高的商业价值。在日常工作中，Flash设计师需要与产品经理、前端开发工程师等紧密合作，共同完成项目的设计与实施；同时…</x:v>
      </x:c>
      <x:c r="L186" s="39" t="str">
        <x:v>1. 负责使用Flash及相关工具进行动画制作及界面设计，确保作品符合项目要求并具备良好的视觉效果。 2. 根据产品需求，与团队成员沟通交流，准确理解并实现设计概念，提高产品的互动性和吸引力。 3. 对现有产品进行持续优化，定期收集用户反馈，分析数据，针对问题提出改进方案并落实执行。 4. 关注最新设计趋势和技术动态，积极参与内部培训和外部交流活动，不断提升…</x:v>
      </x:c>
    </x:row>
    <x:row r="187" ht="52" customHeight="1">
      <x:c r="A187" s="42" t="n">
        <x:v>59</x:v>
      </x:c>
      <x:c r="B187" s="39" t="str">
        <x:v>Flash设计师</x:v>
      </x:c>
      <x:c r="C187" s="39" t="str">
        <x:v>可直接合并</x:v>
      </x:c>
      <x:c r="D187" s="39" t="str">
        <x:v>Flash设计师</x:v>
      </x:c>
      <x:c r="E187" s="42" t="n">
        <x:v>967</x:v>
      </x:c>
      <x:c r="F187" s="39" t="str">
        <x:v>IC-L3-1118</x:v>
      </x:c>
      <x:c r="G187" s="42" t="n">
        <x:v>1118</x:v>
      </x:c>
      <x:c r="H187" s="39" t="str">
        <x:v>设计 &gt; 动画设计 &gt; Flash设计师</x:v>
      </x:c>
      <x:c r="I187" s="39" t="str">
        <x:v>2-09-06-01</x:v>
      </x:c>
      <x:c r="J187" s="39" t="str">
        <x:v>视觉传达设计人员</x:v>
      </x:c>
      <x:c r="K187" s="39" t="str">
        <x:v>Flash设计师是专门从事Flash动画制作与交互设计的专业人员。该职位的核心目标是通过创作高质量的Flash动画，提升用户体验和视觉表现力。在日常工作中，需要进行动画设计、交互效果制作、ActionScript编程以及与其他设计团队协作等工作。</x:v>
      </x:c>
      <x:c r="L187" s="39" t="str">
        <x:v>1. 设计Flash动画效果 2. 制作互动动画界面 3. 优化动画加载性能 4. 配合团队完成项目 5. 维护动画素材库 6. 跟踪行业技术发展</x:v>
      </x:c>
    </x:row>
    <x:row r="188" ht="52" customHeight="1">
      <x:c r="A188" s="42" t="n">
        <x:v>59</x:v>
      </x:c>
      <x:c r="B188" s="39" t="str">
        <x:v>Flash设计师</x:v>
      </x:c>
      <x:c r="C188" s="39" t="str">
        <x:v>可直接合并</x:v>
      </x:c>
      <x:c r="D188" s="39" t="str">
        <x:v>Flash设计师</x:v>
      </x:c>
      <x:c r="E188" s="42" t="n">
        <x:v>993</x:v>
      </x:c>
      <x:c r="F188" s="39" t="str">
        <x:v>IC-L3-1144</x:v>
      </x:c>
      <x:c r="G188" s="42" t="n">
        <x:v>1144</x:v>
      </x:c>
      <x:c r="H188" s="39" t="str">
        <x:v>设计 &gt; 广告设计 &gt; Flash设计师</x:v>
      </x:c>
      <x:c r="I188" s="39" t="str">
        <x:v>2-09-06-01</x:v>
      </x:c>
      <x:c r="J188" s="39" t="str">
        <x:v>视觉传达设计人员</x:v>
      </x:c>
      <x:c r="K188" s="39" t="str">
        <x:v>Flash设计师是专门从事动态视觉创意设计的专业人员。该职位的核心目标是通过Flash技术制作高质量互动广告，提升品牌传播效果。在日常工作中，需要进行动画设计、交互开发、广告特效制作及项目优化等工作。</x:v>
      </x:c>
      <x:c r="L188" s="39" t="str">
        <x:v>1. 设计Flash广告创意 2. 制作互动动画效果 3. 优化广告加载速度 4. 配合团队完成项目 5. 确保设计兼容性 6. 跟进广告投放效果</x:v>
      </x:c>
    </x:row>
    <x:row r="189" ht="52" customHeight="1">
      <x:c r="A189" s="42" t="n">
        <x:v>60</x:v>
      </x:c>
      <x:c r="B189" s="39" t="str">
        <x:v>安防系统工程师</x:v>
      </x:c>
      <x:c r="C189" s="39" t="str">
        <x:v>可直接合并</x:v>
      </x:c>
      <x:c r="D189" s="39" t="str">
        <x:v>安防系统工程师</x:v>
      </x:c>
      <x:c r="E189" s="42" t="n">
        <x:v>1151</x:v>
      </x:c>
      <x:c r="F189" s="39" t="str">
        <x:v>IC-L3-1302</x:v>
      </x:c>
      <x:c r="G189" s="42" t="n">
        <x:v>1302</x:v>
      </x:c>
      <x:c r="H189" s="39" t="str">
        <x:v>通信/电子 &gt; 电子/电器/仪器仪表 &gt; 安防系统工程师</x:v>
      </x:c>
      <x:c r="I189" s="39" t="str">
        <x:v>2-02-09-02</x:v>
      </x:c>
      <x:c r="J189" s="39" t="str">
        <x:v>电子元器件工程技术人员</x:v>
      </x:c>
      <x:c r="K189" s="39" t="str">
        <x:v>安防系统工程师是通信/电子行业中至关重要的角色之一，主要负责设计、安装和维护各种安全防范系统，以保障企业和个人的安全需求。随着科技的发展和社会的进步，安防系统的智能化和网络化趋势日益明显，这使得安防系统工程师的专业技能成为了行业发展的关键驱动力。 该职位的核心目标在于确保所服务对象的安全防护达到最佳状态，通过技术手段预防并应对潜在的安全威胁。在公司内部，安防…</x:v>
      </x:c>
      <x:c r="L189" s="39" t="str">
        <x:v>1. 负责安防系统的设计方案制定，包括但不限于视频监控、入侵报警、门禁控制等系统的规划与布局，确保满足客户的具体要求。 2. 执行现场勘查任务，准确测量和记录场地尺寸及相关参数，为后续施工提供精确的数据支持。 3. 组织并指导安装队伍进行设备安装调试，确保所有硬件设施正常运作，符合国家及行业标准。 4. 对已建成的安防系统进行定期检查与维护保养，快速响应并处…</x:v>
      </x:c>
    </x:row>
    <x:row r="190" ht="52" customHeight="1">
      <x:c r="A190" s="42" t="n">
        <x:v>60</x:v>
      </x:c>
      <x:c r="B190" s="39" t="str">
        <x:v>安防系统工程师</x:v>
      </x:c>
      <x:c r="C190" s="39" t="str">
        <x:v>可直接合并</x:v>
      </x:c>
      <x:c r="D190" s="39" t="str">
        <x:v>安防系统工程师</x:v>
      </x:c>
      <x:c r="E190" s="42" t="n">
        <x:v>1202</x:v>
      </x:c>
      <x:c r="F190" s="39" t="str">
        <x:v>IC-L3-1353</x:v>
      </x:c>
      <x:c r="G190" s="42" t="n">
        <x:v>1353</x:v>
      </x:c>
      <x:c r="H190" s="39" t="str">
        <x:v>通信/电子 &gt; 硬件开发 &gt; 安防系统工程师</x:v>
      </x:c>
      <x:c r="I190" s="39" t="str">
        <x:v>2-02-09-02</x:v>
      </x:c>
      <x:c r="J190" s="39" t="str">
        <x:v>电子元器件工程技术人员</x:v>
      </x:c>
      <x:c r="K190" s="39" t="str">
        <x:v>安防系统工程师是专门从事安防硬件系统设计与开发的专业人员。该职位的核心目标是通过研发高可靠性安防设备及系统，保障客户财产与信息安全。在日常工作中，需要进行安防系统方案设计、硬件设备选型与调试、系统集成测试及技术文档编写等工作。</x:v>
      </x:c>
      <x:c r="L190" s="39" t="str">
        <x:v>1. 设计安防硬件系统 2. 调试安防设备运行 3. 维护安防系统稳定 4. 优化系统性能参数 5. 编写技术文档报告 6. 解决现场技术问题</x:v>
      </x:c>
    </x:row>
    <x:row r="191" ht="52" customHeight="1">
      <x:c r="A191" s="42" t="n">
        <x:v>61</x:v>
      </x:c>
      <x:c r="B191" s="39" t="str">
        <x:v>半导体产品经理/产品工程师</x:v>
      </x:c>
      <x:c r="C191" s="39" t="str">
        <x:v>可直接合并</x:v>
      </x:c>
      <x:c r="D191" s="39" t="str">
        <x:v>半导体产品经理/产品工程师</x:v>
      </x:c>
      <x:c r="E191" s="42" t="n">
        <x:v>124</x:v>
      </x:c>
      <x:c r="F191" s="39" t="str">
        <x:v>IC-L3-275</x:v>
      </x:c>
      <x:c r="G191" s="42" t="n">
        <x:v>275</x:v>
      </x:c>
      <x:c r="H191" s="39" t="str">
        <x:v>产品 &gt; 硬件产品经理 &gt; 半导体产品经理/产品工程师</x:v>
      </x:c>
      <x:c r="I191" s="39" t="str">
        <x:v>2-02-09-02</x:v>
      </x:c>
      <x:c r="J191" s="39" t="str">
        <x:v>电子元器件工程技术人员</x:v>
      </x:c>
      <x:c r="K191" s="39" t="str">
        <x:v>半导体产品经理/产品工程师是产品开发与市场推广之间的关键桥梁，在硬件产品领域中扮演着至关重要的角色。他们不仅负责将技术创新转化为实际应用，还要确保产品能够满足市场需求，推动公司技术领先优势的持续发展。作为半导体行业的核心人才，其主要任务是通过深入研究市场趋势与客户需求，制定并执行产品路线图，以实现产品的商业化成功；同时，他们还需密切跟踪竞品动态，分析潜在风险…</x:v>
      </x:c>
      <x:c r="L191" s="39" t="str">
        <x:v>1. 负责收集和分析市场信息，结合公司战略规划，制定新产品开发计划及现有产品的优化方案，确保产品符合市场需求。 2. 与研发团队紧密配合，参与产品设计评审，指导产品功能定义和技术规格书编写，保证产品质量与性能达到预期标准。 3. 定期组织跨部门会议，协调内部资源，解决产品开发过程中的问题，确保项目按时按质完成。 4. 制定并实施产品上市策略，包括定价、推广等…</x:v>
      </x:c>
    </x:row>
    <x:row r="192" ht="52" customHeight="1">
      <x:c r="A192" s="42" t="n">
        <x:v>61</x:v>
      </x:c>
      <x:c r="B192" s="39" t="str">
        <x:v>半导体产品经理/产品工程师</x:v>
      </x:c>
      <x:c r="C192" s="39" t="str">
        <x:v>可直接合并</x:v>
      </x:c>
      <x:c r="D192" s="39" t="str">
        <x:v>半导体产品经理/产品工程师</x:v>
      </x:c>
      <x:c r="E192" s="42" t="n">
        <x:v>1120</x:v>
      </x:c>
      <x:c r="F192" s="39" t="str">
        <x:v>IC-L3-1271</x:v>
      </x:c>
      <x:c r="G192" s="42" t="n">
        <x:v>1271</x:v>
      </x:c>
      <x:c r="H192" s="39" t="str">
        <x:v>通信/电子 &gt; 半导体/芯片 &gt; 半导体产品经理/产品工程师</x:v>
      </x:c>
      <x:c r="I192" s="39" t="str">
        <x:v>2-02-09-02</x:v>
      </x:c>
      <x:c r="J192" s="39" t="str">
        <x:v>电子元器件工程技术人员</x:v>
      </x:c>
      <x:c r="K192" s="39" t="str">
        <x:v>半导体产品经理/产品工程师是通信与电子行业中至关重要的角色，特别是在快速发展的半导体/芯片领域。这一职位不仅要求具备深厚的技术背景，还需要有敏锐的市场洞察力和强大的项目管理能力，以确保产品从概念到市场的顺利过渡。 该职位的核心目标在于推动创新技术转化为商业成功，通过深入了解客户需求和市场趋势，设计并实现具有竞争力的产品解决方案。对于公司而言，半导体产品经理/…</x:v>
      </x:c>
      <x:c r="L192" s="39" t="str">
        <x:v>1. 负责收集并分析市场需求，结合公司战略和技术路线图，制定清晰的产品规划及路线图。 2. 协调跨部门资源，监督项目进度，确保新产品按时按质完成开发并顺利上市。 3. 与研发团队密切合作，参与产品设计评审，提出改进建议，优化产品性能。 4. 定期向管理层汇报项目状态，评估项目风险，及时调整策略以应对市场变化。 5. 收集客户反馈，持续跟踪产品表现，指导后续版…</x:v>
      </x:c>
    </x:row>
    <x:row r="193" ht="52" customHeight="1">
      <x:c r="A193" s="42" t="n">
        <x:v>62</x:v>
      </x:c>
      <x:c r="B193" s="39" t="str">
        <x:v>包装工</x:v>
      </x:c>
      <x:c r="C193" s="39" t="str">
        <x:v>条件合并（先修分类）</x:v>
      </x:c>
      <x:c r="D193" s="39" t="str">
        <x:v>包装工</x:v>
      </x:c>
      <x:c r="E193" s="42" t="n">
        <x:v>680</x:v>
      </x:c>
      <x:c r="F193" s="39" t="str">
        <x:v>IC-L3-831</x:v>
      </x:c>
      <x:c r="G193" s="42" t="n">
        <x:v>831</x:v>
      </x:c>
      <x:c r="H193" s="39" t="str">
        <x:v>生产制造 &gt; 普工 &gt; 包装工</x:v>
      </x:c>
      <x:c r="I193" s="39" t="str">
        <x:v>6-29-01-01</x:v>
      </x:c>
      <x:c r="J193" s="39" t="str">
        <x:v>砌筑工</x:v>
      </x:c>
      <x:c r="K193" s="39" t="str">
        <x:v>包装工作为生产制造行业的重要组成部分，扮演着确保产品从生产线顺利过渡到消费者手中的关键角色。通过高效准确地完成包装任务，不仅能够保护产品质量，还能提升品牌形象，增加市场竞争力。此外，包装工与生产线其他环节紧密合作，共同保证生产的连续性和效率，是公司实现可持续发展不可或缺的力量。 作为包装工，您的核心目标是在保证安全的前提下，按时按质完成所有产品的包装作业，减…</x:v>
      </x:c>
      <x:c r="L193" s="39" t="str">
        <x:v>1. 负责对成品进行分类、整理并按照标准操作程序进行包装，确保每个环节符合质量要求。 2. 定期检查包装设备的运行状态，及时报告故障并协助维修人员处理问题，保障生产的正常进行。 3. 维护工作区域的整洁有序，遵守安全生产规范，预防安全事故的发生。 4. 与同事及上下游工序保持良好沟通，协调解决包装过程中出现的问题，提高工作效率。 5. 记录每日的工作情况，包…</x:v>
      </x:c>
    </x:row>
    <x:row r="194" ht="52" customHeight="1">
      <x:c r="A194" s="42" t="n">
        <x:v>62</x:v>
      </x:c>
      <x:c r="B194" s="39" t="str">
        <x:v>包装工</x:v>
      </x:c>
      <x:c r="C194" s="39" t="str">
        <x:v>条件合并（先修分类）</x:v>
      </x:c>
      <x:c r="D194" s="39" t="str">
        <x:v>包装工</x:v>
      </x:c>
      <x:c r="E194" s="42" t="n">
        <x:v>833</x:v>
      </x:c>
      <x:c r="F194" s="39" t="str">
        <x:v>IC-L3-984</x:v>
      </x:c>
      <x:c r="G194" s="42" t="n">
        <x:v>984</x:v>
      </x:c>
      <x:c r="H194" s="39" t="str">
        <x:v>生活服务/零售 &gt; 服务员 &gt; 包装工</x:v>
      </x:c>
      <x:c r="I194" s="39" t="str">
        <x:v>4-03-02-05</x:v>
      </x:c>
      <x:c r="J194" s="39" t="str">
        <x:v>餐厅服务员</x:v>
      </x:c>
      <x:c r="K194" s="39" t="str">
        <x:v>包装工是专门从事物品包装与整理的专业人员。该职位的核心目标是通过高效规范的包装操作，确保服务物品的安全运输和美观呈现。在日常工作中，需要进行物品分类、包装材料选用、打包封箱以及标签张贴等工作。</x:v>
      </x:c>
      <x:c r="L194" s="39" t="str">
        <x:v>1. 准备包装材料 2. 检查物品完整性 3. 规范包装操作 4. 粘贴标签标识 5. 维护包装区域 6. 清点包装数量</x:v>
      </x:c>
    </x:row>
    <x:row r="195" ht="52" customHeight="1">
      <x:c r="A195" s="42" t="n">
        <x:v>63</x:v>
      </x:c>
      <x:c r="B195" s="39" t="str">
        <x:v>包装设计</x:v>
      </x:c>
      <x:c r="C195" s="39" t="str">
        <x:v>条件合并（先修分类）</x:v>
      </x:c>
      <x:c r="D195" s="39" t="str">
        <x:v>包装设计</x:v>
      </x:c>
      <x:c r="E195" s="42" t="n">
        <x:v>622</x:v>
      </x:c>
      <x:c r="F195" s="39" t="str">
        <x:v>IC-L3-773</x:v>
      </x:c>
      <x:c r="G195" s="42" t="n">
        <x:v>773</x:v>
      </x:c>
      <x:c r="H195" s="39" t="str">
        <x:v>生产制造 &gt; 印刷包装 &gt; 包装设计</x:v>
      </x:c>
      <x:c r="I195" s="39" t="str">
        <x:v>6-23-01-01</x:v>
      </x:c>
      <x:c r="J195" s="39" t="str">
        <x:v>铁路机车制修工</x:v>
      </x:c>
      <x:c r="K195" s="39" t="str">
        <x:v>包装设计是专门从事产品包装视觉创意与结构设计的专业人员。该职位的核心目标是通过创新的设计解决方案，提升产品市场竞争力与品牌价值。在日常工作中，需要进行包装创意设计、材料选择评估、印刷工艺对接及3D效果图制作等工作。</x:v>
      </x:c>
      <x:c r="L195" s="39" t="str">
        <x:v>1. 设计产品包装方案 2. 制作包装工艺图纸 3. 选择包装材料工艺 4. 跟进包装打样测试 5. 协助解决生产问题 6. 优化包装成本结构</x:v>
      </x:c>
    </x:row>
    <x:row r="196" ht="52" customHeight="1">
      <x:c r="A196" s="42" t="n">
        <x:v>63</x:v>
      </x:c>
      <x:c r="B196" s="39" t="str">
        <x:v>包装设计</x:v>
      </x:c>
      <x:c r="C196" s="39" t="str">
        <x:v>条件合并（先修分类）</x:v>
      </x:c>
      <x:c r="D196" s="39" t="str">
        <x:v>包装设计</x:v>
      </x:c>
      <x:c r="E196" s="42" t="n">
        <x:v>969</x:v>
      </x:c>
      <x:c r="F196" s="39" t="str">
        <x:v>IC-L3-1120</x:v>
      </x:c>
      <x:c r="G196" s="42" t="n">
        <x:v>1120</x:v>
      </x:c>
      <x:c r="H196" s="39" t="str">
        <x:v>设计 &gt; 工业设计 &gt; 包装设计</x:v>
      </x:c>
      <x:c r="I196" s="39" t="str">
        <x:v>2-09-06-01</x:v>
      </x:c>
      <x:c r="J196" s="39" t="str">
        <x:v>视觉传达设计人员</x:v>
      </x:c>
      <x:c r="K196" s="39" t="str">
        <x:v>包装设计师在工业设计领域中扮演着至关重要的角色。他们负责将产品的功能与美学完美结合，通过创新的设计方案提升产品竞争力，同时确保设计符合环保标准。作为连接品牌与消费者之间的桥梁，优秀的包装设计不仅能够保护商品、便于运输，更能吸引潜在顾客的目光，从而促进销售增长。此外，该职位还涉及到与市场部、生产部等多部门的合作，共同推动项目的顺利进行。随着公司业务的不断扩展，…</x:v>
      </x:c>
      <x:c r="L196" s="39" t="str">
        <x:v>1. 负责公司各类产品的包装设计工作，从概念草图到最终成品的整个流程，确保设计方案既美观又实用，满足市场需求。 2. 与产品经理紧密合作，深入了解产品特性和目标用户群体，确保包装设计准确传达品牌形象，增强市场辨识度。 3. 在设计过程中充分考虑材料选择、成本控制及生产工艺等因素，与供应链管理团队沟通协调，保证包装方案的可实施性。 4. 定期收集行业趋势和竞争…</x:v>
      </x:c>
    </x:row>
    <x:row r="197" ht="52" customHeight="1">
      <x:c r="A197" s="42" t="n">
        <x:v>64</x:v>
      </x:c>
      <x:c r="B197" s="39" t="str">
        <x:v>编辑</x:v>
      </x:c>
      <x:c r="C197" s="39" t="str">
        <x:v>可直接合并</x:v>
      </x:c>
      <x:c r="D197" s="39" t="str">
        <x:v>编辑</x:v>
      </x:c>
      <x:c r="E197" s="42" t="n">
        <x:v>527</x:v>
      </x:c>
      <x:c r="F197" s="39" t="str">
        <x:v>IC-L3-678</x:v>
      </x:c>
      <x:c r="G197" s="42" t="n">
        <x:v>678</x:v>
      </x:c>
      <x:c r="H197" s="39" t="str">
        <x:v>文化/传媒 &gt; 影视/媒体 &gt; 编辑</x:v>
      </x:c>
      <x:c r="I197" s="39" t="str">
        <x:v>2-09-06-01</x:v>
      </x:c>
      <x:c r="J197" s="39" t="str">
        <x:v>视觉传达设计人员</x:v>
      </x:c>
      <x:c r="K197" s="39" t="str">
        <x:v>编辑是专门从事影视/媒体内容加工与优化的专业人员。该职位的核心目标是通过精准的内容把控和创意整合，提升作品的质量和传播效果。在日常工作中，需要进行素材筛选剪辑、叙事结构调整、字幕特效制作等工作。</x:v>
      </x:c>
      <x:c r="L197" s="39" t="str">
        <x:v>1. 审核修改影视剧本 2. 策划选题与内容方向 3. 把控节目内容质量 4. 协调编导创作团队 5. 优化剪辑叙事节奏 6. 跟进后期制作流程</x:v>
      </x:c>
    </x:row>
    <x:row r="198" ht="52" customHeight="1">
      <x:c r="A198" s="42" t="n">
        <x:v>64</x:v>
      </x:c>
      <x:c r="B198" s="39" t="str">
        <x:v>编辑</x:v>
      </x:c>
      <x:c r="C198" s="39" t="str">
        <x:v>可直接合并</x:v>
      </x:c>
      <x:c r="D198" s="39" t="str">
        <x:v>编辑</x:v>
      </x:c>
      <x:c r="E198" s="42" t="n">
        <x:v>546</x:v>
      </x:c>
      <x:c r="F198" s="39" t="str">
        <x:v>IC-L3-697</x:v>
      </x:c>
      <x:c r="G198" s="42" t="n">
        <x:v>697</x:v>
      </x:c>
      <x:c r="H198" s="39" t="str">
        <x:v>文化/传媒 &gt; 编辑/出版 &gt; 编辑</x:v>
      </x:c>
      <x:c r="I198" s="39" t="str">
        <x:v>2-09-06-01</x:v>
      </x:c>
      <x:c r="J198" s="39" t="str">
        <x:v>视觉传达设计人员</x:v>
      </x:c>
      <x:c r="K198" s="39" t="str">
        <x:v>编辑在文化/传媒行业中扮演着至关重要的角色，他们是内容质量和传播效果的守护者。通过精心挑选、加工与优化各类稿件，编辑确保了信息的准确性和可读性，是连接作者与读者之间的桥梁。此外，他们还负责挖掘有价值的选题，以满足市场和受众的需求变化，推动内容创新。 编辑的核心目标在于提升内容的质量和吸引力，为公司赢得良好的口碑和稳定的客户群体。他们通过对稿件进行细致入微的校…</x:v>
      </x:c>
      <x:c r="L198" s="39" t="str">
        <x:v>1. 负责收集并筛选适合出版的文稿，对文稿进行初步审核，确保内容符合公司的风格导向。 2. 对选定的稿件进行深度编辑，包括但不限于语法检查、事实核实、逻辑梳理等工作，确保最终发布的作品无误。 3. 与作者沟通，提出建设性的修改建议，协助作者完善作品，提升其文学价值和商业潜力。 4. 参与制定出版计划，协调内外部资源，确保各环节按时按质完成。 5. 关注行业动…</x:v>
      </x:c>
    </x:row>
    <x:row r="199" ht="52" customHeight="1">
      <x:c r="A199" s="42" t="n">
        <x:v>65</x:v>
      </x:c>
      <x:c r="B199" s="39" t="str">
        <x:v>编剧</x:v>
      </x:c>
      <x:c r="C199" s="39" t="str">
        <x:v>可直接合并</x:v>
      </x:c>
      <x:c r="D199" s="39" t="str">
        <x:v>编剧</x:v>
      </x:c>
      <x:c r="E199" s="42" t="n">
        <x:v>521</x:v>
      </x:c>
      <x:c r="F199" s="39" t="str">
        <x:v>IC-L3-672</x:v>
      </x:c>
      <x:c r="G199" s="42" t="n">
        <x:v>672</x:v>
      </x:c>
      <x:c r="H199" s="39" t="str">
        <x:v>文化/传媒 &gt; 影视/媒体 &gt; 编剧</x:v>
      </x:c>
      <x:c r="I199" s="39" t="str">
        <x:v>2-09-06-01</x:v>
      </x:c>
      <x:c r="J199" s="39" t="str">
        <x:v>视觉传达设计人员</x:v>
      </x:c>
      <x:c r="K199" s="39" t="str">
        <x:v>在文化与传媒行业中，编剧是影视作品的灵魂塑造者，他们通过创意性的故事构思和人物设定，为观众带来丰富的情感体验和深刻的文化内涵。这一职位不仅是影视制作流程中的关键环节，也是连接艺术创作与市场需求的重要桥梁。 编剧的核心目标在于创造出既符合市场趋势又能触动人心的故事，这些故事能够有效传递品牌或制片方的价值观，同时增强作品的艺术性和观赏性。优秀的剧本不仅能够提升项…</x:v>
      </x:c>
      <x:c r="L199" s="39" t="str">
        <x:v>1. 根据项目需求进行前期调研，收集相关资料，为剧本创作提供真实可信的背景支持。 2. 设计独特且富有吸引力的角色形象，编写完整的故事大纲及分集剧情梗概。 3. 与导演、制片人密切沟通，及时调整和完善剧本内容，确保最终作品质量。 4. 参与后期剪辑阶段的讨论，从编剧角度提出建议，优化影片叙事结构。 5. 关注行业动态，不断更新个人知识体系，探索新的创作灵感和…</x:v>
      </x:c>
    </x:row>
    <x:row r="200" ht="52" customHeight="1">
      <x:c r="A200" s="42" t="n">
        <x:v>65</x:v>
      </x:c>
      <x:c r="B200" s="39" t="str">
        <x:v>编剧</x:v>
      </x:c>
      <x:c r="C200" s="39" t="str">
        <x:v>可直接合并</x:v>
      </x:c>
      <x:c r="D200" s="39" t="str">
        <x:v>编剧</x:v>
      </x:c>
      <x:c r="E200" s="42" t="n">
        <x:v>552</x:v>
      </x:c>
      <x:c r="F200" s="39" t="str">
        <x:v>IC-L3-703</x:v>
      </x:c>
      <x:c r="G200" s="42" t="n">
        <x:v>703</x:v>
      </x:c>
      <x:c r="H200" s="39" t="str">
        <x:v>文化/传媒 &gt; 编辑/出版 &gt; 编剧</x:v>
      </x:c>
      <x:c r="I200" s="39" t="str">
        <x:v>2-09-06-01</x:v>
      </x:c>
      <x:c r="J200" s="39" t="str">
        <x:v>视觉传达设计人员</x:v>
      </x:c>
      <x:c r="K200" s="39" t="str">
        <x:v>编剧是专门从事故事创作和剧本撰写的专业人员。该职位的核心目标是通过构思引人入胜的故事情节和塑造鲜明角色，为出版作品提供优质的剧本内容。在日常工作中，需要进行选题策划、剧本创作、情节修改及与编辑团队沟通协作等工作。</x:v>
      </x:c>
      <x:c r="L200" s="39" t="str">
        <x:v>1. 创作原创文学内容 2. 改编现有文学作品 3. 撰写出版物脚本大纲 4. 校对修改剧本内容 5. 配合编辑出版流程 6. 研究市场读者需求</x:v>
      </x:c>
    </x:row>
    <x:row r="201" ht="52" customHeight="1">
      <x:c r="A201" s="42" t="n">
        <x:v>66</x:v>
      </x:c>
      <x:c r="B201" s="39" t="str">
        <x:v>病理研究员</x:v>
      </x:c>
      <x:c r="C201" s="39" t="str">
        <x:v>可直接合并</x:v>
      </x:c>
      <x:c r="D201" s="39" t="str">
        <x:v>病理研究员</x:v>
      </x:c>
      <x:c r="E201" s="42" t="n">
        <x:v>192</x:v>
      </x:c>
      <x:c r="F201" s="39" t="str">
        <x:v>IC-L3-343</x:v>
      </x:c>
      <x:c r="G201" s="42" t="n">
        <x:v>343</x:v>
      </x:c>
      <x:c r="H201" s="39" t="str">
        <x:v>医药/医疗 &gt; 医生/医技 &gt; 病理研究员</x:v>
      </x:c>
      <x:c r="I201" s="39" t="str">
        <x:v>2-01-06-03</x:v>
      </x:c>
      <x:c r="J201" s="39" t="str">
        <x:v>化学研究人员</x:v>
      </x:c>
      <x:c r="K201" s="39" t="str">
        <x:v>病理研究员是专门从事疾病机理与诊断研究的专业人员。该职位的核心目标是通过病理学实验与分析，为疾病诊断和治疗提供科学依据。在日常工作中，需要进行病理标本处理、切片分析、实验数据记录以及研究报告撰写等工作。</x:v>
      </x:c>
      <x:c r="L201" s="39" t="str">
        <x:v>1. 开展病理实验研究 2. 分析病理样本数据 3. 撰写病理研究报告 4. 维护实验仪器设备 5. 参与学术交流活动 6. 遵守医疗安全规范</x:v>
      </x:c>
    </x:row>
    <x:row r="202" ht="52" customHeight="1">
      <x:c r="A202" s="42" t="n">
        <x:v>66</x:v>
      </x:c>
      <x:c r="B202" s="39" t="str">
        <x:v>病理研究员</x:v>
      </x:c>
      <x:c r="C202" s="39" t="str">
        <x:v>可直接合并</x:v>
      </x:c>
      <x:c r="D202" s="39" t="str">
        <x:v>病理研究员</x:v>
      </x:c>
      <x:c r="E202" s="42" t="n">
        <x:v>237</x:v>
      </x:c>
      <x:c r="F202" s="39" t="str">
        <x:v>IC-L3-388</x:v>
      </x:c>
      <x:c r="G202" s="42" t="n">
        <x:v>388</x:v>
      </x:c>
      <x:c r="H202" s="39" t="str">
        <x:v>医药/医疗 &gt; 生物制药 &gt; 病理研究员</x:v>
      </x:c>
      <x:c r="I202" s="39" t="str">
        <x:v>2-01-06-03</x:v>
      </x:c>
      <x:c r="J202" s="39" t="str">
        <x:v>化学研究人员</x:v>
      </x:c>
      <x:c r="K202" s="39" t="str">
        <x:v>病理研究员是医药/医疗行业中生物制药领域不可或缺的专业人才，其在疾病机理研究、新药开发及临床试验中扮演着至关重要的角色。通过深入探索疾病的分子生物学基础，病理研究员能够为公司提供科学依据，指导药物研发策略的制定与优化，确保产品符合市场需求并具备竞争力。此外，该职位还需要与其他部门如临床前研究、生产制造等密切合作，共同推动项目进展；同时，随着个人技能的提升，病…</x:v>
      </x:c>
      <x:c r="L202" s="39" t="str">
        <x:v>1. 负责开展针对特定疾病病理机制的基础研究工作，设计并实施相关实验方案，以揭示潜在治疗靶点。 2. 分析实验数据，撰写研究报告，定期向管理层汇报研究成果及进展，为公司决策提供技术支持。 3. 协同多学科团队成员，参与药物筛选、药效评价等工作，确保项目按时高质量完成。 4. 密切关注国内外最新科研动态和技术趋势，及时引入先进方法论至实际工作中，提高工作效率。…</x:v>
      </x:c>
    </x:row>
    <x:row r="203" ht="52" customHeight="1">
      <x:c r="A203" s="42" t="n">
        <x:v>67</x:v>
      </x:c>
      <x:c r="B203" s="39" t="str">
        <x:v>材料员</x:v>
      </x:c>
      <x:c r="C203" s="39" t="str">
        <x:v>条件合并（先修分类）</x:v>
      </x:c>
      <x:c r="D203" s="39" t="str">
        <x:v>材料员</x:v>
      </x:c>
      <x:c r="E203" s="42" t="n">
        <x:v>424</x:v>
      </x:c>
      <x:c r="F203" s="39" t="str">
        <x:v>IC-L3-575</x:v>
      </x:c>
      <x:c r="G203" s="42" t="n">
        <x:v>575</x:v>
      </x:c>
      <x:c r="H203" s="39" t="str">
        <x:v>建筑/房地产 &gt; 建筑/装修工人 &gt; 材料员</x:v>
      </x:c>
      <x:c r="I203" s="39" t="str">
        <x:v>6-29-01-01</x:v>
      </x:c>
      <x:c r="J203" s="39" t="str">
        <x:v>砌筑工</x:v>
      </x:c>
      <x:c r="K203" s="39" t="str">
        <x:v>材料员是专门从事建筑装修材料管理的专业人员。该职位的核心目标是通过科学规划材料采购与调配，实现项目成本控制与施工进度保障。在日常工作中，需要进行材料计划编制、采购订单处理、库存管理及出入库登记等工作。</x:v>
      </x:c>
      <x:c r="L203" s="39" t="str">
        <x:v>1. 管理材料采购 2. 验收进场材料 3. 登记材料台账 4. 发放施工材料 5. 盘点库存物资 6. 处理材料报废</x:v>
      </x:c>
    </x:row>
    <x:row r="204" ht="52" customHeight="1">
      <x:c r="A204" s="42" t="n">
        <x:v>67</x:v>
      </x:c>
      <x:c r="B204" s="39" t="str">
        <x:v>材料员</x:v>
      </x:c>
      <x:c r="C204" s="39" t="str">
        <x:v>条件合并（先修分类）</x:v>
      </x:c>
      <x:c r="D204" s="39" t="str">
        <x:v>材料员</x:v>
      </x:c>
      <x:c r="E204" s="42" t="n">
        <x:v>444</x:v>
      </x:c>
      <x:c r="F204" s="39" t="str">
        <x:v>IC-L3-595</x:v>
      </x:c>
      <x:c r="G204" s="42" t="n">
        <x:v>595</x:v>
      </x:c>
      <x:c r="H204" s="39" t="str">
        <x:v>建筑/房地产 &gt; 建筑工程 &gt; 材料员</x:v>
      </x:c>
      <x:c r="I204" s="39" t="str">
        <x:v>2-02-18-01</x:v>
      </x:c>
      <x:c r="J204" s="39" t="str">
        <x:v>建筑和市政设计工程技术人员</x:v>
      </x:c>
      <x:c r="K204" s="39" t="str">
        <x:v>材料员是建筑工程项目中不可或缺的角色，负责确保项目所需材料的质量与供应。在建筑/房地产行业中，材料员的工作对于控制成本、保证工程质量和进度至关重要。作为连接供应商与施工团队的桥梁，材料员不仅需要具备良好的沟通协调能力，还应拥有丰富的材料知识和市场洞察力。 材料员的核心目标在于通过有效的采购管理和库存控制，减少浪费，降低成本，同时确保所使用的建筑材料符合国家及…</x:v>
      </x:c>
      <x:c r="L204" s="39" t="str">
        <x:v>1. 负责项目所需材料的采购计划编制，包括但不限于钢材、水泥、砖瓦等，确保材料按时按量到位，满足施工需求。 2. 与多家供应商建立并维护良好关系，定期评估供应商资质和服务质量，优化供应链体系。 3. 对进场材料进行验收检查，确保其符合合同约定的技术参数和质量要求，防止不合格品流入施工现场。 4. 监控库存水平，合理安排材料的储存与发放，避免积压或短缺现象发生…</x:v>
      </x:c>
    </x:row>
    <x:row r="205" ht="52" customHeight="1">
      <x:c r="A205" s="42" t="n">
        <x:v>68</x:v>
      </x:c>
      <x:c r="B205" s="39" t="str">
        <x:v>测试经理</x:v>
      </x:c>
      <x:c r="C205" s="39" t="str">
        <x:v>条件合并（先修分类）</x:v>
      </x:c>
      <x:c r="D205" s="39" t="str">
        <x:v>测试经理</x:v>
      </x:c>
      <x:c r="E205" s="42" t="n">
        <x:v>35</x:v>
      </x:c>
      <x:c r="F205" s="39" t="str">
        <x:v>IC-L3-186</x:v>
      </x:c>
      <x:c r="G205" s="42" t="n">
        <x:v>186</x:v>
      </x:c>
      <x:c r="H205" s="39" t="str">
        <x:v>互联网技术 &gt; 技术管理 &gt; 测试经理</x:v>
      </x:c>
      <x:c r="I205" s="39" t="str">
        <x:v>2-02-10-03</x:v>
      </x:c>
      <x:c r="J205" s="39" t="str">
        <x:v>计算机软件工程技术人员</x:v>
      </x:c>
      <x:c r="K205" s="39" t="str">
        <x:v>测试经理是互联网技术行业中不可或缺的角色，主要负责确保软件产品的质量和稳定性。在快速迭代的产品开发流程中，测试经理通过科学的方法和技术手段来识别和预防潜在的问题，从而保障用户体验和产品竞争力。作为公司质量保证体系的核心成员，测试经理不仅需要具备扎实的技术背景，还需要有良好的项目管理和沟通协调能力，以确保团队能够高效地完成各项测试任务，降低项目风险，提高产品交…</x:v>
      </x:c>
      <x:c r="L205" s="39" t="str">
        <x:v>1. 制定并优化测试计划、测试方案及测试用例，确保测试活动覆盖所有关键功能点，满足业务需求。 2. 组织并指导测试团队执行测试工作，监控测试进度，及时发现并解决测试过程中出现的问题，确保测试结果的准确性和可靠性。 3. 与研发团队紧密配合，参与需求评审、设计评审等环节，提前识别可能存在的质量问题，提出改进建议。 4. 定期向管理层汇报测试进展情况及产品质量状…</x:v>
      </x:c>
    </x:row>
    <x:row r="206" ht="52" customHeight="1">
      <x:c r="A206" s="42" t="n">
        <x:v>68</x:v>
      </x:c>
      <x:c r="B206" s="39" t="str">
        <x:v>测试经理</x:v>
      </x:c>
      <x:c r="C206" s="39" t="str">
        <x:v>条件合并（先修分类）</x:v>
      </x:c>
      <x:c r="D206" s="39" t="str">
        <x:v>测试经理</x:v>
      </x:c>
      <x:c r="E206" s="42" t="n">
        <x:v>60</x:v>
      </x:c>
      <x:c r="F206" s="39" t="str">
        <x:v>IC-L3-211</x:v>
      </x:c>
      <x:c r="G206" s="42" t="n">
        <x:v>211</x:v>
      </x:c>
      <x:c r="H206" s="39" t="str">
        <x:v>互联网技术 &gt; 测试 &gt; 测试经理</x:v>
      </x:c>
      <x:c r="I206" s="39" t="str">
        <x:v>4-04-05-02</x:v>
      </x:c>
      <x:c r="J206" s="39" t="str">
        <x:v>计算机软件测试员</x:v>
      </x:c>
      <x:c r="K206" s="39" t="str">
        <x:v>测试经理是互联网技术行业中不可或缺的角色，负责确保软件产品的质量和稳定性，通过严谨的测试流程减少产品上线后的风险，保障用户体验。作为连接开发与用户的关键环节，测试经理不仅需要具备扎实的技术背景，更需拥有良好的沟通协调能力，以促进跨部门间的高效合作。 测试经理的核心目标在于建立并优化测试体系，包括但不限于制定测试计划、设计测试案例、执行自动化测试等，确保项目按…</x:v>
      </x:c>
      <x:c r="L206" s="39" t="str">
        <x:v>1. 负责制定全面的测试策略和计划，覆盖从需求分析到上线前的所有测试阶段，确保每个环节都达到预期的质量标准。 2. 组织并实施自动化测试框架的搭建与维护工作，提高测试效率，降低人力成本，确保测试结果的准确性和可重复性。 3. 与产品经理、开发人员密切沟通，准确理解产品功能和业务逻辑，提前识别潜在的风险点，制定相应的预防措施。 4. 定期组织测试团队会议，评估…</x:v>
      </x:c>
    </x:row>
    <x:row r="207" ht="52" customHeight="1">
      <x:c r="A207" s="42" t="n">
        <x:v>69</x:v>
      </x:c>
      <x:c r="B207" s="39" t="str">
        <x:v>测试开发</x:v>
      </x:c>
      <x:c r="C207" s="39" t="str">
        <x:v>条件合并（先修分类）</x:v>
      </x:c>
      <x:c r="D207" s="39" t="str">
        <x:v>测试开发</x:v>
      </x:c>
      <x:c r="E207" s="42" t="n">
        <x:v>59</x:v>
      </x:c>
      <x:c r="F207" s="39" t="str">
        <x:v>IC-L3-210</x:v>
      </x:c>
      <x:c r="G207" s="42" t="n">
        <x:v>210</x:v>
      </x:c>
      <x:c r="H207" s="39" t="str">
        <x:v>互联网技术 &gt; 测试 &gt; 测试开发</x:v>
      </x:c>
      <x:c r="I207" s="39" t="str">
        <x:v>4-04-05-02</x:v>
      </x:c>
      <x:c r="J207" s="39" t="str">
        <x:v>计算机软件测试员</x:v>
      </x:c>
      <x:c r="K207" s="39" t="str">
        <x:v>测试开发工程师在互联网技术行业中扮演着至关重要的角色。他们负责确保软件产品的质量和稳定性，通过设计和执行测试用例来发现并解决潜在的问题，从而保障用户体验。作为连接开发与运维之间的桥梁，测试开发不仅需要具备扎实的技术基础，还需要拥有敏锐的问题发现能力和良好的沟通技巧。 该职位的核心目标在于提高软件测试的效率和准确性，减少产品上线后的缺陷率，进而提升公司的品牌形…</x:v>
      </x:c>
      <x:c r="L207" s="39" t="str">
        <x:v>1. 负责制定并优化测试计划，编写详细的测试用例，确保覆盖所有功能点，以达到全面的质量保证。 2. 利用自动化测试工具或自研脚本，构建高效的测试环境，加速测试流程，提高测试覆盖率。 3. 对发现的问题进行记录、分析和跟踪，与开发团队密切配合，推动问题及时修复，直至满足质量标准。 4. 参与需求评审会议，从测试角度提出改进建议，预防潜在风险，确保产品设计符合用…</x:v>
      </x:c>
    </x:row>
    <x:row r="208" ht="52" customHeight="1">
      <x:c r="A208" s="42" t="n">
        <x:v>69</x:v>
      </x:c>
      <x:c r="B208" s="39" t="str">
        <x:v>测试开发</x:v>
      </x:c>
      <x:c r="C208" s="39" t="str">
        <x:v>条件合并（先修分类）</x:v>
      </x:c>
      <x:c r="D208" s="39" t="str">
        <x:v>测试开发</x:v>
      </x:c>
      <x:c r="E208" s="42" t="n">
        <x:v>1197</x:v>
      </x:c>
      <x:c r="F208" s="39" t="str">
        <x:v>IC-L3-1348</x:v>
      </x:c>
      <x:c r="G208" s="42" t="n">
        <x:v>1348</x:v>
      </x:c>
      <x:c r="H208" s="39" t="str">
        <x:v>通信/电子 &gt; 硬件开发 &gt; 测试开发</x:v>
      </x:c>
      <x:c r="I208" s="39" t="str">
        <x:v>2-02-09-02</x:v>
      </x:c>
      <x:c r="J208" s="39" t="str">
        <x:v>电子元器件工程技术人员</x:v>
      </x:c>
      <x:c r="K208" s="39" t="str">
        <x:v>测试开发是专门从事硬件测试系统设计与优化的专业人员。该职位的核心目标是通过开发高效测试方案，确保硬件产品的可靠性和性能达标。在日常工作中，需要进行测试框架搭建、自动化脚本开发、测试用例设计及缺陷分析等工作。</x:v>
      </x:c>
      <x:c r="L208" s="39" t="str">
        <x:v>1. 设计硬件测试方案 2. 开发自动化测试工具 3. 执行硬件性能测试 4. 分析测试数据结果 5. 优化测试流程方法 6. 编写测试报告文档</x:v>
      </x:c>
    </x:row>
    <x:row r="209" ht="52" customHeight="1">
      <x:c r="A209" s="42" t="n">
        <x:v>70</x:v>
      </x:c>
      <x:c r="B209" s="39" t="str">
        <x:v>茶艺师</x:v>
      </x:c>
      <x:c r="C209" s="39" t="str">
        <x:v>条件合并（先修分类）</x:v>
      </x:c>
      <x:c r="D209" s="39" t="str">
        <x:v>茶艺师</x:v>
      </x:c>
      <x:c r="E209" s="42" t="n">
        <x:v>818</x:v>
      </x:c>
      <x:c r="F209" s="39" t="str">
        <x:v>IC-L3-969</x:v>
      </x:c>
      <x:c r="G209" s="42" t="n">
        <x:v>969</x:v>
      </x:c>
      <x:c r="H209" s="39" t="str">
        <x:v>生活服务/零售 &gt; 服务员 &gt; 茶艺师</x:v>
      </x:c>
      <x:c r="I209" s="39" t="str">
        <x:v>4-03-02-05</x:v>
      </x:c>
      <x:c r="J209" s="39" t="str">
        <x:v>餐厅服务员</x:v>
      </x:c>
      <x:c r="K209" s="39" t="str">
        <x:v>茶艺师是专门从事茶艺服务和茶文化传播的专业人员。该职位的核心目标是通过精湛的茶艺表演和专业服务，提升顾客的品茶体验。在日常工作中，需要进行茶叶鉴别、茶具准备、茶艺展示以及顾客咨询解答等工作。</x:v>
      </x:c>
      <x:c r="L209" s="39" t="str">
        <x:v>1. 精通各类茶艺冲泡 2. 提供专业品茶服务 3. 维护茶具清洁保养 4. 讲解茶叶知识文化 5. 保持茶室环境整洁 6. 处理顾客服务需求</x:v>
      </x:c>
    </x:row>
    <x:row r="210" ht="52" customHeight="1">
      <x:c r="A210" s="42" t="n">
        <x:v>70</x:v>
      </x:c>
      <x:c r="B210" s="39" t="str">
        <x:v>茶艺师</x:v>
      </x:c>
      <x:c r="C210" s="39" t="str">
        <x:v>条件合并（先修分类）</x:v>
      </x:c>
      <x:c r="D210" s="39" t="str">
        <x:v>茶艺师</x:v>
      </x:c>
      <x:c r="E210" s="42" t="n">
        <x:v>1334</x:v>
      </x:c>
      <x:c r="F210" s="39" t="str">
        <x:v>IC-L3-1485</x:v>
      </x:c>
      <x:c r="G210" s="42" t="n">
        <x:v>1485</x:v>
      </x:c>
      <x:c r="H210" s="39" t="str">
        <x:v>餐饮 &gt; 前厅 &gt; 茶艺师</x:v>
      </x:c>
      <x:c r="I210" s="39" t="str">
        <x:v>4-07-02-01</x:v>
      </x:c>
      <x:c r="J210" s="39" t="str">
        <x:v>风险管理师</x:v>
      </x:c>
      <x:c r="K210" s="39" t="str">
        <x:v>茶艺师是餐饮行业中不可或缺的专业人才，在前厅服务中扮演着重要的角色。他们不仅能够提供高质量的服务体验，还能通过精湛的茶艺表演和深厚的文化底蕴，提升顾客对品牌的认知度与忠诚度。作为连接顾客与企业文化的桥梁，茶艺师通过其专业技能与服务态度，直接塑造了品牌形象并促进了销售增长。此外，茶艺师还经常与其他部门如厨房、营销等密切合作，共同优化顾客的整体用餐体验；同时，随…</x:v>
      </x:c>
      <x:c r="L210" s="39" t="str">
        <x:v>1. 负责接待顾客，根据顾客需求推荐合适的茶叶种类及搭配，确保每位顾客都能享受到满意的茶饮服务。 2. 精通各种茶叶冲泡技巧，准确把握水温、时间等关键因素，以保证每一杯茶的最佳口感。 3. 定期参加培训学习，不断提升自身专业知识和服务水平，以适应市场变化和顾客需求。 4. 积极参与店铺组织的各种茶文化活动策划与执行，增强顾客互动体验，提高品牌知名度。 5. …</x:v>
      </x:c>
    </x:row>
    <x:row r="211" ht="52" customHeight="1">
      <x:c r="A211" s="42" t="n">
        <x:v>71</x:v>
      </x:c>
      <x:c r="B211" s="39" t="str">
        <x:v>产品运营</x:v>
      </x:c>
      <x:c r="C211" s="39" t="str">
        <x:v>条件合并（先修分类）</x:v>
      </x:c>
      <x:c r="D211" s="39" t="str">
        <x:v>产品运营</x:v>
      </x:c>
      <x:c r="E211" s="42" t="n">
        <x:v>1082</x:v>
      </x:c>
      <x:c r="F211" s="39" t="str">
        <x:v>IC-L3-1233</x:v>
      </x:c>
      <x:c r="G211" s="42" t="n">
        <x:v>1233</x:v>
      </x:c>
      <x:c r="H211" s="39" t="str">
        <x:v>运营 &gt; 业务运营 &gt; 产品运营</x:v>
      </x:c>
      <x:c r="I211" s="39" t="str">
        <x:v>4-04-05-01</x:v>
      </x:c>
      <x:c r="J211" s="39" t="str">
        <x:v>计算机程序设计员</x:v>
      </x:c>
      <x:c r="K211" s="39" t="str">
        <x:v>产品运营是运营领域中不可或缺的一部分，它不仅连接了产品与用户之间的桥梁，还起到了推动产品持续优化和市场适应性的关键作用。作为业务运营的重要分支，产品运营人员通过深入了解用户需求，不断挖掘产品的潜在价值，以提高用户体验和满意度为核心目标，进而为企业创造更大的商业价值。此外，产品运营岗位需要与产品设计、技术研发、市场营销等多个部门紧密合作，共同推动产品的迭代更新…</x:v>
      </x:c>
      <x:c r="L211" s="39" t="str">
        <x:v>1. 负责收集并分析用户反馈及市场数据，定期向产品团队提供改进建议，确保产品功能满足市场需求，提升用户体验。 2. 制定并执行产品推广计划，通过线上线下活动等形式扩大品牌影响力，提高产品的市场占有率。 3. 协调跨部门资源，组织相关培训和支持工作，促进内部沟通与协作，保障产品顺利上线及后续维护。 4. 监控产品运营数据，运用A/B测试等方法评估运营效果，及时…</x:v>
      </x:c>
    </x:row>
    <x:row r="212" ht="52" customHeight="1">
      <x:c r="A212" s="42" t="n">
        <x:v>71</x:v>
      </x:c>
      <x:c r="B212" s="39" t="str">
        <x:v>产品运营</x:v>
      </x:c>
      <x:c r="C212" s="39" t="str">
        <x:v>条件合并（先修分类）</x:v>
      </x:c>
      <x:c r="D212" s="39" t="str">
        <x:v>产品运营</x:v>
      </x:c>
      <x:c r="E212" s="42" t="n">
        <x:v>1178</x:v>
      </x:c>
      <x:c r="F212" s="39" t="str">
        <x:v>IC-L3-1329</x:v>
      </x:c>
      <x:c r="G212" s="42" t="n">
        <x:v>1329</x:v>
      </x:c>
      <x:c r="H212" s="39" t="str">
        <x:v>通信/电子 &gt; 电子/电器/仪器仪表 &gt; 产品运营</x:v>
      </x:c>
      <x:c r="I212" s="39" t="str">
        <x:v>2-02-09-02</x:v>
      </x:c>
      <x:c r="J212" s="39" t="str">
        <x:v>电子元器件工程技术人员</x:v>
      </x:c>
      <x:c r="K212" s="39" t="str">
        <x:v>产品运营是专注于电子产品全生命周期管理的专业人员。该职位的核心目标是通过优化产品运营策略，提升产品市场表现和用户满意度。在日常工作中，需要进行市场数据分析、用户需求调研、运营活动策划及竞品监测等工作。</x:v>
      </x:c>
      <x:c r="L212" s="39" t="str">
        <x:v>1. 制定产品运营策略 2. 监控产品市场表现 3. 优化产品运营流程 4. 分析用户需求数据 5. 协调跨部门资源 6. 评估运营效果指标</x:v>
      </x:c>
    </x:row>
    <x:row r="213" ht="52" customHeight="1">
      <x:c r="A213" s="42" t="n">
        <x:v>72</x:v>
      </x:c>
      <x:c r="B213" s="39" t="str">
        <x:v>产品助理</x:v>
      </x:c>
      <x:c r="C213" s="39" t="str">
        <x:v>可直接合并</x:v>
      </x:c>
      <x:c r="D213" s="39" t="str">
        <x:v>产品助理</x:v>
      </x:c>
      <x:c r="E213" s="42" t="n">
        <x:v>97</x:v>
      </x:c>
      <x:c r="F213" s="39" t="str">
        <x:v>IC-L3-248</x:v>
      </x:c>
      <x:c r="G213" s="42" t="n">
        <x:v>248</x:v>
      </x:c>
      <x:c r="H213" s="39" t="str">
        <x:v>产品 &gt; 互联网产品经理 &gt; 产品助理</x:v>
      </x:c>
      <x:c r="I213" s="39" t="str">
        <x:v>2-06-07-03</x:v>
      </x:c>
      <x:c r="J213" s="39" t="str">
        <x:v>商务策划专业人员</x:v>
      </x:c>
      <x:c r="K213" s="39" t="str">
        <x:v>产品助理是互联网行业中不可或缺的角色，他们负责协助产品经理完成产品的市场调研、功能设计与优化等任务，确保产品从概念到市场的顺利过渡。作为连接用户需求和技术实现之间的桥梁，产品助理对于提升用户体验、推动产品迭代具有重要作用。 该职位的核心目标在于深入了解目标用户群体，收集并分析用户反馈，以数据驱动的方式提出改进建议，支持公司快速响应市场变化，增强竞争力。通过高…</x:v>
      </x:c>
      <x:c r="L213" s="39" t="str">
        <x:v>1. 协助产品经理进行市场研究和竞品分析，定期整理报告，为产品策略提供决策依据。 2. 参与产品需求讨论会，记录并跟踪需求变更情况，确保团队成员对需求理解一致。 3. 编写详细的产品需求文档（PRD），明确功能规格、验收标准及优先级排序。 4. 与UI/UX设计师合作，参与原型设计评审，优化交互体验，提高用户满意度。 5. 跟进产品上线后的性能表现，收集用户…</x:v>
      </x:c>
    </x:row>
    <x:row r="214" ht="52" customHeight="1">
      <x:c r="A214" s="42" t="n">
        <x:v>72</x:v>
      </x:c>
      <x:c r="B214" s="39" t="str">
        <x:v>产品助理</x:v>
      </x:c>
      <x:c r="C214" s="39" t="str">
        <x:v>可直接合并</x:v>
      </x:c>
      <x:c r="D214" s="39" t="str">
        <x:v>产品助理</x:v>
      </x:c>
      <x:c r="E214" s="42" t="n">
        <x:v>113</x:v>
      </x:c>
      <x:c r="F214" s="39" t="str">
        <x:v>IC-L3-264</x:v>
      </x:c>
      <x:c r="G214" s="42" t="n">
        <x:v>264</x:v>
      </x:c>
      <x:c r="H214" s="39" t="str">
        <x:v>产品 &gt; 其他产品经理 &gt; 产品助理</x:v>
      </x:c>
      <x:c r="I214" s="39" t="str">
        <x:v>2-06-07-03</x:v>
      </x:c>
      <x:c r="J214" s="39" t="str">
        <x:v>商务策划专业人员</x:v>
      </x:c>
      <x:c r="K214" s="39" t="str">
        <x:v>产品助理是协助产品经理开展产品开发与管理的专业人员。该职位的核心目标是通过收集分析市场需求，协助推进产品全生命周期管理。在日常工作中，需要进行需求调研、数据分析、文档撰写、跨部门协调等工作。</x:v>
      </x:c>
      <x:c r="L214" s="39" t="str">
        <x:v>1. 收集市场信息 2. 整理用户需求 3. 协助产品设计 4. 跟进项目进度 5. 编写产品文档 6. 协调部门沟通</x:v>
      </x:c>
    </x:row>
    <x:row r="215" ht="52" customHeight="1">
      <x:c r="A215" s="42" t="n">
        <x:v>73</x:v>
      </x:c>
      <x:c r="B215" s="39" t="str">
        <x:v>车工</x:v>
      </x:c>
      <x:c r="C215" s="39" t="str">
        <x:v>可直接合并</x:v>
      </x:c>
      <x:c r="D215" s="39" t="str">
        <x:v>车工</x:v>
      </x:c>
      <x:c r="E215" s="42" t="n">
        <x:v>572</x:v>
      </x:c>
      <x:c r="F215" s="39" t="str">
        <x:v>IC-L3-723</x:v>
      </x:c>
      <x:c r="G215" s="42" t="n">
        <x:v>723</x:v>
      </x:c>
      <x:c r="H215" s="39" t="str">
        <x:v>汽车 &gt; 汽车制造 &gt; 车工</x:v>
      </x:c>
      <x:c r="I215" s="39" t="str">
        <x:v>2-02-07-11</x:v>
      </x:c>
      <x:c r="J215" s="39" t="str">
        <x:v>汽车工程技术人员</x:v>
      </x:c>
      <x:c r="K215" s="39" t="str">
        <x:v>车工是专门从事金属零部件精密加工的专业人员。该职位的核心目标是通过操作车床设备，实现汽车零部件的精准制造。在日常工作中，需要进行图纸解读、车床操作、尺寸测量、质量检验及设备维护等工作。</x:v>
      </x:c>
      <x:c r="L215" s="39" t="str">
        <x:v>1. 操作车床设备 2. 加工汽车零件 3. 检测零件精度 4. 维护车床刀具 5. 记录加工数据 6. 遵守安全规范</x:v>
      </x:c>
    </x:row>
    <x:row r="216" ht="52" customHeight="1">
      <x:c r="A216" s="42" t="n">
        <x:v>73</x:v>
      </x:c>
      <x:c r="B216" s="39" t="str">
        <x:v>车工</x:v>
      </x:c>
      <x:c r="C216" s="39" t="str">
        <x:v>可直接合并</x:v>
      </x:c>
      <x:c r="D216" s="39" t="str">
        <x:v>车工</x:v>
      </x:c>
      <x:c r="E216" s="42" t="n">
        <x:v>706</x:v>
      </x:c>
      <x:c r="F216" s="39" t="str">
        <x:v>IC-L3-857</x:v>
      </x:c>
      <x:c r="G216" s="42" t="n">
        <x:v>857</x:v>
      </x:c>
      <x:c r="H216" s="39" t="str">
        <x:v>生产制造 &gt; 机械加工 &gt; 车工</x:v>
      </x:c>
      <x:c r="I216" s="39" t="str">
        <x:v>2-02-07-11</x:v>
      </x:c>
      <x:c r="J216" s="39" t="str">
        <x:v>汽车工程技术人员</x:v>
      </x:c>
      <x:c r="K216" s="39" t="str">
        <x:v>车工是生产制造行业中不可或缺的技术工种之一，尤其在机械加工领域扮演着核心角色。通过操作车床等设备进行零件的精确加工，确保产品符合设计要求和质量标准，是保障企业生产效率与产品质量的关键力量。 该职位的核心目标在于利用高精度的机械设备完成各种金属或非金属材料的切削工作，确保加工件达到图纸规定的尺寸精度和技术要求。车工不仅需要具备扎实的专业技能，还应不断学习新技术…</x:v>
      </x:c>
      <x:c r="L216" s="39" t="str">
        <x:v>1. 根据产品图纸及工艺文件要求，熟练操作车床完成零件的车削、钻孔、攻丝等工作，确保加工精度满足标准。 2. 定期维护保养所使用的机床设备，检查刀具磨损情况并及时更换，保证生产过程的安全稳定运行。 3. 记录生产数据，填写相关报表，协助质量检验部门完成产品的最终检测。 4. 积极参与车间内部的技术交流与培训活动，不断提高自身技术水平和工作效率。 5. 遵守安…</x:v>
      </x:c>
    </x:row>
    <x:row r="217" ht="52" customHeight="1">
      <x:c r="A217" s="42" t="n">
        <x:v>74</x:v>
      </x:c>
      <x:c r="B217" s="39" t="str">
        <x:v>车联网工程师</x:v>
      </x:c>
      <x:c r="C217" s="39" t="str">
        <x:v>条件合并（先修分类）</x:v>
      </x:c>
      <x:c r="D217" s="39" t="str">
        <x:v>车联网工程师</x:v>
      </x:c>
      <x:c r="E217" s="42" t="n">
        <x:v>571</x:v>
      </x:c>
      <x:c r="F217" s="39" t="str">
        <x:v>IC-L3-722</x:v>
      </x:c>
      <x:c r="G217" s="42" t="n">
        <x:v>722</x:v>
      </x:c>
      <x:c r="H217" s="39" t="str">
        <x:v>汽车 &gt; 汽车制造 &gt; 车联网工程师</x:v>
      </x:c>
      <x:c r="I217" s="39" t="str">
        <x:v>6-25-01-01</x:v>
      </x:c>
      <x:c r="J217" s="39" t="str">
        <x:v>电容器制造工</x:v>
      </x:c>
      <x:c r="K217" s="39" t="str">
        <x:v>车联网工程师是专门从事车辆智能网联系统研发的专业人员。该职位的核心目标是通过开发车联网技术解决方案，实现车辆智能化与互联化。在日常工作中，需要进行车联网架构设计、通信协议开发、数据平台搭建及系统集成测试等工作。</x:v>
      </x:c>
      <x:c r="L217" s="39" t="str">
        <x:v>1. 开发车联网系统架构 2. 设计车载通信协议 3. 优化车辆数据传输 4. 对接车载硬件接口 5. 保障系统网络安全 6. 分析车辆运行数据</x:v>
      </x:c>
    </x:row>
    <x:row r="218" ht="52" customHeight="1">
      <x:c r="A218" s="42" t="n">
        <x:v>74</x:v>
      </x:c>
      <x:c r="B218" s="39" t="str">
        <x:v>车联网工程师</x:v>
      </x:c>
      <x:c r="C218" s="39" t="str">
        <x:v>条件合并（先修分类）</x:v>
      </x:c>
      <x:c r="D218" s="39" t="str">
        <x:v>车联网工程师</x:v>
      </x:c>
      <x:c r="E218" s="42" t="n">
        <x:v>593</x:v>
      </x:c>
      <x:c r="F218" s="39" t="str">
        <x:v>IC-L3-744</x:v>
      </x:c>
      <x:c r="G218" s="42" t="n">
        <x:v>744</x:v>
      </x:c>
      <x:c r="H218" s="39" t="str">
        <x:v>汽车 &gt; 汽车研发设计 &gt; 车联网工程师</x:v>
      </x:c>
      <x:c r="I218" s="39" t="str">
        <x:v>2-02-07-11</x:v>
      </x:c>
      <x:c r="J218" s="39" t="str">
        <x:v>汽车工程技术人员</x:v>
      </x:c>
      <x:c r="K218" s="39" t="str">
        <x:v>车联网工程师是汽车行业中推动智能交通与未来出行方式创新的关键角色。随着汽车行业的不断发展和技术的革新，车联网技术成为了连接人、车、路的重要桥梁，它不仅能够提升驾驶体验，还能有效提高道路安全性和交通效率。车联网工程师负责开发和维护车辆与外部系统之间的通信网络，确保数据传输的安全可靠，对于促进汽车智能化发展具有不可替代的作用。 车联网工程师的核心目标在于构建高效…</x:v>
      </x:c>
      <x:c r="L218" s="39" t="str">
        <x:v>1. 负责车联网系统的架构设计与开发工作，确保系统稳定运行并满足性能要求。 2. 实施车联网相关技术的研究与应用，推动技术创新，提升产品的市场竞争力。 3. 与多部门沟通协调，共同解决项目实施过程中的技术难题，保证项目按时高质量完成。 4. 对现有车联网平台进行持续优化，提高用户体验，降低运营成本。 5. 关注国内外车联网发展趋势，定期评估新技术的适用性，为…</x:v>
      </x:c>
    </x:row>
    <x:row r="219" ht="52" customHeight="1">
      <x:c r="A219" s="42" t="n">
        <x:v>75</x:v>
      </x:c>
      <x:c r="B219" s="39" t="str">
        <x:v>车身/造型设计</x:v>
      </x:c>
      <x:c r="C219" s="39" t="str">
        <x:v>条件合并（先修分类）</x:v>
      </x:c>
      <x:c r="D219" s="39" t="str">
        <x:v>车身/造型设计</x:v>
      </x:c>
      <x:c r="E219" s="42" t="n">
        <x:v>594</x:v>
      </x:c>
      <x:c r="F219" s="39" t="str">
        <x:v>IC-L3-745</x:v>
      </x:c>
      <x:c r="G219" s="42" t="n">
        <x:v>745</x:v>
      </x:c>
      <x:c r="H219" s="39" t="str">
        <x:v>汽车 &gt; 汽车研发设计 &gt; 车身/造型设计</x:v>
      </x:c>
      <x:c r="I219" s="39" t="str">
        <x:v>2-02-07-11</x:v>
      </x:c>
      <x:c r="J219" s="39" t="str">
        <x:v>汽车工程技术人员</x:v>
      </x:c>
      <x:c r="K219" s="39" t="str">
        <x:v>车身/造型设计是汽车行业中至关重要的环节之一，设计师们通过创新的设计理念和技术手段，赋予汽车独特的外观和内部结构，不仅提升了产品的市场竞争力，也塑造了品牌的形象。该职位的核心目标在于根据市场需求及技术发展趋势，完成从概念草图到三维模型的全过程设计工作，确保最终产品既符合美学标准又能满足功能性和安全性要求，从而为公司创造显著的经济和社会效益。此外，车身/造型设…</x:v>
      </x:c>
      <x:c r="L219" s="39" t="str">
        <x:v>1. 负责新车型的整体造型设计，包括外型、内饰等，确保设计方案符合品牌定位及市场趋势。 2. 利用专业软件进行三维建模，将创意转化为可视化的数字模型，并不断优化直至满足生产条件。 3. 与工程技术人员沟通协调，确保设计成果能够顺利转化为实际产品，同时关注成本控制与工艺可行性。 4. 参与竞品分析，收集用户反馈，及时调整设计策略以提高产品竞争力。 5. 指导和…</x:v>
      </x:c>
    </x:row>
    <x:row r="220" ht="52" customHeight="1">
      <x:c r="A220" s="42" t="n">
        <x:v>75</x:v>
      </x:c>
      <x:c r="B220" s="39" t="str">
        <x:v>车身/造型设计</x:v>
      </x:c>
      <x:c r="C220" s="39" t="str">
        <x:v>条件合并（先修分类）</x:v>
      </x:c>
      <x:c r="D220" s="39" t="str">
        <x:v>车身/造型设计</x:v>
      </x:c>
      <x:c r="E220" s="42" t="n">
        <x:v>789</x:v>
      </x:c>
      <x:c r="F220" s="39" t="str">
        <x:v>IC-L3-940</x:v>
      </x:c>
      <x:c r="G220" s="42" t="n">
        <x:v>940</x:v>
      </x:c>
      <x:c r="H220" s="39" t="str">
        <x:v>生活服务/零售 &gt; 交通运输服务 &gt; 车身/造型设计</x:v>
      </x:c>
      <x:c r="I220" s="39" t="str">
        <x:v>4-02-04-01</x:v>
      </x:c>
      <x:c r="J220" s="39" t="str">
        <x:v>民航乘务员</x:v>
      </x:c>
      <x:c r="K220" s="39" t="str">
        <x:v>车身/造型设计是专门从事汽车外观及结构设计的专业人员。该职位的核心目标是通过创新设计理念与技术方案，提升产品市场竞争力与品牌辨识度。在日常工作中，需要进行造型方案开发、3D建模、工程可行性分析及与制造部门的协同优化等工作。</x:v>
      </x:c>
      <x:c r="L220" s="39" t="str">
        <x:v>1. 设计汽车外观造型 2. 优化车身空气动力学 3. 制作3D数字模型 4. 完成油泥模型制作 5. 协调工程可行性 6. 跟踪量产实施效果</x:v>
      </x:c>
    </x:row>
    <x:row r="221" ht="52" customHeight="1">
      <x:c r="A221" s="42" t="n">
        <x:v>76</x:v>
      </x:c>
      <x:c r="B221" s="39" t="str">
        <x:v>陈列设计</x:v>
      </x:c>
      <x:c r="C221" s="39" t="str">
        <x:v>可直接合并</x:v>
      </x:c>
      <x:c r="D221" s="39" t="str">
        <x:v>陈列设计</x:v>
      </x:c>
      <x:c r="E221" s="42" t="n">
        <x:v>977</x:v>
      </x:c>
      <x:c r="F221" s="39" t="str">
        <x:v>IC-L3-1128</x:v>
      </x:c>
      <x:c r="G221" s="42" t="n">
        <x:v>1128</x:v>
      </x:c>
      <x:c r="H221" s="39" t="str">
        <x:v>设计 &gt; 工业设计 &gt; 陈列设计</x:v>
      </x:c>
      <x:c r="I221" s="39" t="str">
        <x:v>4-01-02-03</x:v>
      </x:c>
      <x:c r="J221" s="39" t="str">
        <x:v>商品营业员</x:v>
      </x:c>
      <x:c r="K221" s="39" t="str">
        <x:v>陈列设计师是工业设计领域中不可或缺的专业人才，他们通过创意和技巧将产品以最佳方式呈现给消费者，不仅能够提升产品的吸引力，还能增强品牌形象，对于促进销售具有重要作用。作为公司与客户之间的桥梁，陈列设计师负责制定并执行陈列方案，确保商品展示符合品牌调性和市场需求，同时优化顾客体验，提高购物满意度，从而为公司创造更大的商业价值。此外，该职位需要与市场部、销售部以及…</x:v>
      </x:c>
      <x:c r="L221" s="39" t="str">
        <x:v>1. 负责研究目标市场及消费群体特征，结合品牌定位，策划并实施各类线下活动的视觉陈列方案，以提升品牌形象和产品销量。 2. 根据季节变化、节日促销等因素，定期更新店铺布局和商品摆放策略，确保门店环境整洁有序，营造舒适愉悦的购物氛围。 3. 与采购部门紧密配合，提前了解新进商品特性，为其量身定制展示空间，确保新品上市时能够迅速吸引顾客注意。 4. 定期巡查各门…</x:v>
      </x:c>
    </x:row>
    <x:row r="222" ht="52" customHeight="1">
      <x:c r="A222" s="42" t="n">
        <x:v>76</x:v>
      </x:c>
      <x:c r="B222" s="39" t="str">
        <x:v>陈列设计</x:v>
      </x:c>
      <x:c r="C222" s="39" t="str">
        <x:v>可直接合并</x:v>
      </x:c>
      <x:c r="D222" s="39" t="str">
        <x:v>陈列设计</x:v>
      </x:c>
      <x:c r="E222" s="42" t="n">
        <x:v>1014</x:v>
      </x:c>
      <x:c r="F222" s="39" t="str">
        <x:v>IC-L3-1165</x:v>
      </x:c>
      <x:c r="G222" s="42" t="n">
        <x:v>1165</x:v>
      </x:c>
      <x:c r="H222" s="39" t="str">
        <x:v>设计 &gt; 建筑/室内设计 &gt; 陈列设计</x:v>
      </x:c>
      <x:c r="I222" s="39" t="str">
        <x:v>4-01-02-03</x:v>
      </x:c>
      <x:c r="J222" s="39" t="str">
        <x:v>商品营业员</x:v>
      </x:c>
      <x:c r="K222" s="39" t="str">
        <x:v>陈列设计师是建筑设计与室内设计领域中不可或缺的专业人才，他们通过精心布置空间内的物品，不仅能够提升空间的美观度，还能增强其功能性，从而为客户提供更加舒适的生活或工作环境。该职位的核心目标在于通过创造性地运用色彩、材料、照明等元素，打造既符合品牌调性又吸引目标顾客的空间氛围，对于公司而言，优秀的陈列设计不仅能提高客户满意度，还能有效促进销售业绩的增长。此外，陈…</x:v>
      </x:c>
      <x:c r="L222" s="39" t="str">
        <x:v>1. 负责根据项目需求进行空间布局规划，选择合适的家具、装饰品等元素，确保设计方案既美观又实用。 2. 与客户沟通交流，了解其具体需求并提出专业的建议，确保最终成果满足甚至超越客户的期望。 3. 协调供应商资源，监督施工过程中的陈列安装质量，保证按时按质完成各项任务。 4. 定期参与市场调研活动，关注流行趋势，不断更新设计理念和技术手段，以保持设计作品的新颖…</x:v>
      </x:c>
    </x:row>
    <x:row r="223" ht="52" customHeight="1">
      <x:c r="A223" s="42" t="n">
        <x:v>77</x:v>
      </x:c>
      <x:c r="B223" s="39" t="str">
        <x:v>成本管理员</x:v>
      </x:c>
      <x:c r="C223" s="39" t="str">
        <x:v>可直接合并</x:v>
      </x:c>
      <x:c r="D223" s="39" t="str">
        <x:v>成本管理员</x:v>
      </x:c>
      <x:c r="E223" s="42" t="n">
        <x:v>1065</x:v>
      </x:c>
      <x:c r="F223" s="39" t="str">
        <x:v>IC-L3-1216</x:v>
      </x:c>
      <x:c r="G223" s="42" t="n">
        <x:v>1216</x:v>
      </x:c>
      <x:c r="H223" s="39" t="str">
        <x:v>财务/税务/法务 &gt; 财务 &gt; 成本管理员</x:v>
      </x:c>
      <x:c r="I223" s="39" t="str">
        <x:v>2-06-03-00</x:v>
      </x:c>
      <x:c r="J223" s="39" t="str">
        <x:v>会计专业人员</x:v>
      </x:c>
      <x:c r="K223" s="39" t="str">
        <x:v>成本管理员是财务领域中不可或缺的专业角色，主要负责控制和优化企业运营成本，确保企业资源的有效利用。在现代企业管理中，成本管理对于提升企业的竞争力和盈利能力至关重要，因此成本管理员在企业中的地位日益凸显。 该职位的核心目标在于通过精确的成本核算与分析，为企业决策提供可靠的数据支持，帮助管理层识别成本控制的关键点，制定有效的成本控制策略，以实现成本最小化和利润最…</x:v>
      </x:c>
      <x:c r="L223" s="39" t="str">
        <x:v>1. 负责公司各项成本数据的收集、整理与分析，定期编制成本报告，为管理层提供决策依据。 2. 参与制定并执行成本控制政策，监督各部门成本预算的执行情况，确保成本目标的达成。 3. 与相关部门沟通协调，推动成本节约措施的落实，持续优化成本结构。 4. 对现有成本管理系统进行评估和改进，引入先进的成本管理理念和技术手段，提升工作效率。 5. 定期组织成本管理培训…</x:v>
      </x:c>
    </x:row>
    <x:row r="224" ht="52" customHeight="1">
      <x:c r="A224" s="42" t="n">
        <x:v>77</x:v>
      </x:c>
      <x:c r="B224" s="39" t="str">
        <x:v>成本管理员</x:v>
      </x:c>
      <x:c r="C224" s="39" t="str">
        <x:v>可直接合并</x:v>
      </x:c>
      <x:c r="D224" s="39" t="str">
        <x:v>成本管理员</x:v>
      </x:c>
      <x:c r="E224" s="42" t="n">
        <x:v>1081</x:v>
      </x:c>
      <x:c r="F224" s="39" t="str">
        <x:v>IC-L3-1232</x:v>
      </x:c>
      <x:c r="G224" s="42" t="n">
        <x:v>1232</x:v>
      </x:c>
      <x:c r="H224" s="39" t="str">
        <x:v>财务/税务/法务 &gt; 高级财务管理 &gt; 成本管理员</x:v>
      </x:c>
      <x:c r="I224" s="39" t="str">
        <x:v>2-06-03-00</x:v>
      </x:c>
      <x:c r="J224" s="39" t="str">
        <x:v>会计专业人员</x:v>
      </x:c>
      <x:c r="K224" s="39" t="str">
        <x:v>成本管理员是专门从事企业成本核算与管控的专业人员。该职位的核心目标是通过精细化成本管理，实现企业降本增效和利润最大化。在日常工作中，需要进行成本数据收集与分析、预算编制与执行监控、成本优化方案制定与实施等工作。</x:v>
      </x:c>
      <x:c r="L224" s="39" t="str">
        <x:v>1. 编制成本预算方案 2. 监控成本执行情况 3. 分析成本差异原因 4. 优化成本控制流程 5. 编制成本分析报告 6. 参与财务决策支持</x:v>
      </x:c>
    </x:row>
    <x:row r="225" ht="52" customHeight="1">
      <x:c r="A225" s="42" t="n">
        <x:v>78</x:v>
      </x:c>
      <x:c r="B225" s="39" t="str">
        <x:v>城市管理网格员</x:v>
      </x:c>
      <x:c r="C225" s="39" t="str">
        <x:v>条件合并（先修分类）</x:v>
      </x:c>
      <x:c r="D225" s="39" t="str">
        <x:v>城市管理网格员</x:v>
      </x:c>
      <x:c r="E225" s="42" t="n">
        <x:v>156</x:v>
      </x:c>
      <x:c r="F225" s="39" t="str">
        <x:v>IC-L3-307</x:v>
      </x:c>
      <x:c r="G225" s="42" t="n">
        <x:v>307</x:v>
      </x:c>
      <x:c r="H225" s="39" t="str">
        <x:v>人事/行政 &gt; 行政/后勤 &gt; 城市管理网格员</x:v>
      </x:c>
      <x:c r="I225" s="39" t="str">
        <x:v>3-01-02-01</x:v>
      </x:c>
      <x:c r="J225" s="39" t="str">
        <x:v>机要员</x:v>
      </x:c>
      <x:c r="K225" s="39" t="str">
        <x:v>城市管理网格员是专门从事基层社会治理和城市管理的专业人员。该职位的核心目标是通过网格化管理模式，实现城市精细化管理和服务效能提升。在日常工作中，需要进行网格巡查、信息采集、问题上报、协调处置以及政策宣传等工作。</x:v>
      </x:c>
      <x:c r="L225" s="39" t="str">
        <x:v>1. 巡查网格区域 2. 上报问题事件 3. 协调处理纠纷 4. 收集居民意见 5. 宣传政策法规 6. 维护基础数据</x:v>
      </x:c>
    </x:row>
    <x:row r="226" ht="52" customHeight="1">
      <x:c r="A226" s="42" t="n">
        <x:v>78</x:v>
      </x:c>
      <x:c r="B226" s="39" t="str">
        <x:v>城市管理网格员</x:v>
      </x:c>
      <x:c r="C226" s="39" t="str">
        <x:v>条件合并（先修分类）</x:v>
      </x:c>
      <x:c r="D226" s="39" t="str">
        <x:v>城市管理网格员</x:v>
      </x:c>
      <x:c r="E226" s="42" t="n">
        <x:v>509</x:v>
      </x:c>
      <x:c r="F226" s="39" t="str">
        <x:v>IC-L3-660</x:v>
      </x:c>
      <x:c r="G226" s="42" t="n">
        <x:v>660</x:v>
      </x:c>
      <x:c r="H226" s="39" t="str">
        <x:v>政府机构/农业 &gt; 政府/非盈利机构 &gt; 城市管理网格员</x:v>
      </x:c>
      <x:c r="I226" s="39" t="str">
        <x:v>3-01-01-02</x:v>
      </x:c>
      <x:c r="J226" s="39" t="str">
        <x:v>政务服务办事员</x:v>
      </x:c>
      <x:c r="K226" s="39" t="str">
        <x:v>城市管理网格员是政府机构中不可或缺的角色，主要负责城市社区内的日常管理和监督工作，确保社区环境整洁、安全有序。这一职位在促进社会稳定和谐、提升居民生活质量方面发挥着重要作用，是连接政府与民众之间的桥梁。 作为城市管理网格员，其核心目标在于通过精细化管理实现社区问题的及时发现与解决，提高公共服务效率，增强市民满意度。他们不仅需要具备良好的沟通协调能力，还应掌握…</x:v>
      </x:c>
      <x:c r="L226" s="39" t="str">
        <x:v>1. 定期巡查所辖区域，记录并上报环境卫生、公共设施维护等方面存在的问题，确保问题能够得到快速响应和有效解决。 2. 协助相关部门开展各类宣传活动，如垃圾分类指导、防灾减灾教育等，提高居民的自我保护意识和社会责任感。 3. 负责收集居民意见和建议，搭建政府与群众之间的沟通平台，促进政府决策更加贴近民意。 4. 参与突发事件应急处置工作，如自然灾害救援、重大活…</x:v>
      </x:c>
    </x:row>
    <x:row r="227" ht="52" customHeight="1">
      <x:c r="A227" s="42" t="n">
        <x:v>79</x:v>
      </x:c>
      <x:c r="B227" s="39" t="str">
        <x:v>城市规划设计</x:v>
      </x:c>
      <x:c r="C227" s="39" t="str">
        <x:v>条件合并（先修分类）</x:v>
      </x:c>
      <x:c r="D227" s="39" t="str">
        <x:v>城市规划设计</x:v>
      </x:c>
      <x:c r="E227" s="42" t="n">
        <x:v>457</x:v>
      </x:c>
      <x:c r="F227" s="39" t="str">
        <x:v>IC-L3-608</x:v>
      </x:c>
      <x:c r="G227" s="42" t="n">
        <x:v>608</x:v>
      </x:c>
      <x:c r="H227" s="39" t="str">
        <x:v>建筑/房地产 &gt; 建筑规划与设计 &gt; 城市规划设计</x:v>
      </x:c>
      <x:c r="I227" s="39" t="str">
        <x:v>2-02-18-01</x:v>
      </x:c>
      <x:c r="J227" s="39" t="str">
        <x:v>建筑和市政设计工程技术人员</x:v>
      </x:c>
      <x:c r="K227" s="39" t="str">
        <x:v>城市规划设计师在建筑与房地产行业中扮演着至关重要的角色。他们负责将城市空间从概念转化为现实，通过科学合理的布局促进城市的可持续发展，不仅提高了居民的生活质量，还增强了城市的综合竞争力。作为公司发展战略的重要组成部分，城市规划设计师致力于实现项目的最大效益和社会价值，通过创新的设计方案解决土地利用、交通组织、环境保护等多方面的问题，为公司赢得市场口碑和经济利益…</x:v>
      </x:c>
      <x:c r="L227" s="39" t="str">
        <x:v>1. 负责城市规划项目的前期调研分析工作，收集整理相关资料，确保设计方案符合当地法律法规要求及社会经济发展需求。 2. 制定详细的项目规划方案，包括但不限于总体布局、功能分区、交通流线等内容，以达到优化城市空间结构的目的。 3. 协调内外部资源，组织跨部门会议，确保设计方案顺利实施并及时调整优化。 4. 参与项目投标过程，准备相关技术文件，向客户展示设计理念…</x:v>
      </x:c>
    </x:row>
    <x:row r="228" ht="52" customHeight="1">
      <x:c r="A228" s="42" t="n">
        <x:v>79</x:v>
      </x:c>
      <x:c r="B228" s="39" t="str">
        <x:v>城市规划设计</x:v>
      </x:c>
      <x:c r="C228" s="39" t="str">
        <x:v>条件合并（先修分类）</x:v>
      </x:c>
      <x:c r="D228" s="39" t="str">
        <x:v>城市规划设计</x:v>
      </x:c>
      <x:c r="E228" s="42" t="n">
        <x:v>996</x:v>
      </x:c>
      <x:c r="F228" s="39" t="str">
        <x:v>IC-L3-1147</x:v>
      </x:c>
      <x:c r="G228" s="42" t="n">
        <x:v>1147</x:v>
      </x:c>
      <x:c r="H228" s="39" t="str">
        <x:v>设计 &gt; 建筑/室内设计 &gt; 城市规划设计</x:v>
      </x:c>
      <x:c r="I228" s="39" t="str">
        <x:v>2-09-06-01</x:v>
      </x:c>
      <x:c r="J228" s="39" t="str">
        <x:v>视觉传达设计人员</x:v>
      </x:c>
      <x:c r="K228" s="39" t="str">
        <x:v>城市规划设计师是建筑设计与城市规划领域中不可或缺的专业人才，他们负责将创新的设计理念融入城市的发展蓝图之中，确保城市空间布局合理、功能完善，满足人们的生活需求和社会经济发展要求。作为连接政府、开发商与公众之间的桥梁，城市规划设计师通过科学合理的规划方案，不仅能够提升城市的整体形象和居住品质，还能够在一定程度上促进地方经济的增长，为公司创造良好的社会声誉和商业…</x:v>
      </x:c>
      <x:c r="L228" s="39" t="str">
        <x:v>1. 负责研究分析城市现状及发展趋势，制定符合城市发展需求的城市规划方案。 2. 与政府部门沟通协调，确保规划方案符合相关政策法规要求，推进项目审批流程。 3. 组织并指导团队完成具体项目的前期调研、概念设计、详细设计等工作，确保设计方案的创新性和可行性。 4. 参与项目后期评估，收集反馈意见，不断优化和完善城市规划方案。 5. 积极探索新技术新方法在城市规…</x:v>
      </x:c>
    </x:row>
    <x:row r="229" ht="52" customHeight="1">
      <x:c r="A229" s="42" t="n">
        <x:v>80</x:v>
      </x:c>
      <x:c r="B229" s="39" t="str">
        <x:v>冲压工程师</x:v>
      </x:c>
      <x:c r="C229" s="39" t="str">
        <x:v>条件合并（先修分类）</x:v>
      </x:c>
      <x:c r="D229" s="39" t="str">
        <x:v>冲压工程师</x:v>
      </x:c>
      <x:c r="E229" s="42" t="n">
        <x:v>626</x:v>
      </x:c>
      <x:c r="F229" s="39" t="str">
        <x:v>IC-L3-777</x:v>
      </x:c>
      <x:c r="G229" s="42" t="n">
        <x:v>777</x:v>
      </x:c>
      <x:c r="H229" s="39" t="str">
        <x:v>生产制造 &gt; 工程/机械 &gt; 冲压工程师</x:v>
      </x:c>
      <x:c r="I229" s="39" t="str">
        <x:v>2-02-07-01</x:v>
      </x:c>
      <x:c r="J229" s="39" t="str">
        <x:v>机械设计工程技术人员</x:v>
      </x:c>
      <x:c r="K229" s="39" t="str">
        <x:v>冲压工程师是生产制造行业中不可或缺的专业技术人才，负责确保金属板材等材料通过精密加工形成所需形状和尺寸的产品部件。在现代制造业中，他们扮演着连接设计与生产的桥梁角色，确保产品从概念到实物的顺利转换。 该职位的核心目标在于优化冲压工艺流程，提高生产效率及产品质量，减少材料浪费，从而为企业创造更大的经济效益。同时，冲压工程师还需持续关注行业动态和技术革新，不断引…</x:v>
      </x:c>
      <x:c r="L229" s="39" t="str">
        <x:v>1. 负责制定详细的冲压工艺方案，包括选择合适的模具类型、确定加工参数等，确保产品符合设计要求并具备良好的可制造性。 2. 对现有生产线进行定期评估，识别潜在的问题点并提出改进建议，推动生产工艺的持续优化。 3. 协调供应商资源，参与新模具的设计评审与验收工作，保证其质量满足生产需求。 4. 针对生产过程中出现的技术问题提供即时支持，快速定位原因并采取有效措…</x:v>
      </x:c>
    </x:row>
    <x:row r="230" ht="52" customHeight="1">
      <x:c r="A230" s="42" t="n">
        <x:v>80</x:v>
      </x:c>
      <x:c r="B230" s="39" t="str">
        <x:v>冲压工程师</x:v>
      </x:c>
      <x:c r="C230" s="39" t="str">
        <x:v>条件合并（先修分类）</x:v>
      </x:c>
      <x:c r="D230" s="39" t="str">
        <x:v>冲压工程师</x:v>
      </x:c>
      <x:c r="E230" s="42" t="n">
        <x:v>676</x:v>
      </x:c>
      <x:c r="F230" s="39" t="str">
        <x:v>IC-L3-827</x:v>
      </x:c>
      <x:c r="G230" s="42" t="n">
        <x:v>827</x:v>
      </x:c>
      <x:c r="H230" s="39" t="str">
        <x:v>生产制造 &gt; 技工 &gt; 冲压工程师</x:v>
      </x:c>
      <x:c r="I230" s="39" t="str">
        <x:v>6-31-01-01</x:v>
      </x:c>
      <x:c r="J230" s="39" t="str">
        <x:v>设备点检员</x:v>
      </x:c>
      <x:c r="K230" s="39" t="str">
        <x:v>冲压工程师是专门从事金属板材冲压成型工艺设计与优化的专业人员。该职位的核心目标是通过开发高效冲压工艺，实现产品质量提升和生产成本控制。在日常工作中，需要进行模具设计评审、工艺参数调试、生产问题解决和设备维护指导等工作。</x:v>
      </x:c>
      <x:c r="L230" s="39" t="str">
        <x:v>1. 设计冲压工艺方案 2. 优化模具结构设计 3. 调试冲压生产设备 4. 分析处理质量问题 5. 制定工艺技术标准 6. 改进生产效率指标</x:v>
      </x:c>
    </x:row>
    <x:row r="231" ht="52" customHeight="1">
      <x:c r="A231" s="42" t="n">
        <x:v>81</x:v>
      </x:c>
      <x:c r="B231" s="39" t="str">
        <x:v>厨师助理/学徒</x:v>
      </x:c>
      <x:c r="C231" s="39" t="str">
        <x:v>可直接合并</x:v>
      </x:c>
      <x:c r="D231" s="39" t="str">
        <x:v>厨师助理/学徒</x:v>
      </x:c>
      <x:c r="E231" s="42" t="n">
        <x:v>816</x:v>
      </x:c>
      <x:c r="F231" s="39" t="str">
        <x:v>IC-L3-967</x:v>
      </x:c>
      <x:c r="G231" s="42" t="n">
        <x:v>967</x:v>
      </x:c>
      <x:c r="H231" s="39" t="str">
        <x:v>生活服务/零售 &gt; 服务员 &gt; 厨师助理/学徒</x:v>
      </x:c>
      <x:c r="I231" s="39" t="str">
        <x:v>4-07-03-01</x:v>
      </x:c>
      <x:c r="J231" s="39" t="str">
        <x:v>职业指导师</x:v>
      </x:c>
      <x:c r="K231" s="39" t="str">
        <x:v>厨师助理/学徒是专门从事餐饮后厨支持工作的专业人员。该职位的核心目标是通过协助主厨完成各项烹饪准备工作，确保厨房高效运转。在日常工作中，需要进行食材预处理、厨房清洁、设备维护以及简单菜肴制作等工作。</x:v>
      </x:c>
      <x:c r="L231" s="39" t="str">
        <x:v>1. 准备食材原料 2. 协助主厨烹饪 3. 维护厨房卫生 4. 管理库存记录 5. 清洗餐具厨具 6. 学习烹饪技巧</x:v>
      </x:c>
    </x:row>
    <x:row r="232" ht="52" customHeight="1">
      <x:c r="A232" s="42" t="n">
        <x:v>81</x:v>
      </x:c>
      <x:c r="B232" s="39" t="str">
        <x:v>厨师助理/学徒</x:v>
      </x:c>
      <x:c r="C232" s="39" t="str">
        <x:v>可直接合并</x:v>
      </x:c>
      <x:c r="D232" s="39" t="str">
        <x:v>厨师助理/学徒</x:v>
      </x:c>
      <x:c r="E232" s="42" t="n">
        <x:v>1340</x:v>
      </x:c>
      <x:c r="F232" s="39" t="str">
        <x:v>IC-L3-1491</x:v>
      </x:c>
      <x:c r="G232" s="42" t="n">
        <x:v>1491</x:v>
      </x:c>
      <x:c r="H232" s="39" t="str">
        <x:v>餐饮 &gt; 后厨 &gt; 厨师助理/学徒</x:v>
      </x:c>
      <x:c r="I232" s="39" t="str">
        <x:v>4-07-03-01</x:v>
      </x:c>
      <x:c r="J232" s="39" t="str">
        <x:v>职业指导师</x:v>
      </x:c>
      <x:c r="K232" s="39" t="str">
        <x:v>厨师助理/学徒是餐饮行业中不可或缺的一部分，他们不仅支持主厨完成日常烹饪任务，还通过不断学习提升自身技能，逐步成长为合格的厨师。此职位不仅是厨房运作的基础力量，更是企业文化和价值观的传播者之一，能够促进团队内部良好的工作氛围与积极向上的精神面貌。作为团队成员，厨师助理将与资深厨师密切合作，在实际操作中学习各种菜肴制作技巧；同时，随着经验积累和个人能力提高，未…</x:v>
      </x:c>
      <x:c r="L232" s="39" t="str">
        <x:v>1. 协助主厨准备食材，确保所有原材料符合卫生标准并达到最佳使用状态。 2. 在指导下参与菜品的初步加工，如切配、腌制等，保证出餐速度与质量。 3. 学习并掌握基本的烹饪技术和调味方法，努力提升个人专业水平。 4. 维护工作区域的整洁有序，遵守食品安全法规及公司相关规定。 5. 积极参加培训课程，了解行业动态，为职业生涯规划打下坚实基础。</x:v>
      </x:c>
    </x:row>
    <x:row r="233" ht="52" customHeight="1">
      <x:c r="A233" s="42" t="n">
        <x:v>82</x:v>
      </x:c>
      <x:c r="B233" s="39" t="str">
        <x:v>畜牧师</x:v>
      </x:c>
      <x:c r="C233" s="39" t="str">
        <x:v>条件合并（先修分类）</x:v>
      </x:c>
      <x:c r="D233" s="39" t="str">
        <x:v>畜牧师</x:v>
      </x:c>
      <x:c r="E233" s="42" t="n">
        <x:v>505</x:v>
      </x:c>
      <x:c r="F233" s="39" t="str">
        <x:v>IC-L3-656</x:v>
      </x:c>
      <x:c r="G233" s="42" t="n">
        <x:v>656</x:v>
      </x:c>
      <x:c r="H233" s="39" t="str">
        <x:v>政府机构/农业 &gt; 农林牧渔 &gt; 畜牧师</x:v>
      </x:c>
      <x:c r="I233" s="39" t="str">
        <x:v>5-05-01-01</x:v>
      </x:c>
      <x:c r="J233" s="39" t="str">
        <x:v>农业技术员</x:v>
      </x:c>
      <x:c r="K233" s="39" t="str">
        <x:v>畜牧师是政府机构/农业领域中不可或缺的专业人才，负责确保动物健康与生产效率，促进可持续发展。在农林牧渔业中扮演着重要角色，通过科学管理动物养殖过程，提高产品质量和安全性，保障食品安全，推动农业现代化进程。此外，畜牧师还参与制定并执行相关法律法规，指导农民正确使用饲料添加剂及兽药，减少环境污染，实现经济效益和社会效益双赢。该职位不仅需要与其他部门如环保、卫生等…</x:v>
      </x:c>
      <x:c r="L233" s="39" t="str">
        <x:v>1. 负责养殖场内家畜的日常饲养管理和疾病预防，确保动物健康生长，提高繁殖率和存活率。 2. 定期进行畜舍环境监测，评估并改进饲养条件，优化资源配置，降低生产成本，提升经济效益。 3. 开展畜牧业新技术新方法的研究与应用，指导农户采用先进技术和管理模式，增强市场竞争力。 4. 协助政府部门开展动物疫病防控工作，参与制定应急预案，组织培训活动，提高公众防疫意识…</x:v>
      </x:c>
    </x:row>
    <x:row r="234" ht="52" customHeight="1">
      <x:c r="A234" s="42" t="n">
        <x:v>82</x:v>
      </x:c>
      <x:c r="B234" s="39" t="str">
        <x:v>畜牧师</x:v>
      </x:c>
      <x:c r="C234" s="39" t="str">
        <x:v>条件合并（先修分类）</x:v>
      </x:c>
      <x:c r="D234" s="39" t="str">
        <x:v>畜牧师</x:v>
      </x:c>
      <x:c r="E234" s="42" t="n">
        <x:v>938</x:v>
      </x:c>
      <x:c r="F234" s="39" t="str">
        <x:v>IC-L3-1089</x:v>
      </x:c>
      <x:c r="G234" s="42" t="n">
        <x:v>1089</x:v>
      </x:c>
      <x:c r="H234" s="39" t="str">
        <x:v>能源/环保/化工 &gt; 环保 &gt; 畜牧师</x:v>
      </x:c>
      <x:c r="I234" s="39" t="str">
        <x:v>2-02-27-06</x:v>
      </x:c>
      <x:c r="J234" s="39" t="str">
        <x:v>健康安全环境工程技术人员</x:v>
      </x:c>
      <x:c r="K234" s="39" t="str">
        <x:v>畜牧师是专门从事畜禽养殖与环保管理的专业人员。该职位的核心目标是通过科学养殖和环保技术应用，实现畜牧业可持续发展与生态保护。在日常工作中，需要进行养殖场环境监测、废弃物处理方案设计、绿色养殖技术推广等工作。</x:v>
      </x:c>
      <x:c r="L234" s="39" t="str">
        <x:v>1. 制定养殖环保方案 2. 优化畜禽粪污处理 3. 监测养殖环境指标 4. 推广生态养殖技术 5. 评估环保措施效果 6. 培训养殖人员技能</x:v>
      </x:c>
    </x:row>
    <x:row r="235" ht="52" customHeight="1">
      <x:c r="A235" s="42" t="n">
        <x:v>83</x:v>
      </x:c>
      <x:c r="B235" s="39" t="str">
        <x:v>船员</x:v>
      </x:c>
      <x:c r="C235" s="39" t="str">
        <x:v>条件合并（先修分类）</x:v>
      </x:c>
      <x:c r="D235" s="39" t="str">
        <x:v>船员</x:v>
      </x:c>
      <x:c r="E235" s="42" t="n">
        <x:v>772</x:v>
      </x:c>
      <x:c r="F235" s="39" t="str">
        <x:v>IC-L3-923</x:v>
      </x:c>
      <x:c r="G235" s="42" t="n">
        <x:v>923</x:v>
      </x:c>
      <x:c r="H235" s="39" t="str">
        <x:v>物流/供应链 &gt; 物流/运输 &gt; 船员</x:v>
      </x:c>
      <x:c r="I235" s="39" t="str">
        <x:v>4-02-06-03</x:v>
      </x:c>
      <x:c r="J235" s="39" t="str">
        <x:v>物流服务师</x:v>
      </x:c>
      <x:c r="K235" s="39" t="str">
        <x:v>船员是专门从事船舶运营与维护的专业人员。该职位的核心目标是通过安全高效地执行航行任务，保障货物运输的及时性与可靠性。在日常工作中，需要进行船舶操作、设备维护、航行值班、货物装卸监督及应急情况处理等工作。</x:v>
      </x:c>
      <x:c r="L235" s="39" t="str">
        <x:v>1. 执行船舶日常操作 2. 维护船上设备安全 3. 遵守航行规章制度 4. 协助货物装卸作业 5. 参与应急情况处置 6. 保持船舱清洁卫生</x:v>
      </x:c>
    </x:row>
    <x:row r="236" ht="52" customHeight="1">
      <x:c r="A236" s="42" t="n">
        <x:v>83</x:v>
      </x:c>
      <x:c r="B236" s="39" t="str">
        <x:v>船员</x:v>
      </x:c>
      <x:c r="C236" s="39" t="str">
        <x:v>条件合并（先修分类）</x:v>
      </x:c>
      <x:c r="D236" s="39" t="str">
        <x:v>船员</x:v>
      </x:c>
      <x:c r="E236" s="42" t="n">
        <x:v>784</x:v>
      </x:c>
      <x:c r="F236" s="39" t="str">
        <x:v>IC-L3-935</x:v>
      </x:c>
      <x:c r="G236" s="42" t="n">
        <x:v>935</x:v>
      </x:c>
      <x:c r="H236" s="39" t="str">
        <x:v>生活服务/零售 &gt; 交通运输服务 &gt; 船员</x:v>
      </x:c>
      <x:c r="I236" s="39" t="str">
        <x:v>4-02-04-01</x:v>
      </x:c>
      <x:c r="J236" s="39" t="str">
        <x:v>民航乘务员</x:v>
      </x:c>
      <x:c r="K236" s="39" t="str">
        <x:v>船员是生活服务与零售行业中交通运输服务的关键组成部分，负责确保货物安全、准时地从一个地点运输到另一个地点。作为海上的物流专家，他们不仅承担着维持供应链顺畅运作的责任，还代表着公司形象，向客户展示专业可靠的服务态度。 船员的主要任务是保证航行安全、提高运输效率并降低运营成本。通过精准执行航行计划、有效管理船上资源以及应对各种紧急情况，船员能够帮助公司实现业务目…</x:v>
      </x:c>
      <x:c r="L236" s="39" t="str">
        <x:v>1. 负责船舶的日常操作与维护，确保设备处于良好工作状态，以保障航行安全。 2. 根据航线规划，准确无误地驾驶船舶，按时完成货物运输任务，满足客户需求。 3. 遵守国际及地方相关法律法规，执行环保措施，减少航行过程中的污染排放。 4. 在遇到突发事件时迅速作出反应，采取适当措施保护人员生命财产安全，防止事态扩大。 5. 与岸基支持团队保持沟通，及时报告航行状…</x:v>
      </x:c>
    </x:row>
    <x:row r="237" ht="52" customHeight="1">
      <x:c r="A237" s="42" t="n">
        <x:v>84</x:v>
      </x:c>
      <x:c r="B237" s="39" t="str">
        <x:v>促销员/导购员</x:v>
      </x:c>
      <x:c r="C237" s="39" t="str">
        <x:v>可直接合并</x:v>
      </x:c>
      <x:c r="D237" s="39" t="str">
        <x:v>促销员/导购员</x:v>
      </x:c>
      <x:c r="E237" s="42" t="n">
        <x:v>273</x:v>
      </x:c>
      <x:c r="F237" s="39" t="str">
        <x:v>IC-L3-424</x:v>
      </x:c>
      <x:c r="G237" s="42" t="n">
        <x:v>424</x:v>
      </x:c>
      <x:c r="H237" s="39" t="str">
        <x:v>销售/客服 &gt; 服务业销售 &gt; 促销员/导购员</x:v>
      </x:c>
      <x:c r="I237" s="39" t="str">
        <x:v>4-01-02-03</x:v>
      </x:c>
      <x:c r="J237" s="39" t="str">
        <x:v>商品营业员</x:v>
      </x:c>
      <x:c r="K237" s="39" t="str">
        <x:v>促销员/导购员是销售与客服行业中不可或缺的角色，在服务业销售中尤其重要。他们不仅是商品和服务的第一接触点，也是品牌形象的重要传播者。通过高效的服务和沟通技巧，促销员/导购员能够激发顾客的兴趣，促进销售转化，从而为公司创造更多利润。此外，他们还负责收集市场反馈，帮助公司优化产品线和服务流程。在日常工作中，促销员/导购员需要与销售团队紧密合作，共同完成销售任务；…</x:v>
      </x:c>
      <x:c r="L237" s="39" t="str">
        <x:v>1. 通过主动接近顾客，了解其需求并提供专业的商品介绍及咨询服务，提高顾客满意度和购买率。 2. 维护良好的店铺形象，确保展示区域整洁有序，商品摆放符合公司要求，以吸引更多的潜在客户。 3. 定期参加内部培训，掌握最新的产品知识和服务标准，提升自身的销售能力和客户服务水平。 4. 协助进行库存管理，及时补充货架上的商品，保证销售活动顺利进行。 5. 记录并分…</x:v>
      </x:c>
    </x:row>
    <x:row r="238" ht="52" customHeight="1">
      <x:c r="A238" s="42" t="n">
        <x:v>84</x:v>
      </x:c>
      <x:c r="B238" s="39" t="str">
        <x:v>促销员/导购员</x:v>
      </x:c>
      <x:c r="C238" s="39" t="str">
        <x:v>可直接合并</x:v>
      </x:c>
      <x:c r="D238" s="39" t="str">
        <x:v>促销员/导购员</x:v>
      </x:c>
      <x:c r="E238" s="42" t="n">
        <x:v>851</x:v>
      </x:c>
      <x:c r="F238" s="39" t="str">
        <x:v>IC-L3-1002</x:v>
      </x:c>
      <x:c r="G238" s="42" t="n">
        <x:v>1002</x:v>
      </x:c>
      <x:c r="H238" s="39" t="str">
        <x:v>生活服务/零售 &gt; 零售 &gt; 促销员/导购员</x:v>
      </x:c>
      <x:c r="I238" s="39" t="str">
        <x:v>4-01-02-03</x:v>
      </x:c>
      <x:c r="J238" s="39" t="str">
        <x:v>商品营业员</x:v>
      </x:c>
      <x:c r="K238" s="39" t="str">
        <x:v>促销员/导购员是零售行业中不可或缺的角色，他们直接与消费者接触，通过优质的服务提升顾客购物体验，从而促进销售增长。在快节奏的零售环境中，他们不仅是产品的代言人，也是品牌形象的传递者，对于吸引新客户和维护老客户具有重要作用。 作为公司前线的重要成员，促销员/导购员的主要目标是提高销售额并增强顾客满意度。他们通过了解客户需求，提供个性化的推荐服务，确保每位顾客都…</x:v>
      </x:c>
      <x:c r="L238" s="39" t="str">
        <x:v>1. 主动迎接顾客，热情地介绍商品特点及优势，激发顾客购买兴趣，达成交易。 2. 负责店内商品的陈列整理工作，确保商品摆放整齐有序，营造良好的购物环境。 3. 定期参加产品知识培训，掌握最新商品信息，以便准确无误地向顾客传达。 4. 记录并分析顾客反馈意见，及时向上级汇报，协助制定或改进销售策略。 5. 在高峰时段或特殊活动中，与其他同事密切配合，确保服务质…</x:v>
      </x:c>
    </x:row>
    <x:row r="239" ht="52" customHeight="1">
      <x:c r="A239" s="42" t="n">
        <x:v>85</x:v>
      </x:c>
      <x:c r="B239" s="39" t="str">
        <x:v>促销主管/督导/巡店</x:v>
      </x:c>
      <x:c r="C239" s="39" t="str">
        <x:v>可直接合并</x:v>
      </x:c>
      <x:c r="D239" s="39" t="str">
        <x:v>促销主管/督导/巡店</x:v>
      </x:c>
      <x:c r="E239" s="42" t="n">
        <x:v>272</x:v>
      </x:c>
      <x:c r="F239" s="39" t="str">
        <x:v>IC-L3-423</x:v>
      </x:c>
      <x:c r="G239" s="42" t="n">
        <x:v>423</x:v>
      </x:c>
      <x:c r="H239" s="39" t="str">
        <x:v>销售/客服 &gt; 服务业销售 &gt; 促销主管/督导/巡店</x:v>
      </x:c>
      <x:c r="I239" s="39" t="str">
        <x:v>4-01-02-03</x:v>
      </x:c>
      <x:c r="J239" s="39" t="str">
        <x:v>商品营业员</x:v>
      </x:c>
      <x:c r="K239" s="39" t="str">
        <x:v>促销主管/督导/巡店是销售/客服行业中不可或缺的角色，主要负责监督和管理促销活动的执行情况，确保促销活动能够顺利进行并达到预期效果。该职位不仅需要具备出色的组织协调能力和沟通技巧，还需要对市场趋势有敏锐的洞察力，以便及时调整策略，提高销售业绩。 作为促销主管/督导/巡店，您的核心目标是通过高效的现场管理和团队领导，确保所有促销活动符合公司的品牌形象和市场战略…</x:v>
      </x:c>
      <x:c r="L239" s="39" t="str">
        <x:v>1. 制定详细的促销活动方案，包括活动时间、地点选择、物料准备等，并确保所有细节均符合公司标准与要求。 2. 监督促销现场的执行情况，指导促销人员正确展示产品特点，解答顾客疑问，提高顾客满意度。 3. 定期巡查门店，评估促销活动的效果，及时发现并解决存在的问题，提出改进建议。 4. 与各相关部门保持良好沟通，协调资源，保证促销活动顺利开展。 5. 收集市场反…</x:v>
      </x:c>
    </x:row>
    <x:row r="240" ht="52" customHeight="1">
      <x:c r="A240" s="42" t="n">
        <x:v>85</x:v>
      </x:c>
      <x:c r="B240" s="39" t="str">
        <x:v>促销主管/督导/巡店</x:v>
      </x:c>
      <x:c r="C240" s="39" t="str">
        <x:v>可直接合并</x:v>
      </x:c>
      <x:c r="D240" s="39" t="str">
        <x:v>促销主管/督导/巡店</x:v>
      </x:c>
      <x:c r="E240" s="42" t="n">
        <x:v>850</x:v>
      </x:c>
      <x:c r="F240" s="39" t="str">
        <x:v>IC-L3-1001</x:v>
      </x:c>
      <x:c r="G240" s="42" t="n">
        <x:v>1001</x:v>
      </x:c>
      <x:c r="H240" s="39" t="str">
        <x:v>生活服务/零售 &gt; 零售 &gt; 促销主管/督导/巡店</x:v>
      </x:c>
      <x:c r="I240" s="39" t="str">
        <x:v>4-01-02-03</x:v>
      </x:c>
      <x:c r="J240" s="39" t="str">
        <x:v>商品营业员</x:v>
      </x:c>
      <x:c r="K240" s="39" t="str">
        <x:v>促销主管/督导/巡店在生活服务/零售行业中扮演着至关重要的角色，是连接公司与终端消费者的重要桥梁。此职位不仅负责监督和指导店内促销活动的执行情况，确保活动效果最大化，同时还需要密切关注市场动态及竞争对手策略，为公司提供有价值的市场反馈。作为促销团队的核心领导者，促销主管/督导/巡店需要与销售、运营等多个部门紧密合作，共同推动业绩增长；此外，该职位还具备良好的…</x:v>
      </x:c>
      <x:c r="L240" s="39" t="str">
        <x:v>1. 负责制定并实施所辖区域内各门店的促销计划，确保促销活动符合公司整体营销战略，并达到预期销售目标。 2. 定期巡视所辖门店，检查促销物料布置情况，及时发现并解决现场问题，保证促销活动顺利进行。 3. 对促销人员进行培训和考核，提升其业务能力和工作积极性，构建高效稳定的促销团队。 4. 收集整理市场信息，分析促销活动效果，撰写报告并向管理层汇报，为后续促销…</x:v>
      </x:c>
    </x:row>
    <x:row r="241" ht="52" customHeight="1">
      <x:c r="A241" s="42" t="n">
        <x:v>86</x:v>
      </x:c>
      <x:c r="B241" s="39" t="str">
        <x:v>大客户销售</x:v>
      </x:c>
      <x:c r="C241" s="39" t="str">
        <x:v>可直接合并</x:v>
      </x:c>
      <x:c r="D241" s="39" t="str">
        <x:v>大客户销售</x:v>
      </x:c>
      <x:c r="E241" s="42" t="n">
        <x:v>287</x:v>
      </x:c>
      <x:c r="F241" s="39" t="str">
        <x:v>IC-L3-438</x:v>
      </x:c>
      <x:c r="G241" s="42" t="n">
        <x:v>438</x:v>
      </x:c>
      <x:c r="H241" s="39" t="str">
        <x:v>销售/客服 &gt; 销售人员 &gt; 大客户销售</x:v>
      </x:c>
      <x:c r="I241" s="39" t="str">
        <x:v>4-01-02-01</x:v>
      </x:c>
      <x:c r="J241" s="39" t="str">
        <x:v>营销员</x:v>
      </x:c>
      <x:c r="K241" s="39" t="str">
        <x:v>大客户销售是销售/客服行业中不可或缺的关键角色，负责与企业最重要的客户建立和维护长期合作关系，通过提供高质量的产品和服务，确保客户的满意度和忠诚度。该职位的核心目标是通过精准的市场分析和客户需求洞察，制定并执行有效的销售策略，推动公司产品或服务的大规模销售，实现销售额的增长，同时为企业带来稳定的收入来源。在团队协作方面，大客户销售需要与内部多个部门紧密合作，…</x:v>
      </x:c>
      <x:c r="L241" s="39" t="str">
        <x:v>1. 负责开发新客户，定期拜访潜在客户，了解其需求，推荐适合的产品或服务方案，促进销售机会的转化。 2. 维护现有大客户关系，定期跟进客户反馈，解决客户遇到的问题，提高客户满意度和复购率。 3. 制定并实施个人年度销售计划，完成公司分配的销售任务，确保业绩指标的达成。 4. 收集市场信息及竞争对手动态，分析市场趋势，为公司产品改进和营销策略调整提供依据。 5…</x:v>
      </x:c>
    </x:row>
    <x:row r="242" ht="52" customHeight="1">
      <x:c r="A242" s="42" t="n">
        <x:v>86</x:v>
      </x:c>
      <x:c r="B242" s="39" t="str">
        <x:v>大客户销售</x:v>
      </x:c>
      <x:c r="C242" s="39" t="str">
        <x:v>可直接合并</x:v>
      </x:c>
      <x:c r="D242" s="39" t="str">
        <x:v>大客户销售</x:v>
      </x:c>
      <x:c r="E242" s="42" t="n">
        <x:v>333</x:v>
      </x:c>
      <x:c r="F242" s="39" t="str">
        <x:v>IC-L3-484</x:v>
      </x:c>
      <x:c r="G242" s="42" t="n">
        <x:v>484</x:v>
      </x:c>
      <x:c r="H242" s="39" t="str">
        <x:v>销售/客服 &gt; 销售高级管理 &gt; 大客户销售</x:v>
      </x:c>
      <x:c r="I242" s="39" t="str">
        <x:v>4-01-02-01</x:v>
      </x:c>
      <x:c r="J242" s="39" t="str">
        <x:v>营销员</x:v>
      </x:c>
      <x:c r="K242" s="39" t="str">
        <x:v>大客户销售是专门负责维护和拓展高价值客户关系的专业人员。该职位的核心目标是通过深入了解客户需求，制定个性化解决方案，实现销售业绩持续增长。在日常工作中，需要进行客户需求分析、商务谈判、合同签订及关系维护等工作。</x:v>
      </x:c>
      <x:c r="L242" s="39" t="str">
        <x:v>1. 开发大客户资源 2. 维护重点客户关系 3. 制定销售策略方案 4. 达成年度销售目标 5. 协调跨部门协作 6. 分析市场动态数据</x:v>
      </x:c>
    </x:row>
    <x:row r="243" ht="52" customHeight="1">
      <x:c r="A243" s="42" t="n">
        <x:v>87</x:v>
      </x:c>
      <x:c r="B243" s="39" t="str">
        <x:v>导购管理</x:v>
      </x:c>
      <x:c r="C243" s="39" t="str">
        <x:v>可直接合并</x:v>
      </x:c>
      <x:c r="D243" s="39" t="str">
        <x:v>导购管理</x:v>
      </x:c>
      <x:c r="E243" s="42" t="n">
        <x:v>277</x:v>
      </x:c>
      <x:c r="F243" s="39" t="str">
        <x:v>IC-L3-428</x:v>
      </x:c>
      <x:c r="G243" s="42" t="n">
        <x:v>428</x:v>
      </x:c>
      <x:c r="H243" s="39" t="str">
        <x:v>销售/客服 &gt; 服务业销售 &gt; 导购管理</x:v>
      </x:c>
      <x:c r="I243" s="39" t="str">
        <x:v>4-01-02-03</x:v>
      </x:c>
      <x:c r="J243" s="39" t="str">
        <x:v>商品营业员</x:v>
      </x:c>
      <x:c r="K243" s="39" t="str">
        <x:v>导购管理是销售/客服领域中一个至关重要的角色，尤其在服务业销售中扮演着桥梁的角色，连接公司与消费者，通过优化购物体验来提升顾客满意度和忠诚度。该职位不仅负责一线销售工作，还是品牌形象的直接代表，其核心目标在于通过高效的顾客服务和精准的产品推荐，实现销售额的增长和客户关系的深化，对公司的业绩增长和市场竞争力有着不可忽视的作用。导购管理人员通常需要与销售团队、库…</x:v>
      </x:c>
      <x:c r="L243" s="39" t="str">
        <x:v>1. 负责店内导购人员的日常管理和培训，确保每位员工都能提供高质量的服务，以增强顾客的购物体验，最终促进销售转化率的提高。 2. 定期分析销售数据，识别潜在问题和改进机会，据此调整销售策略或产品布局，以最大化销售额和利润率。 3. 组织并参与各种促销活动的策划与实施，通过创新的营销手段吸引新客户，维护老客户，扩大市场份额。 4. 与供应链团队保持良好沟通，及…</x:v>
      </x:c>
    </x:row>
    <x:row r="244" ht="52" customHeight="1">
      <x:c r="A244" s="42" t="n">
        <x:v>87</x:v>
      </x:c>
      <x:c r="B244" s="39" t="str">
        <x:v>导购管理</x:v>
      </x:c>
      <x:c r="C244" s="39" t="str">
        <x:v>可直接合并</x:v>
      </x:c>
      <x:c r="D244" s="39" t="str">
        <x:v>导购管理</x:v>
      </x:c>
      <x:c r="E244" s="42" t="n">
        <x:v>857</x:v>
      </x:c>
      <x:c r="F244" s="39" t="str">
        <x:v>IC-L3-1008</x:v>
      </x:c>
      <x:c r="G244" s="42" t="n">
        <x:v>1008</x:v>
      </x:c>
      <x:c r="H244" s="39" t="str">
        <x:v>生活服务/零售 &gt; 零售 &gt; 导购管理</x:v>
      </x:c>
      <x:c r="I244" s="39" t="str">
        <x:v>4-01-02-03</x:v>
      </x:c>
      <x:c r="J244" s="39" t="str">
        <x:v>商品营业员</x:v>
      </x:c>
      <x:c r="K244" s="39" t="str">
        <x:v>导购管理作为零售行业中的关键职位，在促进销售、提升顾客体验方面发挥着不可替代的作用。通过优化导购人员的工作流程和服务质量，该职位能够有效提高顾客满意度和忠诚度，从而推动销售额的增长和品牌口碑的建立。 该职位的核心目标在于制定并实施有效的导购策略，确保每一位顾客都能获得个性化的购物建议和服务，同时对公司的价值主要体现在通过高效的团队管理和培训，提升员工的专业技…</x:v>
      </x:c>
      <x:c r="L244" s="39" t="str">
        <x:v>1. 制定并执行导购人员的工作计划，确保每位导购员都能准确传达产品信息，提供优质的客户服务，以达到提高顾客满意度的目标。 2. 定期组织导购员进行产品知识和服务技能培训，提升其专业水平，确保团队具备良好的销售技巧和应对突发状况的能力。 3. 分析销售数据和顾客反馈，及时调整导购策略，优化顾客购物体验，以实现销售目标。 4. 负责导购团队的招聘、培训及日常管理…</x:v>
      </x:c>
    </x:row>
    <x:row r="245" ht="52" customHeight="1">
      <x:c r="A245" s="42" t="n">
        <x:v>88</x:v>
      </x:c>
      <x:c r="B245" s="39" t="str">
        <x:v>底盘工程师</x:v>
      </x:c>
      <x:c r="C245" s="39" t="str">
        <x:v>条件合并（先修分类）</x:v>
      </x:c>
      <x:c r="D245" s="39" t="str">
        <x:v>底盘工程师</x:v>
      </x:c>
      <x:c r="E245" s="42" t="n">
        <x:v>577</x:v>
      </x:c>
      <x:c r="F245" s="39" t="str">
        <x:v>IC-L3-728</x:v>
      </x:c>
      <x:c r="G245" s="42" t="n">
        <x:v>728</x:v>
      </x:c>
      <x:c r="H245" s="39" t="str">
        <x:v>汽车 &gt; 汽车研发设计 &gt; 底盘工程师</x:v>
      </x:c>
      <x:c r="I245" s="39" t="str">
        <x:v>2-02-07-11</x:v>
      </x:c>
      <x:c r="J245" s="39" t="str">
        <x:v>汽车工程技术人员</x:v>
      </x:c>
      <x:c r="K245" s="39" t="str">
        <x:v>底盘工程师是汽车研发设计领域中不可或缺的关键角色，负责确保车辆的行驶性能和安全性。通过优化车辆的悬挂系统、转向系统等关键部件，底盘工程师不仅能够提升驾驶体验，还能满足日益严格的环保标准和安全法规要求，从而为公司赢得市场竞争力。此外，底盘工程师还需与动力系统、电子电气等多部门紧密合作，共同推进新车型的研发进程，其职业发展路径广阔，既可向技术专家方向深入研究，也…</x:v>
      </x:c>
      <x:c r="L245" s="39" t="str">
        <x:v>1. 负责汽车底盘系统的整体设计与开发工作，确保满足项目的技术指标及客户需求。 2. 对现有底盘架构进行持续改进，以提高车辆的操控稳定性、舒适性和燃油经济性。 3. 与供应商沟通协调，完成零部件选型、测试验证以及质量控制，保证供应链稳定可靠。 4. 参与跨部门会议，及时解决项目实施过程中遇到的技术难题，推动项目顺利进行。 5. 关注行业动态和技术趋势，定期组…</x:v>
      </x:c>
    </x:row>
    <x:row r="246" ht="52" customHeight="1">
      <x:c r="A246" s="42" t="n">
        <x:v>88</x:v>
      </x:c>
      <x:c r="B246" s="39" t="str">
        <x:v>底盘工程师</x:v>
      </x:c>
      <x:c r="C246" s="39" t="str">
        <x:v>条件合并（先修分类）</x:v>
      </x:c>
      <x:c r="D246" s="39" t="str">
        <x:v>底盘工程师</x:v>
      </x:c>
      <x:c r="E246" s="42" t="n">
        <x:v>614</x:v>
      </x:c>
      <x:c r="F246" s="39" t="str">
        <x:v>IC-L3-765</x:v>
      </x:c>
      <x:c r="G246" s="42" t="n">
        <x:v>765</x:v>
      </x:c>
      <x:c r="H246" s="39" t="str">
        <x:v>汽车 &gt; 汽车销售与服务 &gt; 底盘工程师</x:v>
      </x:c>
      <x:c r="I246" s="39" t="str">
        <x:v>4-02-02-01</x:v>
      </x:c>
      <x:c r="J246" s="39" t="str">
        <x:v>客运车辆驾驶员</x:v>
      </x:c>
      <x:c r="K246" s="39" t="str">
        <x:v>底盘工程师是专门从事汽车底盘系统设计、开发与优化的专业人员。该职位的核心目标是通过提升底盘性能与可靠性，实现车辆操控性与舒适性的优化。在日常工作中，需要进行底盘结构设计、性能测试分析、故障诊断与维修方案制定等工作。</x:v>
      </x:c>
      <x:c r="L246" s="39" t="str">
        <x:v>1. 设计底盘系统方案 2. 测试底盘性能参数 3. 优化底盘结构设计 4. 解决底盘技术问题 5. 编制底盘技术文档 6. 跟进底盘维修服务</x:v>
      </x:c>
    </x:row>
    <x:row r="247" ht="52" customHeight="1">
      <x:c r="A247" s="42" t="n">
        <x:v>89</x:v>
      </x:c>
      <x:c r="B247" s="39" t="str">
        <x:v>电池/电源开发</x:v>
      </x:c>
      <x:c r="C247" s="39" t="str">
        <x:v>可直接合并</x:v>
      </x:c>
      <x:c r="D247" s="39" t="str">
        <x:v>电池/电源开发</x:v>
      </x:c>
      <x:c r="E247" s="42" t="n">
        <x:v>1134</x:v>
      </x:c>
      <x:c r="F247" s="39" t="str">
        <x:v>IC-L3-1285</x:v>
      </x:c>
      <x:c r="G247" s="42" t="n">
        <x:v>1285</x:v>
      </x:c>
      <x:c r="H247" s="39" t="str">
        <x:v>通信/电子 &gt; 半导体/芯片 &gt; 电池/电源开发</x:v>
      </x:c>
      <x:c r="I247" s="39" t="str">
        <x:v>2-02-09-02</x:v>
      </x:c>
      <x:c r="J247" s="39" t="str">
        <x:v>电子元器件工程技术人员</x:v>
      </x:c>
      <x:c r="K247" s="39" t="str">
        <x:v>电池/电源开发是专门从事半导体领域电源管理系统设计与优化的专业人员。该职位的核心目标是通过开发高效、可靠的电池与电源解决方案，提升芯片能效与系统稳定性。在日常工作中，需要进行电源架构设计、电路仿真验证、功耗优化及量产测试支持等工作。</x:v>
      </x:c>
      <x:c r="L247" s="39" t="str">
        <x:v>1. 设计电池芯片方案 2. 优化电源管理电路 3. 测试电池性能参数 4. 解决电源技术难题 5. 编写技术开发文档 6. 评估芯片能效指标</x:v>
      </x:c>
    </x:row>
    <x:row r="248" ht="52" customHeight="1">
      <x:c r="A248" s="42" t="n">
        <x:v>89</x:v>
      </x:c>
      <x:c r="B248" s="39" t="str">
        <x:v>电池/电源开发</x:v>
      </x:c>
      <x:c r="C248" s="39" t="str">
        <x:v>可直接合并</x:v>
      </x:c>
      <x:c r="D248" s="39" t="str">
        <x:v>电池/电源开发</x:v>
      </x:c>
      <x:c r="E248" s="42" t="n">
        <x:v>1171</x:v>
      </x:c>
      <x:c r="F248" s="39" t="str">
        <x:v>IC-L3-1322</x:v>
      </x:c>
      <x:c r="G248" s="42" t="n">
        <x:v>1322</x:v>
      </x:c>
      <x:c r="H248" s="39" t="str">
        <x:v>通信/电子 &gt; 电子/电器/仪器仪表 &gt; 电池/电源开发</x:v>
      </x:c>
      <x:c r="I248" s="39" t="str">
        <x:v>2-02-09-02</x:v>
      </x:c>
      <x:c r="J248" s="39" t="str">
        <x:v>电子元器件工程技术人员</x:v>
      </x:c>
      <x:c r="K248" s="39" t="str">
        <x:v>电池/电源开发工程师在通信/电子行业中扮演着至关重要的角色，负责设计与优化各类电子设备所需的电池及电源系统。随着科技的发展和市场对高性能、高效率、长寿命电源产品需求的增长，该职位的重要性日益凸显，是推动技术创新和产品质量提升的关键力量。 该职位的核心目标在于研发出符合市场需求的新一代电池/电源解决方案，确保产品的安全性能、可靠性和成本效益达到最优水平。通过不…</x:v>
      </x:c>
      <x:c r="L248" s="39" t="str">
        <x:v>1. 负责新电池/电源技术的研究与开发工作，制定详细的设计方案并组织实施，确保按时完成研发任务。 2. 对现有产品进行持续改进，优化性能参数，提升用户体验，满足客户多样化需求。 3. 参与产品测试验证过程，分析测试结果，快速定位问题原因并提出有效的解决措施。 4. 与供应链管理团队密切配合，评估供应商提供的材料质量，确保采购符合设计要求。 5. 积极跟踪国内…</x:v>
      </x:c>
    </x:row>
    <x:row r="249" ht="52" customHeight="1">
      <x:c r="A249" s="42" t="n">
        <x:v>90</x:v>
      </x:c>
      <x:c r="B249" s="39" t="str">
        <x:v>电力工程师</x:v>
      </x:c>
      <x:c r="C249" s="39" t="str">
        <x:v>条件合并（先修分类）</x:v>
      </x:c>
      <x:c r="D249" s="39" t="str">
        <x:v>电力工程师</x:v>
      </x:c>
      <x:c r="E249" s="42" t="n">
        <x:v>426</x:v>
      </x:c>
      <x:c r="F249" s="39" t="str">
        <x:v>IC-L3-577</x:v>
      </x:c>
      <x:c r="G249" s="42" t="n">
        <x:v>577</x:v>
      </x:c>
      <x:c r="H249" s="39" t="str">
        <x:v>建筑/房地产 &gt; 建筑/装修工人 &gt; 电力工程师</x:v>
      </x:c>
      <x:c r="I249" s="39" t="str">
        <x:v>6-29-01-01</x:v>
      </x:c>
      <x:c r="J249" s="39" t="str">
        <x:v>砌筑工</x:v>
      </x:c>
      <x:c r="K249" s="39" t="str">
        <x:v>电力工程师是专门从事建筑电气系统设计与施工的专业人员。该职位的核心目标是通过规划、安装和维护电力系统，确保建筑用电安全可靠。在日常工作中，需要进行电气图纸设计、线路安装调试、设备维护检修等工作。</x:v>
      </x:c>
      <x:c r="L249" s="39" t="str">
        <x:v>1. 设计电力系统方案 2. 安装电气设备线路 3. 检测电路安全性能 4. 维护电力设备运行 5. 解决现场电力问题 6. 编制施工技术文件</x:v>
      </x:c>
    </x:row>
    <x:row r="250" ht="52" customHeight="1">
      <x:c r="A250" s="42" t="n">
        <x:v>90</x:v>
      </x:c>
      <x:c r="B250" s="39" t="str">
        <x:v>电力工程师</x:v>
      </x:c>
      <x:c r="C250" s="39" t="str">
        <x:v>条件合并（先修分类）</x:v>
      </x:c>
      <x:c r="D250" s="39" t="str">
        <x:v>电力工程师</x:v>
      </x:c>
      <x:c r="E250" s="42" t="n">
        <x:v>947</x:v>
      </x:c>
      <x:c r="F250" s="39" t="str">
        <x:v>IC-L3-1098</x:v>
      </x:c>
      <x:c r="G250" s="42" t="n">
        <x:v>1098</x:v>
      </x:c>
      <x:c r="H250" s="39" t="str">
        <x:v>能源/环保/化工 &gt; 能源 &gt; 电力工程师</x:v>
      </x:c>
      <x:c r="I250" s="39" t="str">
        <x:v>2-02-38-05</x:v>
      </x:c>
      <x:c r="J250" s="39" t="str">
        <x:v>智能制造工程技术人员</x:v>
      </x:c>
      <x:c r="K250" s="39" t="str">
        <x:v>电力工程师是能源行业中不可或缺的专业人才，负责确保电力系统的安全、稳定与高效运行。这一角色不仅直接关系到国家的能源供应安全，也是推动绿色能源发展的重要力量。 该职位的核心目标在于通过技术创新和优化管理，提高电力生产效率，降低运营成本，同时减少环境污染。对于公司而言，电力工程师的工作有助于提升企业的市场竞争力和社会责任感，实现经济效益与环境效益的双赢。 在日常…</x:v>
      </x:c>
      <x:c r="L250" s="39" t="str">
        <x:v>1. 负责电力系统的设计、安装、调试及维护工作，确保电力设施的安全可靠运行。 2. 分析电力系统性能数据，提出改进建议并实施技术改造方案，以提高系统效率和稳定性。 3. 参与新项目的可行性研究和技术评估，为公司决策提供科学依据。 4. 遵守相关法律法规及标准规范，确保所有操作符合安全要求。 5. 定期培训下属员工，分享专业知识，提升团队整体技术水平。</x:v>
      </x:c>
    </x:row>
    <x:row r="251" ht="52" customHeight="1">
      <x:c r="A251" s="42" t="n">
        <x:v>91</x:v>
      </x:c>
      <x:c r="B251" s="39" t="str">
        <x:v>电梯工</x:v>
      </x:c>
      <x:c r="C251" s="39" t="str">
        <x:v>条件合并（先修分类）</x:v>
      </x:c>
      <x:c r="D251" s="39" t="str">
        <x:v>电梯工</x:v>
      </x:c>
      <x:c r="E251" s="42" t="n">
        <x:v>422</x:v>
      </x:c>
      <x:c r="F251" s="39" t="str">
        <x:v>IC-L3-573</x:v>
      </x:c>
      <x:c r="G251" s="42" t="n">
        <x:v>573</x:v>
      </x:c>
      <x:c r="H251" s="39" t="str">
        <x:v>建筑/房地产 &gt; 建筑/装修工人 &gt; 电梯工</x:v>
      </x:c>
      <x:c r="I251" s="39" t="str">
        <x:v>6-29-01-01</x:v>
      </x:c>
      <x:c r="J251" s="39" t="str">
        <x:v>砌筑工</x:v>
      </x:c>
      <x:c r="K251" s="39" t="str">
        <x:v>电梯工是建筑与房地产行业中不可或缺的专业技术岗位，主要负责电梯设备的安装、维护及日常检修工作，确保其安全稳定运行。作为连接建筑物各个楼层的关键设施，电梯的安全性能直接关系到用户的生命财产安全，因此电梯工在项目中的作用至关重要。 该职位的核心目标在于通过专业的技能和服务，保障所辖区域内所有电梯系统的高效运转与良好状态，减少故障发生率，提高客户满意度。对于公司而…</x:v>
      </x:c>
      <x:c r="L251" s="39" t="str">
        <x:v>1. 负责电梯的日常巡检工作，检查电梯各部件是否正常运作，及时发现并排除潜在隐患。 2. 执行电梯的定期保养计划，包括清洁、润滑、调整等操作，确保设备处于最佳工作状态。 3. 在接到故障报告后迅速响应，准确判断故障原因，采取有效措施进行抢修，缩短停梯时间。 4. 参与新装电梯项目的现场施工，协助工程师完成电梯的安装调试工作，确保符合国家标准和设计要求。 5.…</x:v>
      </x:c>
    </x:row>
    <x:row r="252" ht="52" customHeight="1">
      <x:c r="A252" s="42" t="n">
        <x:v>91</x:v>
      </x:c>
      <x:c r="B252" s="39" t="str">
        <x:v>电梯工</x:v>
      </x:c>
      <x:c r="C252" s="39" t="str">
        <x:v>条件合并（先修分类）</x:v>
      </x:c>
      <x:c r="D252" s="39" t="str">
        <x:v>电梯工</x:v>
      </x:c>
      <x:c r="E252" s="42" t="n">
        <x:v>671</x:v>
      </x:c>
      <x:c r="F252" s="39" t="str">
        <x:v>IC-L3-822</x:v>
      </x:c>
      <x:c r="G252" s="42" t="n">
        <x:v>822</x:v>
      </x:c>
      <x:c r="H252" s="39" t="str">
        <x:v>生产制造 &gt; 技工 &gt; 电梯工</x:v>
      </x:c>
      <x:c r="I252" s="39" t="str">
        <x:v>6-31-01-01</x:v>
      </x:c>
      <x:c r="J252" s="39" t="str">
        <x:v>设备点检员</x:v>
      </x:c>
      <x:c r="K252" s="39" t="str">
        <x:v>电梯工是生产制造行业中不可或缺的技术岗位，主要负责电梯的安装、调试、维护与修理工作，确保电梯设备的安全运行，是连接设计与使用的桥梁，对于保障人们日常生活的便利和安全具有重要意义。 电梯工的核心目标在于通过专业的技能和服务，确保电梯设备的高效稳定运行，减少故障率，提高客户满意度。他们不仅需要具备扎实的专业知识和熟练的操作技能，还应具备良好的问题解决能力，能够迅…</x:v>
      </x:c>
      <x:c r="L252" s="39" t="str">
        <x:v>1. 负责电梯的安装、调试工作，严格按照国家相关标准和公司操作规程执行，确保安装质量符合要求。 2. 定期对电梯进行检查、保养，及时发现并排除潜在的安全隐患，预防事故发生，保障乘客安全。 3. 接受客户报修请求后，快速到达现场，准确判断故障原因，采取有效措施修复，恢复电梯正常运行。 4. 记录每次维修保养的情况，建立详细的档案资料，便于后续跟踪服务及分析总结…</x:v>
      </x:c>
    </x:row>
    <x:row r="253" ht="52" customHeight="1">
      <x:c r="A253" s="42" t="n">
        <x:v>92</x:v>
      </x:c>
      <x:c r="B253" s="39" t="str">
        <x:v>电子产品经理/产品工程师</x:v>
      </x:c>
      <x:c r="C253" s="39" t="str">
        <x:v>可直接合并</x:v>
      </x:c>
      <x:c r="D253" s="39" t="str">
        <x:v>电子产品经理/产品工程师</x:v>
      </x:c>
      <x:c r="E253" s="42" t="n">
        <x:v>111</x:v>
      </x:c>
      <x:c r="F253" s="39" t="str">
        <x:v>IC-L3-262</x:v>
      </x:c>
      <x:c r="G253" s="42" t="n">
        <x:v>262</x:v>
      </x:c>
      <x:c r="H253" s="39" t="str">
        <x:v>产品 &gt; 其他产品经理 &gt; 电子产品经理/产品工程师</x:v>
      </x:c>
      <x:c r="I253" s="39" t="str">
        <x:v>2-02-09-02</x:v>
      </x:c>
      <x:c r="J253" s="39" t="str">
        <x:v>电子元器件工程技术人员</x:v>
      </x:c>
      <x:c r="K253" s="39" t="str">
        <x:v>电子产品经理或产品工程师是产品行业中不可或缺的角色，他们负责将技术创新与市场需求相结合，推动电子产品的设计、开发和优化过程。这一职位不仅要求具备深厚的技术背景，还需拥有敏锐的市场洞察力，以确保产品能够满足用户需求并引领市场趋势。 该职位的核心目标在于通过持续的产品创新和改进，提升用户体验，增强公司产品的竞争力。通过对市场动态的深入分析，电子产品经理能够准确把…</x:v>
      </x:c>
      <x:c r="L253" s="39" t="str">
        <x:v>1. 负责电子产品的全生命周期管理，从市场调研、需求分析、产品定义到上市推广，确保产品按时按质完成。 2. 与研发团队密切配合，参与产品设计和技术方案评审，解决产品开发过程中遇到的技术难题。 3. 定期收集并分析市场反馈，结合用户需求提出产品改进建议，持续优化现有产品功能。 4. 协调内部资源，制定合理的产品路线图，确保项目进度符合预期目标。 5. 关注行业…</x:v>
      </x:c>
    </x:row>
    <x:row r="254" ht="52" customHeight="1">
      <x:c r="A254" s="42" t="n">
        <x:v>92</x:v>
      </x:c>
      <x:c r="B254" s="39" t="str">
        <x:v>电子产品经理/产品工程师</x:v>
      </x:c>
      <x:c r="C254" s="39" t="str">
        <x:v>可直接合并</x:v>
      </x:c>
      <x:c r="D254" s="39" t="str">
        <x:v>电子产品经理/产品工程师</x:v>
      </x:c>
      <x:c r="E254" s="42" t="n">
        <x:v>1162</x:v>
      </x:c>
      <x:c r="F254" s="39" t="str">
        <x:v>IC-L3-1313</x:v>
      </x:c>
      <x:c r="G254" s="42" t="n">
        <x:v>1313</x:v>
      </x:c>
      <x:c r="H254" s="39" t="str">
        <x:v>通信/电子 &gt; 电子/电器/仪器仪表 &gt; 电子产品经理/产品工程师</x:v>
      </x:c>
      <x:c r="I254" s="39" t="str">
        <x:v>2-02-09-02</x:v>
      </x:c>
      <x:c r="J254" s="39" t="str">
        <x:v>电子元器件工程技术人员</x:v>
      </x:c>
      <x:c r="K254" s="39" t="str">
        <x:v>在通信/电子行业中，电子产品经理/产品工程师是推动技术创新与市场应用的关键角色。他们不仅负责将先进的技术转化为实用的产品，还肩负着确保产品满足市场需求和用户体验的责任，是连接研发与市场的桥梁。该职位通过精准地把握市场趋势，指导产品从概念设计到最终上市的全过程，旨在提升公司在行业内的竞争力和市场份额，实现公司长期战略目标。此外，电子产品经理/产品工程师还需与跨…</x:v>
      </x:c>
      <x:c r="L254" s="39" t="str">
        <x:v>1. 负责收集并分析市场信息及客户需求，制定产品开发计划，确保产品符合市场需求和用户期望。 2. 与研发团队密切配合，参与新产品设计评审，监督产品开发进度，确保按时高质量完成产品开发任务。 3. 制定产品测试方案，组织进行产品性能测试，及时解决测试过程中发现的问题，保证产品质量达到行业标准。 4. 协调销售、生产等部门资源，优化产品生产和推广流程，提高产品市…</x:v>
      </x:c>
    </x:row>
    <x:row r="255" ht="52" customHeight="1">
      <x:c r="A255" s="42" t="n">
        <x:v>93</x:v>
      </x:c>
      <x:c r="B255" s="39" t="str">
        <x:v>店员/营业员</x:v>
      </x:c>
      <x:c r="C255" s="39" t="str">
        <x:v>条件合并（先修分类）</x:v>
      </x:c>
      <x:c r="D255" s="39" t="str">
        <x:v>店员/营业员</x:v>
      </x:c>
      <x:c r="E255" s="42" t="n">
        <x:v>820</x:v>
      </x:c>
      <x:c r="F255" s="39" t="str">
        <x:v>IC-L3-971</x:v>
      </x:c>
      <x:c r="G255" s="42" t="n">
        <x:v>971</x:v>
      </x:c>
      <x:c r="H255" s="39" t="str">
        <x:v>生活服务/零售 &gt; 服务员 &gt; 店员/营业员</x:v>
      </x:c>
      <x:c r="I255" s="39" t="str">
        <x:v>4-03-02-05</x:v>
      </x:c>
      <x:c r="J255" s="39" t="str">
        <x:v>餐厅服务员</x:v>
      </x:c>
      <x:c r="K255" s="39" t="str">
        <x:v>店员/营业员是专门从事零售服务与客户接待的专业人员。该职位的核心目标是通过优质的服务与产品推介，实现顾客满意与销售目标。在日常工作中，需要进行商品展示与维护、客户咨询解答、收银结算、库存管理以及店面清洁等工作。</x:v>
      </x:c>
      <x:c r="L255" s="39" t="str">
        <x:v>1. 接待顾客咨询 2. 介绍商品信息 3. 完成销售目标 4. 维护店面整洁 5. 处理顾客投诉 6. 盘点商品库存</x:v>
      </x:c>
    </x:row>
    <x:row r="256" ht="52" customHeight="1">
      <x:c r="A256" s="42" t="n">
        <x:v>93</x:v>
      </x:c>
      <x:c r="B256" s="39" t="str">
        <x:v>店员/营业员</x:v>
      </x:c>
      <x:c r="C256" s="39" t="str">
        <x:v>条件合并（先修分类）</x:v>
      </x:c>
      <x:c r="D256" s="39" t="str">
        <x:v>店员/营业员</x:v>
      </x:c>
      <x:c r="E256" s="42" t="n">
        <x:v>858</x:v>
      </x:c>
      <x:c r="F256" s="39" t="str">
        <x:v>IC-L3-1009</x:v>
      </x:c>
      <x:c r="G256" s="42" t="n">
        <x:v>1009</x:v>
      </x:c>
      <x:c r="H256" s="39" t="str">
        <x:v>生活服务/零售 &gt; 零售 &gt; 店员/营业员</x:v>
      </x:c>
      <x:c r="I256" s="39" t="str">
        <x:v>4-01-02-03</x:v>
      </x:c>
      <x:c r="J256" s="39" t="str">
        <x:v>商品营业员</x:v>
      </x:c>
      <x:c r="K256" s="39" t="str">
        <x:v>店员/营业员是零售业中不可或缺的角色，他们直接面向消费者，不仅代表着企业的形象，还承担着销售与服务的重要职责。通过提供优质的顾客体验，店员能够有效促进商品销售，增强客户忠诚度，进而推动公司业绩增长及品牌形象提升。此外，该职位还需要与店长、同事密切合作，共同维护店铺运营秩序，解决日常问题，同时也有机会向更高层次的管理岗位发展，实现个人职业生涯的成长与突破。</x:v>
      </x:c>
      <x:c r="L256" s="39" t="str">
        <x:v>1. 负责接待进店顾客，主动询问需求并推荐合适产品，确保每位顾客都能获得满意的服务体验。 2. 定期检查店内商品摆放情况，及时补充库存，保证货架整洁有序，营造良好的购物环境。 3. 熟悉掌握各类商品知识，准确解答顾客咨询，提高成交率和复购率。 4. 协助完成收银工作，确保交易过程准确无误，处理好顾客退换货等售后事宜。 5. 遵守公司规章制度，参与店铺日常清洁…</x:v>
      </x:c>
    </x:row>
    <x:row r="257" ht="52" customHeight="1">
      <x:c r="A257" s="42" t="n">
        <x:v>94</x:v>
      </x:c>
      <x:c r="B257" s="39" t="str">
        <x:v>调酒师/侍酒师/吧台员</x:v>
      </x:c>
      <x:c r="C257" s="39" t="str">
        <x:v>条件合并（先修分类）</x:v>
      </x:c>
      <x:c r="D257" s="39" t="str">
        <x:v>调酒师/侍酒师/吧台员</x:v>
      </x:c>
      <x:c r="E257" s="42" t="n">
        <x:v>817</x:v>
      </x:c>
      <x:c r="F257" s="39" t="str">
        <x:v>IC-L3-968</x:v>
      </x:c>
      <x:c r="G257" s="42" t="n">
        <x:v>968</x:v>
      </x:c>
      <x:c r="H257" s="39" t="str">
        <x:v>生活服务/零售 &gt; 服务员 &gt; 调酒师/侍酒师/吧台员</x:v>
      </x:c>
      <x:c r="I257" s="39" t="str">
        <x:v>4-03-02-05</x:v>
      </x:c>
      <x:c r="J257" s="39" t="str">
        <x:v>餐厅服务员</x:v>
      </x:c>
      <x:c r="K257" s="39" t="str">
        <x:v>调酒师/侍酒师/吧台员是专门从事酒水调制与服务的专业人员。该职位的核心目标是通过提供优质的饮品服务，提升顾客体验并促进销售。在日常工作中，需要进行酒水调制、吧台运营管理、顾客接待与推荐等工作。</x:v>
      </x:c>
      <x:c r="L257" s="39" t="str">
        <x:v>1. 调制各类酒水饮品 2. 提供专业品酒建议 3. 维护吧台清洁卫生 4. 管理酒水库存记录 5. 推荐特色酒品菜单 6. 处理顾客酒水投诉</x:v>
      </x:c>
    </x:row>
    <x:row r="258" ht="52" customHeight="1">
      <x:c r="A258" s="42" t="n">
        <x:v>94</x:v>
      </x:c>
      <x:c r="B258" s="39" t="str">
        <x:v>调酒师/侍酒师/吧台员</x:v>
      </x:c>
      <x:c r="C258" s="39" t="str">
        <x:v>条件合并（先修分类）</x:v>
      </x:c>
      <x:c r="D258" s="39" t="str">
        <x:v>调酒师/侍酒师/吧台员</x:v>
      </x:c>
      <x:c r="E258" s="42" t="n">
        <x:v>1335</x:v>
      </x:c>
      <x:c r="F258" s="39" t="str">
        <x:v>IC-L3-1486</x:v>
      </x:c>
      <x:c r="G258" s="42" t="n">
        <x:v>1486</x:v>
      </x:c>
      <x:c r="H258" s="39" t="str">
        <x:v>餐饮 &gt; 前厅 &gt; 调酒师/侍酒师/吧台员</x:v>
      </x:c>
      <x:c r="I258" s="39" t="str">
        <x:v>4-07-02-01</x:v>
      </x:c>
      <x:c r="J258" s="39" t="str">
        <x:v>风险管理师</x:v>
      </x:c>
      <x:c r="K258" s="39" t="str">
        <x:v>调酒师/侍酒师/吧台员是餐饮行业中不可或缺的专业角色，尤其在高端餐厅和酒吧中，他们不仅负责创造独特的饮品体验，还承担着提升顾客满意度的重要职责。通过精准的服务与专业的知识，调酒师能够帮助餐厅或酒吧树立良好的品牌形象，吸引并保留忠实客户，进而提高营业额。此外，作为前厅服务团队的一员，调酒师需要与其他员工紧密合作，共同为顾客提供高质量的服务；同时，这一职位也提供…</x:v>
      </x:c>
      <x:c r="L258" s="39" t="str">
        <x:v>1. 根据顾客需求及场合特点，精心调制各类鸡尾酒及其他饮料，确保饮品质量符合行业标准。 2. 主动与顾客交流沟通，了解其口味偏好，推荐合适的酒水组合，增强顾客用餐体验。 3. 定期检查吧台库存，及时补充所需原料，保证日常运营顺利进行。 4. 负责吧台区域的清洁卫生工作，维护设备的良好状态，确保安全无虞。 5. 参与新菜品开发会议，结合自身专业知识提出创新建议…</x:v>
      </x:c>
    </x:row>
    <x:row r="259" ht="52" customHeight="1">
      <x:c r="A259" s="42" t="n">
        <x:v>95</x:v>
      </x:c>
      <x:c r="B259" s="39" t="str">
        <x:v>调饮师</x:v>
      </x:c>
      <x:c r="C259" s="39" t="str">
        <x:v>条件合并（先修分类）</x:v>
      </x:c>
      <x:c r="D259" s="39" t="str">
        <x:v>调饮师</x:v>
      </x:c>
      <x:c r="E259" s="42" t="n">
        <x:v>832</x:v>
      </x:c>
      <x:c r="F259" s="39" t="str">
        <x:v>IC-L3-983</x:v>
      </x:c>
      <x:c r="G259" s="42" t="n">
        <x:v>983</x:v>
      </x:c>
      <x:c r="H259" s="39" t="str">
        <x:v>生活服务/零售 &gt; 服务员 &gt; 调饮师</x:v>
      </x:c>
      <x:c r="I259" s="39" t="str">
        <x:v>4-03-02-05</x:v>
      </x:c>
      <x:c r="J259" s="39" t="str">
        <x:v>餐厅服务员</x:v>
      </x:c>
      <x:c r="K259" s="39" t="str">
        <x:v>调饮师是专门从事饮品调制与服务的专业人员。该职位的核心目标是通过精湛的调配技艺和优质服务，提升顾客饮品体验。在日常工作中，需要进行饮品配方调配、原料管理、设备维护以及顾客需求沟通等工作。</x:v>
      </x:c>
      <x:c r="L259" s="39" t="str">
        <x:v>1. 制作各类饮品 2. 维护饮品质量 3. 清洁操作设备 4. 管理原料库存 5. 推荐饮品产品 6. 处理客户反馈</x:v>
      </x:c>
    </x:row>
    <x:row r="260" ht="52" customHeight="1">
      <x:c r="A260" s="42" t="n">
        <x:v>95</x:v>
      </x:c>
      <x:c r="B260" s="39" t="str">
        <x:v>调饮师</x:v>
      </x:c>
      <x:c r="C260" s="39" t="str">
        <x:v>条件合并（先修分类）</x:v>
      </x:c>
      <x:c r="D260" s="39" t="str">
        <x:v>调饮师</x:v>
      </x:c>
      <x:c r="E260" s="42" t="n">
        <x:v>1336</x:v>
      </x:c>
      <x:c r="F260" s="39" t="str">
        <x:v>IC-L3-1487</x:v>
      </x:c>
      <x:c r="G260" s="42" t="n">
        <x:v>1487</x:v>
      </x:c>
      <x:c r="H260" s="39" t="str">
        <x:v>餐饮 &gt; 前厅 &gt; 调饮师</x:v>
      </x:c>
      <x:c r="I260" s="39" t="str">
        <x:v>4-07-02-01</x:v>
      </x:c>
      <x:c r="J260" s="39" t="str">
        <x:v>风险管理师</x:v>
      </x:c>
      <x:c r="K260" s="39" t="str">
        <x:v>调饮师是餐饮行业中不可或缺的专业人才，在前厅服务中扮演着至关重要的角色。他们负责精心调制各种饮品，不仅能够满足顾客对口味的多样化需求，还能通过独特的饮品设计提升品牌形象。作为调饮师，其核心目标在于确保每一杯饮品的质量与口感达到高标准，同时不断创新饮品种类以吸引更多的顾客，增加客户黏性，为公司创造更大的经济价值。此外，调饮师还需与其他前厅工作人员密切合作，如接…</x:v>
      </x:c>
      <x:c r="L260" s="39" t="str">
        <x:v>1. 负责根据菜单要求和顾客点单，准确无误地制作各类茶饮、咖啡及其他特色饮品，确保饮品品质符合标准。 2. 定期研究市场趋势，开发新式饮品并进行试制，以丰富产品线，提高顾客满意度。 3. 维护工作区域的清洁卫生，确保所有设备处于良好状态，遵守食品安全法规，预防交叉污染。 4. 与团队成员积极沟通，协调解决工作中出现的问题，提供优质的客户服务，营造良好的就餐氛…</x:v>
      </x:c>
    </x:row>
    <x:row r="261" ht="52" customHeight="1">
      <x:c r="A261" s="42" t="n">
        <x:v>96</x:v>
      </x:c>
      <x:c r="B261" s="39" t="str">
        <x:v>儿科医生</x:v>
      </x:c>
      <x:c r="C261" s="39" t="str">
        <x:v>可直接合并</x:v>
      </x:c>
      <x:c r="D261" s="39" t="str">
        <x:v>儿科医生</x:v>
      </x:c>
      <x:c r="E261" s="42" t="n">
        <x:v>166</x:v>
      </x:c>
      <x:c r="F261" s="39" t="str">
        <x:v>IC-L3-317</x:v>
      </x:c>
      <x:c r="G261" s="42" t="n">
        <x:v>317</x:v>
      </x:c>
      <x:c r="H261" s="39" t="str">
        <x:v>医药/医疗 &gt; 医生/医技 &gt; 儿科医生</x:v>
      </x:c>
      <x:c r="I261" s="39" t="str">
        <x:v>2-05-01-19</x:v>
      </x:c>
      <x:c r="J261" s="39" t="str">
        <x:v>全科医师</x:v>
      </x:c>
      <x:c r="K261" s="39" t="str">
        <x:v>儿科医生是医药/医疗行业中不可或缺的专业人才，他们专注于儿童健康与疾病的预防、诊断和治疗，扮演着保护下一代健康成长的重要角色。作为医疗机构中的一线力量，儿科医生通过提供高质量的医疗服务，不仅能够有效提升患者的生活质量，还能够增强医院的社会影响力和品牌价值，促进医院长期稳定发展。此外，儿科医生还需与其他医疗专业人员密切合作，如护士、药剂师等，共同为患儿提供全面…</x:v>
      </x:c>
      <x:c r="L261" s="39" t="str">
        <x:v>1. 负责接诊前来就诊的儿童患者，进行详细的病史询问及体格检查，确保准确无误地了解病情并作出初步判断。 2. 根据临床指南制定个性化治疗方案，包括开具处方药物、安排必要的辅助检查以及提供康复指导，力求达到最佳治疗效果。 3. 在日常工作中积极与患儿家长沟通交流，耐心解答其关于孩子健康的疑问，帮助家长树立正确的育儿观念。 4. 参与科室内部会议及学术活动，及时…</x:v>
      </x:c>
    </x:row>
    <x:row r="262" ht="52" customHeight="1">
      <x:c r="A262" s="42" t="n">
        <x:v>96</x:v>
      </x:c>
      <x:c r="B262" s="39" t="str">
        <x:v>儿科医生</x:v>
      </x:c>
      <x:c r="C262" s="39" t="str">
        <x:v>可直接合并</x:v>
      </x:c>
      <x:c r="D262" s="39" t="str">
        <x:v>儿科医生</x:v>
      </x:c>
      <x:c r="E262" s="42" t="n">
        <x:v>215</x:v>
      </x:c>
      <x:c r="F262" s="39" t="str">
        <x:v>IC-L3-366</x:v>
      </x:c>
      <x:c r="G262" s="42" t="n">
        <x:v>366</x:v>
      </x:c>
      <x:c r="H262" s="39" t="str">
        <x:v>医药/医疗 &gt; 护理/护士 &gt; 儿科医生</x:v>
      </x:c>
      <x:c r="I262" s="39" t="str">
        <x:v>2-05-01-19</x:v>
      </x:c>
      <x:c r="J262" s="39" t="str">
        <x:v>全科医师</x:v>
      </x:c>
      <x:c r="K262" s="39" t="str">
        <x:v>儿科医生是专门从事儿童疾病预防、诊断和治疗的专业医疗人员。该职位的核心目标是通过提供全面、专业的儿科医疗服务，保障儿童身心健康发育。在日常工作中，需要进行患儿接诊、疾病诊断、治疗方案制定、疫苗接种指导及健康咨询等工作。</x:v>
      </x:c>
      <x:c r="L262" s="39" t="str">
        <x:v>1. 诊断儿童疾病 2. 开具治疗方案 3. 进行常规体检 4. 指导疫苗接种 5. 提供健康咨询 6. 处理急诊情况</x:v>
      </x:c>
    </x:row>
    <x:row r="263" ht="52" customHeight="1">
      <x:c r="A263" s="42" t="n">
        <x:v>97</x:v>
      </x:c>
      <x:c r="B263" s="39" t="str">
        <x:v>发动机工程师</x:v>
      </x:c>
      <x:c r="C263" s="39" t="str">
        <x:v>条件合并（先修分类）</x:v>
      </x:c>
      <x:c r="D263" s="39" t="str">
        <x:v>发动机工程师</x:v>
      </x:c>
      <x:c r="E263" s="42" t="n">
        <x:v>576</x:v>
      </x:c>
      <x:c r="F263" s="39" t="str">
        <x:v>IC-L3-727</x:v>
      </x:c>
      <x:c r="G263" s="42" t="n">
        <x:v>727</x:v>
      </x:c>
      <x:c r="H263" s="39" t="str">
        <x:v>汽车 &gt; 汽车研发设计 &gt; 发动机工程师</x:v>
      </x:c>
      <x:c r="I263" s="39" t="str">
        <x:v>2-02-07-11</x:v>
      </x:c>
      <x:c r="J263" s="39" t="str">
        <x:v>汽车工程技术人员</x:v>
      </x:c>
      <x:c r="K263" s="39" t="str">
        <x:v>发动机工程师是汽车行业中至关重要的技术角色之一，负责推动汽车动力系统的技术革新与性能优化。在汽车研发设计领域中，发动机工程师不仅需要具备深厚的专业知识，还需要拥有创新思维和解决复杂问题的能力，以确保汽车产品的竞争力和市场地位。 作为发动机工程师，核心目标在于通过持续的技术研究与开发，提高发动机的效率、降低排放、增强耐用性和提升整体性能，从而为公司创造显著的价…</x:v>
      </x:c>
      <x:c r="L263" s="39" t="str">
        <x:v>1. 负责发动机的设计、测试及改进工作，确保满足性能指标要求并符合相关法规标准。 2. 开展新材料、新技术的研究应用，探索提高发动机效能的新途径。 3. 与跨职能团队密切配合，协调解决产品开发过程中的技术难题。 4. 参与制定发动机项目的计划与预算，监督实施进度，保证按时完成任务。 5. 对现有发动机产品进行维护支持，提供技术指导和服务，确保客户满意度。</x:v>
      </x:c>
    </x:row>
    <x:row r="264" ht="52" customHeight="1">
      <x:c r="A264" s="42" t="n">
        <x:v>97</x:v>
      </x:c>
      <x:c r="B264" s="39" t="str">
        <x:v>发动机工程师</x:v>
      </x:c>
      <x:c r="C264" s="39" t="str">
        <x:v>条件合并（先修分类）</x:v>
      </x:c>
      <x:c r="D264" s="39" t="str">
        <x:v>发动机工程师</x:v>
      </x:c>
      <x:c r="E264" s="42" t="n">
        <x:v>661</x:v>
      </x:c>
      <x:c r="F264" s="39" t="str">
        <x:v>IC-L3-812</x:v>
      </x:c>
      <x:c r="G264" s="42" t="n">
        <x:v>812</x:v>
      </x:c>
      <x:c r="H264" s="39" t="str">
        <x:v>生产制造 &gt; 工程/机械 &gt; 发动机工程师</x:v>
      </x:c>
      <x:c r="I264" s="39" t="str">
        <x:v>2-02-07-01</x:v>
      </x:c>
      <x:c r="J264" s="39" t="str">
        <x:v>机械设计工程技术人员</x:v>
      </x:c>
      <x:c r="K264" s="39" t="str">
        <x:v>发动机工程师是专门从事发动机设计、开发和优化的专业人员。该职位的核心目标是通过技术创新和性能提升，实现发动机高效可靠运行。在日常工作中，需要进行发动机性能分析、结构设计优化、测试验证及故障诊断等工作。</x:v>
      </x:c>
      <x:c r="L264" s="39" t="str">
        <x:v>1. 设计发动机结构 2. 优化性能参数 3. 测试发动机性能 4. 分析故障原因 5. 改进生产工艺 6. 编写技术文档</x:v>
      </x:c>
    </x:row>
    <x:row r="265" ht="52" customHeight="1">
      <x:c r="A265" s="42" t="n">
        <x:v>98</x:v>
      </x:c>
      <x:c r="B265" s="39" t="str">
        <x:v>防损员/内保</x:v>
      </x:c>
      <x:c r="C265" s="39" t="str">
        <x:v>条件合并（先修分类）</x:v>
      </x:c>
      <x:c r="D265" s="39" t="str">
        <x:v>防损员/内保</x:v>
      </x:c>
      <x:c r="E265" s="42" t="n">
        <x:v>821</x:v>
      </x:c>
      <x:c r="F265" s="39" t="str">
        <x:v>IC-L3-972</x:v>
      </x:c>
      <x:c r="G265" s="42" t="n">
        <x:v>972</x:v>
      </x:c>
      <x:c r="H265" s="39" t="str">
        <x:v>生活服务/零售 &gt; 服务员 &gt; 防损员/内保</x:v>
      </x:c>
      <x:c r="I265" s="39" t="str">
        <x:v>4-03-02-05</x:v>
      </x:c>
      <x:c r="J265" s="39" t="str">
        <x:v>餐厅服务员</x:v>
      </x:c>
      <x:c r="K265" s="39" t="str">
        <x:v>防损员/内保是专门从事零售或服务场所资产保护的专业人员。该职位的核心目标是通过预防和减少商品损耗及安全风险，保障企业财产安全和正常运营。在日常工作中，需要进行监控巡查、防盗防损、突发事件处理及安全制度执行等工作。</x:v>
      </x:c>
      <x:c r="L265" s="39" t="str">
        <x:v>1. 巡查营业场所安全 2. 监控商品防盗措施 3. 处理突发事件报警 4. 检查消防设备完好 5. 记录异常情况报告 6. 协助顾客纠纷调解</x:v>
      </x:c>
    </x:row>
    <x:row r="266" ht="52" customHeight="1">
      <x:c r="A266" s="42" t="n">
        <x:v>98</x:v>
      </x:c>
      <x:c r="B266" s="39" t="str">
        <x:v>防损员/内保</x:v>
      </x:c>
      <x:c r="C266" s="39" t="str">
        <x:v>条件合并（先修分类）</x:v>
      </x:c>
      <x:c r="D266" s="39" t="str">
        <x:v>防损员/内保</x:v>
      </x:c>
      <x:c r="E266" s="42" t="n">
        <x:v>865</x:v>
      </x:c>
      <x:c r="F266" s="39" t="str">
        <x:v>IC-L3-1016</x:v>
      </x:c>
      <x:c r="G266" s="42" t="n">
        <x:v>1016</x:v>
      </x:c>
      <x:c r="H266" s="39" t="str">
        <x:v>生活服务/零售 &gt; 零售 &gt; 防损员/内保</x:v>
      </x:c>
      <x:c r="I266" s="39" t="str">
        <x:v>4-01-02-03</x:v>
      </x:c>
      <x:c r="J266" s="39" t="str">
        <x:v>商品营业员</x:v>
      </x:c>
      <x:c r="K266" s="39" t="str">
        <x:v>防损员/内保是生活服务与零售行业中不可或缺的角色之一。他们主要负责维护店铺的安全环境，防止商品被盗和损失，确保顾客和员工的人身安全。通过有效预防和应对各种安全隐患，防损员不仅能够减少公司的经济损失，还能提升品牌形象，增强顾客信任度，从而促进销售增长。此外，防损员通常需要与其他部门密切合作，如销售、物流等，共同制定并执行安全策略；同时，该职位也为个人提供了良好…</x:v>
      </x:c>
      <x:c r="L266" s="39" t="str">
        <x:v>1. 负责监控店内各区域的安全状况，及时发现并处理潜在风险，保障营业场所秩序良好。 2. 定期检查防盗设备（如摄像头、报警系统）运行状态，确保其正常运作，提高防范水平。 3. 对可疑行为进行观察与跟踪，必要时采取措施制止违法行为，保护公司财产不受侵害。 4. 协助警方调查案件，提供相关线索，协助追回失窃物品，降低公司损失。 5. 参与制定和完善店铺的安全管理…</x:v>
      </x:c>
    </x:row>
    <x:row r="267" ht="52" customHeight="1">
      <x:c r="A267" s="42" t="n">
        <x:v>99</x:v>
      </x:c>
      <x:c r="B267" s="39" t="str">
        <x:v>房地产店长/经理</x:v>
      </x:c>
      <x:c r="C267" s="39" t="str">
        <x:v>可直接合并</x:v>
      </x:c>
      <x:c r="D267" s="39" t="str">
        <x:v>房地产店长/经理</x:v>
      </x:c>
      <x:c r="E267" s="42" t="n">
        <x:v>265</x:v>
      </x:c>
      <x:c r="F267" s="39" t="str">
        <x:v>IC-L3-416</x:v>
      </x:c>
      <x:c r="G267" s="42" t="n">
        <x:v>416</x:v>
      </x:c>
      <x:c r="H267" s="39" t="str">
        <x:v>销售/客服 &gt; 房地产销售 &gt; 房地产店长/经理</x:v>
      </x:c>
      <x:c r="I267" s="39" t="str">
        <x:v>4-01-02-03</x:v>
      </x:c>
      <x:c r="J267" s="39" t="str">
        <x:v>商品营业员</x:v>
      </x:c>
      <x:c r="K267" s="39" t="str">
        <x:v>作为房地产行业的关键人物，房地产店长/经理负责管理销售团队，确保公司项目顺利进行，同时提升客户满意度与市场竞争力。此职位不仅在推动销售业绩方面扮演着核心角色，还对公司品牌形象的建立和维护起着至关重要的作用。 该职位的核心目标是通过优化销售流程、提高团队效能来实现销售目标，增加市场份额。此外，店长/经理还需定期分析市场动态，调整营销策略，以适应不断变化的市场需…</x:v>
      </x:c>
      <x:c r="L267" s="39" t="str">
        <x:v>1. 负责制定并执行销售计划，带领团队完成月度、季度及年度销售任务。 2. 监控销售过程中的各项指标，及时发现并解决影响销售效率的问题，确保服务质量。 3. 组织培训会议，提升团队成员的专业技能和服务意识，激发团队活力。 4. 与客户建立长期稳定的关系，收集反馈信息，持续改进产品和服务。 5. 定期向高级管理层汇报工作进展，提出改进建议，支持公司战略决策。</x:v>
      </x:c>
    </x:row>
    <x:row r="268" ht="52" customHeight="1">
      <x:c r="A268" s="42" t="n">
        <x:v>99</x:v>
      </x:c>
      <x:c r="B268" s="39" t="str">
        <x:v>房地产店长/经理</x:v>
      </x:c>
      <x:c r="C268" s="39" t="str">
        <x:v>可直接合并</x:v>
      </x:c>
      <x:c r="D268" s="39" t="str">
        <x:v>房地产店长/经理</x:v>
      </x:c>
      <x:c r="E268" s="42" t="n">
        <x:v>483</x:v>
      </x:c>
      <x:c r="F268" s="39" t="str">
        <x:v>IC-L3-634</x:v>
      </x:c>
      <x:c r="G268" s="42" t="n">
        <x:v>634</x:v>
      </x:c>
      <x:c r="H268" s="39" t="str">
        <x:v>建筑/房地产 &gt; 房地产销售与中介 &gt; 房地产店长/经理</x:v>
      </x:c>
      <x:c r="I268" s="39" t="str">
        <x:v>4-01-02-03</x:v>
      </x:c>
      <x:c r="J268" s="39" t="str">
        <x:v>商品营业员</x:v>
      </x:c>
      <x:c r="K268" s="39" t="str">
        <x:v>作为房地产行业的关键人物，房地产店长/经理不仅负责店面的整体运营，还承担着领导销售团队、推动业绩增长的重要职责。他们不仅是业务发展的核心驱动力，也是公司品牌形象的直接代表，在市场中扮演着至关重要的角色。 房地产店长/经理的核心目标是通过优化客户体验、提升销售效率以及增强团队协作能力来实现业绩指标。通过对市场的深入分析，制定并执行有效的营销策略，确保公司在竞争…</x:v>
      </x:c>
      <x:c r="L268" s="39" t="str">
        <x:v>1. 负责店面日常运营管理，包括人员调度、库存控制、环境维护等，确保为客户提供优质的服务体验。 2. 制定并实施销售计划，定期跟踪销售进度，分析销售数据，及时调整策略以达成既定的销售目标。 3. 组织培训活动，提高销售人员的专业知识和服务水平，建立一支高效能的销售队伍。 4. 与潜在客户建立良好的关系，了解客户需求，提供个性化的购房建议，促成交易。 5. 定…</x:v>
      </x:c>
    </x:row>
    <x:row r="269" ht="52" customHeight="1">
      <x:c r="A269" s="42" t="n">
        <x:v>100</x:v>
      </x:c>
      <x:c r="B269" s="39" t="str">
        <x:v>房地产客服</x:v>
      </x:c>
      <x:c r="C269" s="39" t="str">
        <x:v>可直接合并</x:v>
      </x:c>
      <x:c r="D269" s="39" t="str">
        <x:v>房地产客服</x:v>
      </x:c>
      <x:c r="E269" s="42" t="n">
        <x:v>261</x:v>
      </x:c>
      <x:c r="F269" s="39" t="str">
        <x:v>IC-L3-412</x:v>
      </x:c>
      <x:c r="G269" s="42" t="n">
        <x:v>412</x:v>
      </x:c>
      <x:c r="H269" s="39" t="str">
        <x:v>销售/客服 &gt; 客服 &gt; 房地产客服</x:v>
      </x:c>
      <x:c r="I269" s="39" t="str">
        <x:v>4-04-05-01</x:v>
      </x:c>
      <x:c r="J269" s="39" t="str">
        <x:v>计算机程序设计员</x:v>
      </x:c>
      <x:c r="K269" s="39" t="str">
        <x:v>房地产客服是房地产行业中不可或缺的重要角色，他们不仅是连接客户与企业的桥梁，也是塑造品牌形象的关键力量。通过提供高效、准确的信息咨询及售前售后服务，房地产客服能够有效促进交易达成，增强客户的信任感和满意度，从而为企业创造更多的商业机会和长期价值。此外，该职位还涉及到与其他部门如销售、市场等密切合作，共同推动项目的顺利进行；对于个人而言，这是一份充满挑战与发展…</x:v>
      </x:c>
      <x:c r="L269" s="39" t="str">
        <x:v>1. 通过电话、邮件或现场接待等方式，积极主动地为客户提供全面的项目信息咨询服务，确保客户能够获得准确无误的房产资料。 2. 负责记录并跟踪客户的需求变化，及时反馈给相关部门，协助解决客户在购房过程中遇到的问题，直至客户满意为止。 3. 定期进行客户回访，收集客户意见和建议，分析客户需求趋势，为公司优化产品和服务提供数据支持。 4. 参与组织各类客户活动，维…</x:v>
      </x:c>
    </x:row>
    <x:row r="270" ht="52" customHeight="1">
      <x:c r="A270" s="42" t="n">
        <x:v>100</x:v>
      </x:c>
      <x:c r="B270" s="39" t="str">
        <x:v>房地产客服</x:v>
      </x:c>
      <x:c r="C270" s="39" t="str">
        <x:v>可直接合并</x:v>
      </x:c>
      <x:c r="D270" s="39" t="str">
        <x:v>房地产客服</x:v>
      </x:c>
      <x:c r="E270" s="42" t="n">
        <x:v>482</x:v>
      </x:c>
      <x:c r="F270" s="39" t="str">
        <x:v>IC-L3-633</x:v>
      </x:c>
      <x:c r="G270" s="42" t="n">
        <x:v>633</x:v>
      </x:c>
      <x:c r="H270" s="39" t="str">
        <x:v>建筑/房地产 &gt; 房地产销售与中介 &gt; 房地产客服</x:v>
      </x:c>
      <x:c r="I270" s="39" t="str">
        <x:v>4-04-05-01</x:v>
      </x:c>
      <x:c r="J270" s="39" t="str">
        <x:v>计算机程序设计员</x:v>
      </x:c>
      <x:c r="K270" s="39" t="str">
        <x:v>房地产客服是建筑与房地产业中不可或缺的一环，主要负责处理客户咨询、提供购房建议以及维护良好的客户关系。作为公司与客户之间的桥梁，房地产客服对于塑造企业形象、提升客户满意度具有举足轻重的作用。通过高效沟通和专业服务，能够有效促进房源成交率，增加公司收益；同时还能收集市场反馈，为产品优化及营销策略调整提供依据。在日常工作中，房地产客服将与销售、设计、工程等多个部…</x:v>
      </x:c>
      <x:c r="L270" s="39" t="str">
        <x:v>1. 负责接听客户电话，解答关于楼盘信息、价格政策等方面的疑问，确保信息准确无误。 2. 通过线上平台（如微信、QQ）及线下活动主动联系潜在客户，推广公司项目并激发其购买兴趣。 3. 记录客户需求与偏好，定期跟进客户状态，及时更新客户数据库，提高客户转化率。 4. 协助完成购房手续办理，包括但不限于合同签订、贷款申请等工作，确保流程顺畅。 5. 定期收集并分…</x:v>
      </x:c>
    </x:row>
    <x:row r="271" ht="52" customHeight="1">
      <x:c r="A271" s="42" t="n">
        <x:v>101</x:v>
      </x:c>
      <x:c r="B271" s="39" t="str">
        <x:v>房地产销售专员</x:v>
      </x:c>
      <x:c r="C271" s="39" t="str">
        <x:v>可直接合并</x:v>
      </x:c>
      <x:c r="D271" s="39" t="str">
        <x:v>房地产销售专员</x:v>
      </x:c>
      <x:c r="E271" s="42" t="n">
        <x:v>266</x:v>
      </x:c>
      <x:c r="F271" s="39" t="str">
        <x:v>IC-L3-417</x:v>
      </x:c>
      <x:c r="G271" s="42" t="n">
        <x:v>417</x:v>
      </x:c>
      <x:c r="H271" s="39" t="str">
        <x:v>销售/客服 &gt; 房地产销售 &gt; 房地产销售专员</x:v>
      </x:c>
      <x:c r="I271" s="39" t="str">
        <x:v>4-01-02-01</x:v>
      </x:c>
      <x:c r="J271" s="39" t="str">
        <x:v>营销员</x:v>
      </x:c>
      <x:c r="K271" s="39" t="str">
        <x:v>房地产销售专员是房地产行业中至关重要的角色之一，负责将房产项目与潜在买家进行有效连接，确保交易的顺利达成。作为前线人员，他们不仅代表了公司形象，更是客户了解项目的窗口，其专业度和服务态度直接影响着客户的购房体验和决策过程。 该职位的核心目标在于通过精准的市场分析和高效的沟通技巧，挖掘并满足客户需求，促进房产销售业绩的增长。同时，房地产销售专员还需具备良好的谈…</x:v>
      </x:c>
      <x:c r="L271" s="39" t="str">
        <x:v>1. 负责接待来访客户，提供专业的房产咨询及推荐服务，确保每位客户都能获得满意的购房建议。 2. 通过电话、网络等多种渠道主动开发潜在客户资源，扩大客户群体，提高销售转化率。 3. 定期参与项目推广活动，配合团队完成各项销售指标，为公司创造更多经济收益。 4. 及时跟进客户反馈，处理客户投诉或疑问，维护良好的客户关系，提升客户满意度。 5. 学习掌握最新的房…</x:v>
      </x:c>
    </x:row>
    <x:row r="272" ht="52" customHeight="1">
      <x:c r="A272" s="42" t="n">
        <x:v>101</x:v>
      </x:c>
      <x:c r="B272" s="39" t="str">
        <x:v>房地产销售专员</x:v>
      </x:c>
      <x:c r="C272" s="39" t="str">
        <x:v>可直接合并</x:v>
      </x:c>
      <x:c r="D272" s="39" t="str">
        <x:v>房地产销售专员</x:v>
      </x:c>
      <x:c r="E272" s="42" t="n">
        <x:v>485</x:v>
      </x:c>
      <x:c r="F272" s="39" t="str">
        <x:v>IC-L3-636</x:v>
      </x:c>
      <x:c r="G272" s="42" t="n">
        <x:v>636</x:v>
      </x:c>
      <x:c r="H272" s="39" t="str">
        <x:v>建筑/房地产 &gt; 房地产销售与中介 &gt; 房地产销售专员</x:v>
      </x:c>
      <x:c r="I272" s="39" t="str">
        <x:v>4-01-02-01</x:v>
      </x:c>
      <x:c r="J272" s="39" t="str">
        <x:v>营销员</x:v>
      </x:c>
      <x:c r="K272" s="39" t="str">
        <x:v>房地产销售专员是建筑与房地产行业中不可或缺的角色之一，他们不仅作为公司与客户之间的桥梁，还负责将优质的房产项目推向市场，促进房产交易的顺利进行。该职位的核心目标在于通过专业的销售技巧和市场洞察力，实现公司房源的有效推广和销售，提高市场份额，同时为客户提供满意的购房体验，从而增强公司的品牌影响力和市场竞争力。在日常工作中，房地产销售专员需要与市场营销、客户服务…</x:v>
      </x:c>
      <x:c r="L272" s="39" t="str">
        <x:v>1. 负责收集并分析市场信息，了解客户需求，制定个性化的销售策略，确保每月销售任务的完成。 2. 主动开拓新客户资源，维护现有客户关系，提供专业咨询和服务，以促成更多交易。 3. 参与公司组织的各种营销活动，配合团队完成现场接待、讲解等工作，提高项目知名度。 4. 定期跟进客户反馈，及时解决购房过程中遇到的问题，保证客户满意度。 5. 遵守国家相关法律法规及…</x:v>
      </x:c>
    </x:row>
    <x:row r="273" ht="52" customHeight="1">
      <x:c r="A273" s="42" t="n">
        <x:v>102</x:v>
      </x:c>
      <x:c r="B273" s="39" t="str">
        <x:v>房地产中介/置业顾问</x:v>
      </x:c>
      <x:c r="C273" s="39" t="str">
        <x:v>可直接合并</x:v>
      </x:c>
      <x:c r="D273" s="39" t="str">
        <x:v>房地产中介/置业顾问</x:v>
      </x:c>
      <x:c r="E273" s="42" t="n">
        <x:v>264</x:v>
      </x:c>
      <x:c r="F273" s="39" t="str">
        <x:v>IC-L3-415</x:v>
      </x:c>
      <x:c r="G273" s="42" t="n">
        <x:v>415</x:v>
      </x:c>
      <x:c r="H273" s="39" t="str">
        <x:v>销售/客服 &gt; 房地产销售 &gt; 房地产中介/置业顾问</x:v>
      </x:c>
      <x:c r="I273" s="39" t="str">
        <x:v>4-01-02-01</x:v>
      </x:c>
      <x:c r="J273" s="39" t="str">
        <x:v>营销员</x:v>
      </x:c>
      <x:c r="K273" s="39" t="str">
        <x:v>房地产中介/置业顾问是房地产销售领域中不可或缺的专业角色，他们不仅代表公司与客户进行沟通，同时也是客户购房决策过程中的重要指导者。通过专业的市场分析和客户需求理解，他们能够提供精准的房产推荐服务，确保客户获得满意的居住或投资选择，从而提升公司的品牌形象和市场竞争力。在日常工作中，置业顾问需要与销售团队、市场营销部门以及后端支持团队紧密合作，共同推动项目进展；…</x:v>
      </x:c>
      <x:c r="L273" s="39" t="str">
        <x:v>1. 负责开发潜在客户资源，通过电话、网络及现场接待等方式了解客户需求并提供专业的房产咨询服务。 2. 根据客户的具体需求制定个性化的购房方案，包括但不限于房源推荐、价格谈判及合同签订等环节。 3. 协调内部资源，确保交易流程顺畅，及时解决客户在购买过程中遇到的问题，提高客户满意度。 4. 定期跟进已成交客户的后续服务，建立长期合作关系，促进老客户转介绍新客…</x:v>
      </x:c>
    </x:row>
    <x:row r="274" ht="52" customHeight="1">
      <x:c r="A274" s="42" t="n">
        <x:v>102</x:v>
      </x:c>
      <x:c r="B274" s="39" t="str">
        <x:v>房地产中介/置业顾问</x:v>
      </x:c>
      <x:c r="C274" s="39" t="str">
        <x:v>可直接合并</x:v>
      </x:c>
      <x:c r="D274" s="39" t="str">
        <x:v>房地产中介/置业顾问</x:v>
      </x:c>
      <x:c r="E274" s="42" t="n">
        <x:v>481</x:v>
      </x:c>
      <x:c r="F274" s="39" t="str">
        <x:v>IC-L3-632</x:v>
      </x:c>
      <x:c r="G274" s="42" t="n">
        <x:v>632</x:v>
      </x:c>
      <x:c r="H274" s="39" t="str">
        <x:v>建筑/房地产 &gt; 房地产销售与中介 &gt; 房地产中介/置业顾问</x:v>
      </x:c>
      <x:c r="I274" s="39" t="str">
        <x:v>4-01-02-01</x:v>
      </x:c>
      <x:c r="J274" s="39" t="str">
        <x:v>营销员</x:v>
      </x:c>
      <x:c r="K274" s="39" t="str">
        <x:v>房地产中介/置业顾问是建筑与房地产行业中不可或缺的专业人才，他们不仅是连接买家与卖家之间的桥梁，还承担着提供专业市场分析、投资建议以及促成交易的重要任务。作为房地产市场的前线人员，他们对于推动项目销售、维护公司品牌形象及实现长期发展目标具有举足轻重的作用。 该职位的核心目标在于通过精准匹配客户需求与房源资源，提高成交率，同时确保客户满意度，以增强企业的市场竞…</x:v>
      </x:c>
      <x:c r="L274" s="39" t="str">
        <x:v>1. 负责收集并分析房地产市场信息，为客户提供最新最全的房产资讯，引导其做出明智的投资决策。 2. 主动寻找潜在客户，通过电话沟通、网络推广等多种渠道进行客户拓展，不断扩大客户基础。 3. 根据客户需求推荐合适的房源，陪同看房，解答疑问，协助完成购房手续办理，直至交易成功。 4. 定期回访老客户，了解其后续需求变化，提供持续性的售后服务支持，促进二次销售机会…</x:v>
      </x:c>
    </x:row>
    <x:row r="275" ht="52" customHeight="1">
      <x:c r="A275" s="42" t="n">
        <x:v>103</x:v>
      </x:c>
      <x:c r="B275" s="39" t="str">
        <x:v>封装工程师</x:v>
      </x:c>
      <x:c r="C275" s="39" t="str">
        <x:v>可直接合并</x:v>
      </x:c>
      <x:c r="D275" s="39" t="str">
        <x:v>封装工程师</x:v>
      </x:c>
      <x:c r="E275" s="42" t="n">
        <x:v>1125</x:v>
      </x:c>
      <x:c r="F275" s="39" t="str">
        <x:v>IC-L3-1276</x:v>
      </x:c>
      <x:c r="G275" s="42" t="n">
        <x:v>1276</x:v>
      </x:c>
      <x:c r="H275" s="39" t="str">
        <x:v>通信/电子 &gt; 半导体/芯片 &gt; 封装工程师</x:v>
      </x:c>
      <x:c r="I275" s="39" t="str">
        <x:v>2-02-09-02</x:v>
      </x:c>
      <x:c r="J275" s="39" t="str">
        <x:v>电子元器件工程技术人员</x:v>
      </x:c>
      <x:c r="K275" s="39" t="str">
        <x:v>封装工程师在通信/电子行业中扮演着至关重要的角色，特别是在半导体/芯片领域。作为连接芯片设计与最终产品应用的关键环节，封装工程师负责确保芯片的性能、可靠性和成本效益达到最优状态，是推动技术进步和产品创新的重要力量。该职位的核心目标在于通过先进的封装技术实现芯片功能的最大化，同时降低生产成本，提高生产效率，这对于提升公司在市场上的竞争力具有不可估量的价值。此外…</x:v>
      </x:c>
      <x:c r="L275" s="39" t="str">
        <x:v>1. 负责制定并优化半导体器件的封装方案，确保满足性能要求及客户期望。 2. 协调内外部资源，推动新封装技术的研发与应用，持续改进现有工艺流程。 3. 对封装过程中的质量问题进行分析，提出解决方案，保障产品质量稳定。 4. 与跨职能团队合作，参与新产品开发项目的各个阶段，从概念设计到量产转移提供技术支持。 5. 关注行业动态和技术趋势，定期评估新技术对公司业…</x:v>
      </x:c>
    </x:row>
    <x:row r="276" ht="52" customHeight="1">
      <x:c r="A276" s="42" t="n">
        <x:v>103</x:v>
      </x:c>
      <x:c r="B276" s="39" t="str">
        <x:v>封装工程师</x:v>
      </x:c>
      <x:c r="C276" s="39" t="str">
        <x:v>可直接合并</x:v>
      </x:c>
      <x:c r="D276" s="39" t="str">
        <x:v>封装工程师</x:v>
      </x:c>
      <x:c r="E276" s="42" t="n">
        <x:v>1200</x:v>
      </x:c>
      <x:c r="F276" s="39" t="str">
        <x:v>IC-L3-1351</x:v>
      </x:c>
      <x:c r="G276" s="42" t="n">
        <x:v>1351</x:v>
      </x:c>
      <x:c r="H276" s="39" t="str">
        <x:v>通信/电子 &gt; 硬件开发 &gt; 封装工程师</x:v>
      </x:c>
      <x:c r="I276" s="39" t="str">
        <x:v>2-02-09-02</x:v>
      </x:c>
      <x:c r="J276" s="39" t="str">
        <x:v>电子元器件工程技术人员</x:v>
      </x:c>
      <x:c r="K276" s="39" t="str">
        <x:v>封装工程师是专门从事电子元器件封装设计与工艺优化的专业人员。该职位的核心目标是通过先进的封装技术，实现芯片性能提升和系统集成优化。在日常工作中，需要进行封装结构设计、材料选型验证、热力学分析及生产工艺改进等工作。</x:v>
      </x:c>
      <x:c r="L276" s="39" t="str">
        <x:v>1. 设计封装方案 2. 优化封装工艺 3. 测试封装性能 4. 分析封装问题 5. 编写技术文档 6. 跟进生产流程</x:v>
      </x:c>
    </x:row>
    <x:row r="277" ht="52" customHeight="1">
      <x:c r="A277" s="42" t="n">
        <x:v>104</x:v>
      </x:c>
      <x:c r="B277" s="39" t="str">
        <x:v>服装/纺织/皮革跟单</x:v>
      </x:c>
      <x:c r="C277" s="39" t="str">
        <x:v>条件合并（先修分类）</x:v>
      </x:c>
      <x:c r="D277" s="39" t="str">
        <x:v>服装/纺织/皮革跟单</x:v>
      </x:c>
      <x:c r="E277" s="42" t="n">
        <x:v>686</x:v>
      </x:c>
      <x:c r="F277" s="39" t="str">
        <x:v>IC-L3-837</x:v>
      </x:c>
      <x:c r="G277" s="42" t="n">
        <x:v>837</x:v>
      </x:c>
      <x:c r="H277" s="39" t="str">
        <x:v>生产制造 &gt; 服装/纺织/皮革 &gt; 服装/纺织/皮革跟单</x:v>
      </x:c>
      <x:c r="I277" s="39" t="str">
        <x:v>6-23-01-01</x:v>
      </x:c>
      <x:c r="J277" s="39" t="str">
        <x:v>铁路机车制修工</x:v>
      </x:c>
      <x:c r="K277" s="39" t="str">
        <x:v>服装/纺织/皮革跟单是生产制造行业中不可或缺的角色，特别是在服装/纺织/皮革领域。此职位不仅负责确保从原材料采购到成品出货的整个流程顺畅进行，还承担着沟通客户与生产部门之间的桥梁作用，确保产品符合客户的需求和标准。通过高效地协调资源和时间管理，跟单员能够帮助企业提高生产效率，降低成本，提升客户满意度，从而增强企业的市场竞争力。 该职位的核心目标在于通过精确的…</x:v>
      </x:c>
      <x:c r="L277" s="39" t="str">
        <x:v>1. 负责接收客户订单，与客户沟通确认订单细节，包括数量、颜色、规格等，确保订单信息准确无误。 2. 协调内部资源，包括材料采购、生产排程和质量控制，确保订单按计划顺利执行。 3. 定期跟进订单进度，及时向客户反馈生产情况，处理可能出现的问题，确保订单按时交付。 4. 收集并分析客户反馈，提出改进措施，不断提高产品质量和服务水平。 5. 维护良好的客户关系，…</x:v>
      </x:c>
    </x:row>
    <x:row r="278" ht="52" customHeight="1">
      <x:c r="A278" s="42" t="n">
        <x:v>104</x:v>
      </x:c>
      <x:c r="B278" s="39" t="str">
        <x:v>服装/纺织/皮革跟单</x:v>
      </x:c>
      <x:c r="C278" s="39" t="str">
        <x:v>条件合并（先修分类）</x:v>
      </x:c>
      <x:c r="D278" s="39" t="str">
        <x:v>服装/纺织/皮革跟单</x:v>
      </x:c>
      <x:c r="E278" s="42" t="n">
        <x:v>1237</x:v>
      </x:c>
      <x:c r="F278" s="39" t="str">
        <x:v>IC-L3-1388</x:v>
      </x:c>
      <x:c r="G278" s="42" t="n">
        <x:v>1388</x:v>
      </x:c>
      <x:c r="H278" s="39" t="str">
        <x:v>采购/贸易 &gt; 贸易 &gt; 服装/纺织/皮革跟单</x:v>
      </x:c>
      <x:c r="I278" s="39" t="str">
        <x:v>4-01-02-01</x:v>
      </x:c>
      <x:c r="J278" s="39" t="str">
        <x:v>营销员</x:v>
      </x:c>
      <x:c r="K278" s="39" t="str">
        <x:v>服装/纺织/皮革跟单是采购/贸易行业中不可或缺的角色之一，负责确保从产品设计到成品交付的每一个环节都符合质量标准和时间要求。作为连接供应商与客户的桥梁，该职位在促进双方沟通、协调资源以及保障供应链顺畅运作方面发挥着至关重要的作用。 本职位的核心目标在于通过高效管理订单流程，减少生产延误，降低不良品率，从而提升客户满意度并为公司创造更多利润。此外，跟单员还需密…</x:v>
      </x:c>
      <x:c r="L278" s="39" t="str">
        <x:v>1. 负责与国内外供应商建立并维护良好的合作关系，确保按时按质完成各项订单任务。 2. 定期跟踪生产进度，协调解决生产过程中出现的问题，保证交货准时无误。 3. 对产品质量进行严格把控，定期抽查样品，确保符合客户要求及行业标准。 4. 收集整理相关市场信息，分析客户需求变化趋势，为产品开发提供数据支持。 5. 协助处理客户投诉，快速响应并妥善解决问题，提高客…</x:v>
      </x:c>
    </x:row>
    <x:row r="279" ht="52" customHeight="1">
      <x:c r="A279" s="42" t="n">
        <x:v>105</x:v>
      </x:c>
      <x:c r="B279" s="39" t="str">
        <x:v>服装/纺织/皮革工艺师</x:v>
      </x:c>
      <x:c r="C279" s="39" t="str">
        <x:v>条件合并（先修分类）</x:v>
      </x:c>
      <x:c r="D279" s="39" t="str">
        <x:v>服装/纺织/皮革工艺师</x:v>
      </x:c>
      <x:c r="E279" s="42" t="n">
        <x:v>685</x:v>
      </x:c>
      <x:c r="F279" s="39" t="str">
        <x:v>IC-L3-836</x:v>
      </x:c>
      <x:c r="G279" s="42" t="n">
        <x:v>836</x:v>
      </x:c>
      <x:c r="H279" s="39" t="str">
        <x:v>生产制造 &gt; 服装/纺织/皮革 &gt; 服装/纺织/皮革工艺师</x:v>
      </x:c>
      <x:c r="I279" s="39" t="str">
        <x:v>6-23-01-01</x:v>
      </x:c>
      <x:c r="J279" s="39" t="str">
        <x:v>铁路机车制修工</x:v>
      </x:c>
      <x:c r="K279" s="39" t="str">
        <x:v>服装/纺织/皮革工艺师是生产制造行业中不可或缺的专业人才，其主要负责设计与开发新产品、改进现有产品以及优化生产工艺流程。该职位不仅在提升产品质量和生产效率方面发挥着关键作用，而且在推动企业技术创新和市场竞争力方面也占据着重要地位。 作为公司技术团队的核心成员之一，服装/纺织/皮革工艺师的核心目标是通过运用先进的设计理念和技术手段，确保所设计的产品符合市场需求…</x:v>
      </x:c>
      <x:c r="L279" s="39" t="str">
        <x:v>1. 负责新产品的研发工作，从概念设计到样品制作，直至最终投入量产，确保每个环节都达到预期标准。 2. 对现有产品进行持续改进，通过引入新材料、新技术来优化生产工艺，提高产品性能和生产效率。 3. 与设计团队密切沟通，了解市场需求变化，及时调整设计方案以满足客户的个性化需求。 4. 参与制定和执行质量控制计划，定期检查生产线上的设备运行状况，确保所有工序均符…</x:v>
      </x:c>
    </x:row>
    <x:row r="280" ht="52" customHeight="1">
      <x:c r="A280" s="42" t="n">
        <x:v>105</x:v>
      </x:c>
      <x:c r="B280" s="39" t="str">
        <x:v>服装/纺织/皮革工艺师</x:v>
      </x:c>
      <x:c r="C280" s="39" t="str">
        <x:v>条件合并（先修分类）</x:v>
      </x:c>
      <x:c r="D280" s="39" t="str">
        <x:v>服装/纺织/皮革工艺师</x:v>
      </x:c>
      <x:c r="E280" s="42" t="n">
        <x:v>1016</x:v>
      </x:c>
      <x:c r="F280" s="39" t="str">
        <x:v>IC-L3-1167</x:v>
      </x:c>
      <x:c r="G280" s="42" t="n">
        <x:v>1167</x:v>
      </x:c>
      <x:c r="H280" s="39" t="str">
        <x:v>设计 &gt; 服装设计 &gt; 服装/纺织/皮革工艺师</x:v>
      </x:c>
      <x:c r="I280" s="39" t="str">
        <x:v>2-09-06-01</x:v>
      </x:c>
      <x:c r="J280" s="39" t="str">
        <x:v>视觉传达设计人员</x:v>
      </x:c>
      <x:c r="K280" s="39" t="str">
        <x:v>服装/纺织/皮革工艺师是设计行业中不可或缺的专业人才，他们负责将创意与技术完美结合，创造出既符合市场需求又兼具美学价值的产品。这一职位不仅要求具备扎实的设计基础，还需要深刻理解材料科学和生产工艺流程，从而确保设计方案能够高效转化为实物。 该职位的核心目标在于通过创新的设计理念和精湛的技术手段，提升产品的竞争力和品牌影响力，为公司创造更大的商业价值。同时，工艺…</x:v>
      </x:c>
      <x:c r="L280" s="39" t="str">
        <x:v>1. 负责服装、纺织品或皮革制品的设计开发工作，确保设计方案既美观又实用，符合目标客户群体的审美偏好。 2. 与供应链管理团队沟通协调，选择合适的原材料，评估成本效益比，以保证产品质量的同时控制成本。 3. 参与产品打样过程，指导工厂技术人员解决生产中遇到的技术难题，提高成品率。 4. 定期收集并分析市场反馈信息，及时调整设计策略，保持产品线的新颖性和竞争力…</x:v>
      </x:c>
    </x:row>
    <x:row r="281" ht="52" customHeight="1">
      <x:c r="A281" s="42" t="n">
        <x:v>106</x:v>
      </x:c>
      <x:c r="B281" s="39" t="str">
        <x:v>服装/纺织设计</x:v>
      </x:c>
      <x:c r="C281" s="39" t="str">
        <x:v>条件合并（先修分类）</x:v>
      </x:c>
      <x:c r="D281" s="39" t="str">
        <x:v>服装/纺织设计</x:v>
      </x:c>
      <x:c r="E281" s="42" t="n">
        <x:v>687</x:v>
      </x:c>
      <x:c r="F281" s="39" t="str">
        <x:v>IC-L3-838</x:v>
      </x:c>
      <x:c r="G281" s="42" t="n">
        <x:v>838</x:v>
      </x:c>
      <x:c r="H281" s="39" t="str">
        <x:v>生产制造 &gt; 服装/纺织/皮革 &gt; 服装/纺织设计</x:v>
      </x:c>
      <x:c r="I281" s="39" t="str">
        <x:v>6-23-01-01</x:v>
      </x:c>
      <x:c r="J281" s="39" t="str">
        <x:v>铁路机车制修工</x:v>
      </x:c>
      <x:c r="K281" s="39" t="str">
        <x:v>服装/纺织设计师在生产制造行业中扮演着至关重要的角色，他们不仅是时尚趋势的引领者，也是产品创新与市场竞争力提升的关键力量。通过结合艺术美感与实用功能，设计师们能够创造出既符合市场需求又独具特色的产品，为企业树立良好的品牌形象，增加市场份额。此外，服装/纺织设计师还需与其他部门紧密合作，如销售、市场、生产等，确保设计方案从概念到成品的顺利实施，同时也有机会参与…</x:v>
      </x:c>
      <x:c r="L281" s="39" t="str">
        <x:v>1. 负责研究并预测流行趋势，制定季度设计主题，确保公司产品始终处于行业前沿。 2. 根据品牌定位及市场需求，进行原创设计或改进现有款式，完成从草图绘制到样衣制作的全过程。 3. 与采购团队沟通面料选择事宜，评估材料成本效益比，保证最终产品的质量和成本控制。 4. 定期参加国内外时装周及相关展会，收集行业资讯，保持设计理念与时俱进。 5. 协助解决生产过程中…</x:v>
      </x:c>
    </x:row>
    <x:row r="282" ht="52" customHeight="1">
      <x:c r="A282" s="42" t="n">
        <x:v>106</x:v>
      </x:c>
      <x:c r="B282" s="39" t="str">
        <x:v>服装/纺织设计</x:v>
      </x:c>
      <x:c r="C282" s="39" t="str">
        <x:v>条件合并（先修分类）</x:v>
      </x:c>
      <x:c r="D282" s="39" t="str">
        <x:v>服装/纺织设计</x:v>
      </x:c>
      <x:c r="E282" s="42" t="n">
        <x:v>1017</x:v>
      </x:c>
      <x:c r="F282" s="39" t="str">
        <x:v>IC-L3-1168</x:v>
      </x:c>
      <x:c r="G282" s="42" t="n">
        <x:v>1168</x:v>
      </x:c>
      <x:c r="H282" s="39" t="str">
        <x:v>设计 &gt; 服装设计 &gt; 服装/纺织设计</x:v>
      </x:c>
      <x:c r="I282" s="39" t="str">
        <x:v>2-09-06-01</x:v>
      </x:c>
      <x:c r="J282" s="39" t="str">
        <x:v>视觉传达设计人员</x:v>
      </x:c>
      <x:c r="K282" s="39" t="str">
        <x:v>服装/纺织设计师是设计行业中不可或缺的角色之一，他们负责创造和开发新的服装款式以及面料，以满足市场的需求和消费者的期待。通过将创意与技术相结合，这些专业人士不仅塑造了时尚潮流，还推动了行业的创新发展。作为公司产品线的重要组成部分，服装/纺织设计师的工作直接影响到品牌形象的建立和市场竞争力的提升，他们的设计成果往往成为品牌故事讲述的关键元素，能够有效促进销售增…</x:v>
      </x:c>
      <x:c r="L282" s="39" t="str">
        <x:v>1. 负责收集和分析时尚趋势，结合品牌定位和市场需求，制定季度设计方案。 2. 使用手绘或计算机辅助设计软件完成初步草图绘制，与团队成员沟通调整直至最终确定设计稿。 3. 与供应商协调选择合适的面料、颜色及辅料，确保材料质量符合设计要求和成本预算。 4. 参与样衣制作过程，监督打版师和技术员的工作，确保样品达到预期效果。 5. 协助制定产品定价策略，参与产品…</x:v>
      </x:c>
    </x:row>
    <x:row r="283" ht="52" customHeight="1">
      <x:c r="A283" s="42" t="n">
        <x:v>107</x:v>
      </x:c>
      <x:c r="B283" s="39" t="str">
        <x:v>服装纺织质检员</x:v>
      </x:c>
      <x:c r="C283" s="39" t="str">
        <x:v>条件合并（先修分类）</x:v>
      </x:c>
      <x:c r="D283" s="39" t="str">
        <x:v>服装纺织质检员</x:v>
      </x:c>
      <x:c r="E283" s="42" t="n">
        <x:v>689</x:v>
      </x:c>
      <x:c r="F283" s="39" t="str">
        <x:v>IC-L3-840</x:v>
      </x:c>
      <x:c r="G283" s="42" t="n">
        <x:v>840</x:v>
      </x:c>
      <x:c r="H283" s="39" t="str">
        <x:v>生产制造 &gt; 服装/纺织/皮革 &gt; 服装纺织质检员</x:v>
      </x:c>
      <x:c r="I283" s="39" t="str">
        <x:v>6-23-01-01</x:v>
      </x:c>
      <x:c r="J283" s="39" t="str">
        <x:v>铁路机车制修工</x:v>
      </x:c>
      <x:c r="K283" s="39" t="str">
        <x:v>服装纺织质检员是生产制造行业中不可或缺的角色，尤其在服装/纺织/皮革领域中，他们负责确保产品质量符合标准，从而保障消费者满意度并维护公司声誉。作为质量控制的关键环节，质检员的主要任务是通过严格的检验流程来识别和解决产品中的缺陷问题，他们的工作直接关系到产品的最终品质以及企业的市场竞争力。此外，质检员还需与设计、生产和销售等部门密切合作，共同推动产品质量的持续…</x:v>
      </x:c>
      <x:c r="L283" s="39" t="str">
        <x:v>1. 对进厂原材料及成品进行抽样检查，依据国家或企业标准判断其是否合格，确保所有进入生产线或交付给客户的商品都达到预定的质量要求。 2. 记录检验结果，编写详细的质检报告，对于发现的问题及时反馈给相关部门并提出改进建议，协助解决生产过程中出现的技术难题。 3. 定期参与内部培训，学习最新的检测技术和方法，提高自身专业水平，以适应不断变化的市场需求和技术进步。…</x:v>
      </x:c>
    </x:row>
    <x:row r="284" ht="52" customHeight="1">
      <x:c r="A284" s="42" t="n">
        <x:v>107</x:v>
      </x:c>
      <x:c r="B284" s="39" t="str">
        <x:v>服装纺织质检员</x:v>
      </x:c>
      <x:c r="C284" s="39" t="str">
        <x:v>条件合并（先修分类）</x:v>
      </x:c>
      <x:c r="D284" s="39" t="str">
        <x:v>服装纺织质检员</x:v>
      </x:c>
      <x:c r="E284" s="42" t="n">
        <x:v>741</x:v>
      </x:c>
      <x:c r="F284" s="39" t="str">
        <x:v>IC-L3-892</x:v>
      </x:c>
      <x:c r="G284" s="42" t="n">
        <x:v>892</x:v>
      </x:c>
      <x:c r="H284" s="39" t="str">
        <x:v>生产制造 &gt; 质量管理 &gt; 服装纺织质检员</x:v>
      </x:c>
      <x:c r="I284" s="39" t="str">
        <x:v>2-02-29-03</x:v>
      </x:c>
      <x:c r="J284" s="39" t="str">
        <x:v>质量管理工程技术人员</x:v>
      </x:c>
      <x:c r="K284" s="39" t="str">
        <x:v>服装纺织质检员是生产制造行业中不可或缺的专业人才，在确保产品质量和符合客户标准方面发挥着关键作用。作为连接生产与销售的重要环节，质检员不仅需要具备扎实的纺织品专业知识，还需拥有敏锐的质量意识，能够准确识别并解决产品潜在的质量问题，为公司树立良好的品牌形象。此外，质检员还需与其他部门如生产、采购等紧密合作，共同提升产品质量，同时也有机会通过不断学习新的检测技术…</x:v>
      </x:c>
      <x:c r="L284" s="39" t="str">
        <x:v>1. 对生产线上及入库前的服装纺织品进行抽样检查，确保产品符合国家相关法律法规以及企业内部质量标准。 2. 记录检验过程中发现的问题，及时向生产部门反馈，协助制定整改措施以减少不合格品率。 3. 参与新产品的质量评估工作，从源头控制产品质量，提高客户满意度。 4. 定期对生产设备和工艺流程进行审查，提出改进建议，持续优化质量管理体系。 5. 负责组织员工培训…</x:v>
      </x:c>
    </x:row>
    <x:row r="285" ht="52" customHeight="1">
      <x:c r="A285" s="42" t="n">
        <x:v>108</x:v>
      </x:c>
      <x:c r="B285" s="39" t="str">
        <x:v>妇产科医生</x:v>
      </x:c>
      <x:c r="C285" s="39" t="str">
        <x:v>可直接合并</x:v>
      </x:c>
      <x:c r="D285" s="39" t="str">
        <x:v>妇产科医生</x:v>
      </x:c>
      <x:c r="E285" s="42" t="n">
        <x:v>172</x:v>
      </x:c>
      <x:c r="F285" s="39" t="str">
        <x:v>IC-L3-323</x:v>
      </x:c>
      <x:c r="G285" s="42" t="n">
        <x:v>323</x:v>
      </x:c>
      <x:c r="H285" s="39" t="str">
        <x:v>医药/医疗 &gt; 医生/医技 &gt; 妇产科医生</x:v>
      </x:c>
      <x:c r="I285" s="39" t="str">
        <x:v>2-05-01-19</x:v>
      </x:c>
      <x:c r="J285" s="39" t="str">
        <x:v>全科医师</x:v>
      </x:c>
      <x:c r="K285" s="39" t="str">
        <x:v>妇产科医生是医药/医疗行业中不可或缺的专业人才，他们专注于女性生殖系统的健康问题，不仅负责妇女的日常保健和疾病治疗，还在孕产妇护理方面扮演着至关重要的角色。通过提供高质量的医疗服务，妇产科医生能够显著提高患者的生活质量，减少妊娠并发症的发生率，确保母婴安全；同时，他们还承担着健康教育的责任，帮助公众建立正确的生育观念与卫生习惯。在医院或诊所中，妇产科医生通常…</x:v>
      </x:c>
      <x:c r="L285" s="39" t="str">
        <x:v>1. 为妇科及产科病人提供全面的诊断服务，包括但不限于妇科检查、超声波检查等，确保准确判断病情并制定合理的治疗方案。 2. 在孕妇整个孕期期间进行定期随访，监测胎儿发育情况，及时发现并处理可能出现的问题，保障母婴健康。 3. 负责实施各类妇科手术操作，如宫外孕手术、卵巢囊肿切除术等，确保手术过程顺利，降低术后感染风险。 4. 积极参与科室内部培训与学术交流活…</x:v>
      </x:c>
    </x:row>
    <x:row r="286" ht="52" customHeight="1">
      <x:c r="A286" s="42" t="n">
        <x:v>108</x:v>
      </x:c>
      <x:c r="B286" s="39" t="str">
        <x:v>妇产科医生</x:v>
      </x:c>
      <x:c r="C286" s="39" t="str">
        <x:v>可直接合并</x:v>
      </x:c>
      <x:c r="D286" s="39" t="str">
        <x:v>妇产科医生</x:v>
      </x:c>
      <x:c r="E286" s="42" t="n">
        <x:v>216</x:v>
      </x:c>
      <x:c r="F286" s="39" t="str">
        <x:v>IC-L3-367</x:v>
      </x:c>
      <x:c r="G286" s="42" t="n">
        <x:v>367</x:v>
      </x:c>
      <x:c r="H286" s="39" t="str">
        <x:v>医药/医疗 &gt; 护理/护士 &gt; 妇产科医生</x:v>
      </x:c>
      <x:c r="I286" s="39" t="str">
        <x:v>2-05-01-19</x:v>
      </x:c>
      <x:c r="J286" s="39" t="str">
        <x:v>全科医师</x:v>
      </x:c>
      <x:c r="K286" s="39" t="str">
        <x:v>妇产科医生是专门从事女性生殖系统疾病诊治及孕产期保健的专业人员。该职位的核心目标是通过提供高质量的医疗护理服务，保障孕产妇及新生儿的健康安全。在日常工作中，需要进行产前检查、分娩处理、妇科疾病诊疗及手术操作等工作。</x:v>
      </x:c>
      <x:c r="L286" s="39" t="str">
        <x:v>1. 诊断妇科疾病 2. 接诊孕妇产检 3. 实施分娩手术 4. 指导产后护理 5. 开具医疗处方 6. 参与会诊讨论</x:v>
      </x:c>
    </x:row>
    <x:row r="287" ht="52" customHeight="1">
      <x:c r="A287" s="42" t="n">
        <x:v>109</x:v>
      </x:c>
      <x:c r="B287" s="39" t="str">
        <x:v>钢结构设计</x:v>
      </x:c>
      <x:c r="C287" s="39" t="str">
        <x:v>条件合并（先修分类）</x:v>
      </x:c>
      <x:c r="D287" s="39" t="str">
        <x:v>钢结构设计</x:v>
      </x:c>
      <x:c r="E287" s="42" t="n">
        <x:v>472</x:v>
      </x:c>
      <x:c r="F287" s="39" t="str">
        <x:v>IC-L3-623</x:v>
      </x:c>
      <x:c r="G287" s="42" t="n">
        <x:v>623</x:v>
      </x:c>
      <x:c r="H287" s="39" t="str">
        <x:v>建筑/房地产 &gt; 建筑规划与设计 &gt; 钢结构设计</x:v>
      </x:c>
      <x:c r="I287" s="39" t="str">
        <x:v>2-02-18-01</x:v>
      </x:c>
      <x:c r="J287" s="39" t="str">
        <x:v>建筑和市政设计工程技术人员</x:v>
      </x:c>
      <x:c r="K287" s="39" t="str">
        <x:v>钢结构设计师在建筑/房地产行业中扮演着至关重要的角色，他们负责确保建筑物的安全性、稳定性和美观度。作为连接结构工程与建筑设计的桥梁，钢结构设计师不仅需要具备扎实的专业技术知识，还需要拥有良好的创新意识和审美能力。通过精准的设计方案，钢结构设计师能够有效提升项目整体的质量和效率，同时降低施工成本和缩短建设周期，为企业创造更大的经济效益和社会价值。在日常工作中，…</x:v>
      </x:c>
      <x:c r="L287" s="39" t="str">
        <x:v>1. 负责钢结构建筑的初步设计和深化设计工作，确保设计方案符合国家相关标准和技术规范。 2. 对现有钢结构体系进行优化，提高材料利用率，减少浪费，降低成本。 3. 与客户沟通交流，了解其需求并据此调整设计方案，直至客户满意为止。 4. 协助解决施工现场遇到的技术难题，提供技术支持，确保施工质量和进度。 5. 定期参与行业培训和学习，掌握最新的设计理念和技术动…</x:v>
      </x:c>
    </x:row>
    <x:row r="288" ht="52" customHeight="1">
      <x:c r="A288" s="42" t="n">
        <x:v>109</x:v>
      </x:c>
      <x:c r="B288" s="39" t="str">
        <x:v>钢结构设计</x:v>
      </x:c>
      <x:c r="C288" s="39" t="str">
        <x:v>条件合并（先修分类）</x:v>
      </x:c>
      <x:c r="D288" s="39" t="str">
        <x:v>钢结构设计</x:v>
      </x:c>
      <x:c r="E288" s="42" t="n">
        <x:v>1013</x:v>
      </x:c>
      <x:c r="F288" s="39" t="str">
        <x:v>IC-L3-1164</x:v>
      </x:c>
      <x:c r="G288" s="42" t="n">
        <x:v>1164</x:v>
      </x:c>
      <x:c r="H288" s="39" t="str">
        <x:v>设计 &gt; 建筑/室内设计 &gt; 钢结构设计</x:v>
      </x:c>
      <x:c r="I288" s="39" t="str">
        <x:v>2-09-06-01</x:v>
      </x:c>
      <x:c r="J288" s="39" t="str">
        <x:v>视觉传达设计人员</x:v>
      </x:c>
      <x:c r="K288" s="39" t="str">
        <x:v>钢结构设计师是建筑设计领域中不可或缺的专业人才，他们通过创新的设计理念和专业的技术知识，确保建筑物的安全性和美观性，同时提高项目的整体质量和成本效益。该职位的核心目标在于结合项目需求与材料特性，进行高效、经济的钢结构设计，不仅能够满足结构安全的要求，还能优化空间布局，增强建筑的功能性和艺术性，为公司赢得良好的市场口碑和竞争优势。此外，钢结构设计师需要与其他部…</x:v>
      </x:c>
      <x:c r="L288" s="39" t="str">
        <x:v>1. 负责钢结构工程的设计工作，包括但不限于初步方案设计、深化设计及施工图绘制，确保设计方案符合国家相关规范标准和技术要求。 2. 与客户沟通交流，了解其具体需求并提供专业建议，协助完成项目投标文件编制，参与项目评审会议，准确传达设计理念。 3. 对施工现场进行定期巡查，监督指导钢结构安装过程，解决现场出现的技术问题，保证施工质量和进度。 4. 协调内部资源…</x:v>
      </x:c>
    </x:row>
    <x:row r="289" ht="52" customHeight="1">
      <x:c r="A289" s="42" t="n">
        <x:v>110</x:v>
      </x:c>
      <x:c r="B289" s="39" t="str">
        <x:v>高级财务总监/财务总监</x:v>
      </x:c>
      <x:c r="C289" s="39" t="str">
        <x:v>可直接合并</x:v>
      </x:c>
      <x:c r="D289" s="39" t="str">
        <x:v>高级财务总监/财务总监</x:v>
      </x:c>
      <x:c r="E289" s="42" t="n">
        <x:v>1077</x:v>
      </x:c>
      <x:c r="F289" s="39" t="str">
        <x:v>IC-L3-1228</x:v>
      </x:c>
      <x:c r="G289" s="42" t="n">
        <x:v>1228</x:v>
      </x:c>
      <x:c r="H289" s="39" t="str">
        <x:v>财务/税务/法务 &gt; 财务 &gt; 高级财务总监/财务总监</x:v>
      </x:c>
      <x:c r="I289" s="39" t="str">
        <x:v>2-06-03-00</x:v>
      </x:c>
      <x:c r="J289" s="39" t="str">
        <x:v>会计专业人员</x:v>
      </x:c>
      <x:c r="K289" s="39" t="str">
        <x:v>高级财务总监或财务总监是企业中不可或缺的关键角色，他们负责监督公司的财务健康，确保企业的长期稳定发展。作为财务部门的领导者，他们不仅需要具备深厚的专业知识，还需拥有卓越的战略思维能力，以应对复杂的市场环境变化。 该职位的核心目标在于通过优化财务管理流程，提升资金运作效率，降低运营成本，同时保证所有财务活动符合相关法律法规要求。财务总监需要定期向董事会汇报公司…</x:v>
      </x:c>
      <x:c r="L289" s="39" t="str">
        <x:v>1. 制定并执行全面的财务战略，确保公司财务目标的实现及长期可持续发展。 2. 监控日常财务活动，包括预算编制、成本控制、资金调度等，确保公司财务健康运行。 3. 组织开展内部审计工作，评估内部控制体系的有效性，及时发现潜在风险并提出改进建议。 4. 与外部审计机构沟通协调，完成年度审计报告，确保财务报表的真实性和合法性。 5. 加强与投资者、银行等利益相关…</x:v>
      </x:c>
    </x:row>
    <x:row r="290" ht="52" customHeight="1">
      <x:c r="A290" s="42" t="n">
        <x:v>110</x:v>
      </x:c>
      <x:c r="B290" s="39" t="str">
        <x:v>高级财务总监/财务总监</x:v>
      </x:c>
      <x:c r="C290" s="39" t="str">
        <x:v>可直接合并</x:v>
      </x:c>
      <x:c r="D290" s="39" t="str">
        <x:v>高级财务总监/财务总监</x:v>
      </x:c>
      <x:c r="E290" s="42" t="n">
        <x:v>1079</x:v>
      </x:c>
      <x:c r="F290" s="39" t="str">
        <x:v>IC-L3-1230</x:v>
      </x:c>
      <x:c r="G290" s="42" t="n">
        <x:v>1230</x:v>
      </x:c>
      <x:c r="H290" s="39" t="str">
        <x:v>财务/税务/法务 &gt; 高级财务管理 &gt; 高级财务总监/财务总监</x:v>
      </x:c>
      <x:c r="I290" s="39" t="str">
        <x:v>2-06-03-00</x:v>
      </x:c>
      <x:c r="J290" s="39" t="str">
        <x:v>会计专业人员</x:v>
      </x:c>
      <x:c r="K290" s="39" t="str">
        <x:v>高级财务总监/财务总监是财务/税务/法务领域中的关键领导角色，负责监督公司的整体财务状况，确保公司财务健康和合规运营。作为公司的财务战略家，他们不仅需要具备出色的财务分析能力和敏锐的市场洞察力，还需能够制定并执行有效的财务策略，以支持公司的长期发展和增长目标。此外，该职位还涉及与其他部门如销售、采购及人力资源等密切合作，通过跨部门协作促进公司整体业务流程优化…</x:v>
      </x:c>
      <x:c r="L290" s="39" t="str">
        <x:v>1. 制定并实施全面的财务政策、程序和内部控制体系，确保所有财务活动符合相关法律法规要求，降低企业风险。 2. 监控和预测公司的财务表现，定期向董事会报告财务状况、现金流情况及盈利水平，提出改进建议以提高经济效益。 3. 负责公司预算编制与管理，协调各部门资源分配，确保资金的有效利用，实现成本控制与利润最大化。 4. 领导并指导财务团队完成日常会计处理、报表…</x:v>
      </x:c>
    </x:row>
    <x:row r="291" ht="52" customHeight="1">
      <x:c r="A291" s="42" t="n">
        <x:v>111</x:v>
      </x:c>
      <x:c r="B291" s="39" t="str">
        <x:v>高级硬件工程师</x:v>
      </x:c>
      <x:c r="C291" s="39" t="str">
        <x:v>可直接合并</x:v>
      </x:c>
      <x:c r="D291" s="39" t="str">
        <x:v>高级硬件工程师</x:v>
      </x:c>
      <x:c r="E291" s="42" t="n">
        <x:v>1177</x:v>
      </x:c>
      <x:c r="F291" s="39" t="str">
        <x:v>IC-L3-1328</x:v>
      </x:c>
      <x:c r="G291" s="42" t="n">
        <x:v>1328</x:v>
      </x:c>
      <x:c r="H291" s="39" t="str">
        <x:v>通信/电子 &gt; 电子/电器/仪器仪表 &gt; 高级硬件工程师</x:v>
      </x:c>
      <x:c r="I291" s="39" t="str">
        <x:v>2-02-09-02</x:v>
      </x:c>
      <x:c r="J291" s="39" t="str">
        <x:v>电子元器件工程技术人员</x:v>
      </x:c>
      <x:c r="K291" s="39" t="str">
        <x:v>高级硬件工程师是通信/电子行业中不可或缺的专业人才，主要负责设计和开发各种电子设备和系统，确保其高效稳定运行。该职位不仅要求深厚的技术背景，还需要具备创新思维和解决问题的能力，以适应快速变化的技术环境。作为团队中的技术骨干，高级硬件工程师将与软件工程师、产品设计师等多部门紧密合作，共同推动项目的进展，同时，该职位还提供了广阔的职业发展空间，如技术专家、项目经…</x:v>
      </x:c>
      <x:c r="L291" s="39" t="str">
        <x:v>1. 负责新产品的硬件架构设计与实现，包括电路板设计、元器件选型等工作，确保设计方案符合产品性能要求及成本控制标准。 2. 对现有产品进行持续优化和技术升级，通过引入新技术或改进现有方案来提高产品的竞争力。 3. 参与项目需求分析会议，从硬件角度提供专业意见，协助确定项目的技术路线图。 4. 与软件开发团队密切配合，解决产品开发过程中出现的软硬件接口问题，保…</x:v>
      </x:c>
    </x:row>
    <x:row r="292" ht="52" customHeight="1">
      <x:c r="A292" s="42" t="n">
        <x:v>111</x:v>
      </x:c>
      <x:c r="B292" s="39" t="str">
        <x:v>高级硬件工程师</x:v>
      </x:c>
      <x:c r="C292" s="39" t="str">
        <x:v>可直接合并</x:v>
      </x:c>
      <x:c r="D292" s="39" t="str">
        <x:v>高级硬件工程师</x:v>
      </x:c>
      <x:c r="E292" s="42" t="n">
        <x:v>1184</x:v>
      </x:c>
      <x:c r="F292" s="39" t="str">
        <x:v>IC-L3-1335</x:v>
      </x:c>
      <x:c r="G292" s="42" t="n">
        <x:v>1335</x:v>
      </x:c>
      <x:c r="H292" s="39" t="str">
        <x:v>通信/电子 &gt; 硬件开发 &gt; 高级硬件工程师</x:v>
      </x:c>
      <x:c r="I292" s="39" t="str">
        <x:v>2-02-09-02</x:v>
      </x:c>
      <x:c r="J292" s="39" t="str">
        <x:v>电子元器件工程技术人员</x:v>
      </x:c>
      <x:c r="K292" s="39" t="str">
        <x:v>高级硬件工程师是通信/电子行业中至关重要的技术角色，负责设计、开发和优化各类硬件产品。作为团队中的技术骨干，他们不仅需要具备深厚的专业知识和丰富的实践经验，还需要引领技术创新，确保产品的竞争力和市场领先地位。该职位不仅与软件开发、系统集成等多个部门紧密合作，共同推动项目进展，还为个人提供了广阔的职业发展空间，包括技术专家、项目经理或部门领导等方向。 核心目标…</x:v>
      </x:c>
      <x:c r="L292" s="39" t="str">
        <x:v>1. 负责新产品的硬件架构设计，包括电路板布局、元器件选型等工作，确保设计方案符合产品功能要求和性能指标。 2. 领导并参与关键技术研发，解决产品开发过程中的重大技术问题，缩短研发周期，降低生产成本。 3. 与软件团队密切合作，完成系统联调，确保软硬件之间的良好兼容性和稳定性。 4. 对现有产品进行持续改进，通过技术创新提升产品质量和用户体验。 5. 编写详…</x:v>
      </x:c>
    </x:row>
    <x:row r="293" ht="52" customHeight="1">
      <x:c r="A293" s="42" t="n">
        <x:v>112</x:v>
      </x:c>
      <x:c r="B293" s="39" t="str">
        <x:v>个人业务部门经理/主管</x:v>
      </x:c>
      <x:c r="C293" s="39" t="str">
        <x:v>条件合并（先修分类）</x:v>
      </x:c>
      <x:c r="D293" s="39" t="str">
        <x:v>个人业务部门经理/主管</x:v>
      </x:c>
      <x:c r="E293" s="42" t="n">
        <x:v>258</x:v>
      </x:c>
      <x:c r="F293" s="39" t="str">
        <x:v>IC-L3-409</x:v>
      </x:c>
      <x:c r="G293" s="42" t="n">
        <x:v>409</x:v>
      </x:c>
      <x:c r="H293" s="39" t="str">
        <x:v>销售/客服 &gt; 金融销售 &gt; 个人业务部门经理/主管</x:v>
      </x:c>
      <x:c r="I293" s="39" t="str">
        <x:v>2-06-11-04</x:v>
      </x:c>
      <x:c r="J293" s="39" t="str">
        <x:v>金融产品销售专业人员</x:v>
      </x:c>
      <x:c r="K293" s="39" t="str">
        <x:v>个人业务部门经理/主管是专门从事金融销售团队管理的专业人员。该职位的核心目标是通过制定销售策略和团队建设，实现个人业务业绩持续增长。在日常工作中，需要进行销售目标分解、团队绩效督导、客户关系维护以及市场趋势分析等工作。</x:v>
      </x:c>
      <x:c r="L293" s="39" t="str">
        <x:v>1. 制定销售目标计划 2. 管理团队日常运营 3. 监督销售业绩达成 4. 开发维护客户关系 5. 组织产品培训活动 6. 分析市场数据报告</x:v>
      </x:c>
    </x:row>
    <x:row r="294" ht="52" customHeight="1">
      <x:c r="A294" s="42" t="n">
        <x:v>112</x:v>
      </x:c>
      <x:c r="B294" s="39" t="str">
        <x:v>个人业务部门经理/主管</x:v>
      </x:c>
      <x:c r="C294" s="39" t="str">
        <x:v>条件合并（先修分类）</x:v>
      </x:c>
      <x:c r="D294" s="39" t="str">
        <x:v>个人业务部门经理/主管</x:v>
      </x:c>
      <x:c r="E294" s="42" t="n">
        <x:v>1299</x:v>
      </x:c>
      <x:c r="F294" s="39" t="str">
        <x:v>IC-L3-1450</x:v>
      </x:c>
      <x:c r="G294" s="42" t="n">
        <x:v>1450</x:v>
      </x:c>
      <x:c r="H294" s="39" t="str">
        <x:v>金融 &gt; 银行 &gt; 个人业务部门经理/主管</x:v>
      </x:c>
      <x:c r="I294" s="39" t="str">
        <x:v>2-06-11-01</x:v>
      </x:c>
      <x:c r="J294" s="39" t="str">
        <x:v>证券保荐承销专业人员</x:v>
      </x:c>
      <x:c r="K294" s="39" t="str">
        <x:v>个人业务部门经理/主管是银行零售银行业务领域中的关键角色，负责推动个人客户的金融产品和服务销售，确保满足客户的需求并实现业务增长。作为个人业务部门的核心领导者，该职位不仅需要制定并执行有效的市场策略，以提升市场份额和客户满意度，还需确保团队成员具备相应的专业知识和服务技能，以提供高质量的客户服务，从而为公司创造长期稳定的收入来源。此外，个人业务部门经理/主管…</x:v>
      </x:c>
      <x:c r="L294" s="39" t="str">
        <x:v>1. 制定并实施个人业务部的年度经营计划，设定合理的目标，确保完成各项业务指标。 2. 分析市场趋势，及时调整营销策略，提高产品竞争力，扩大市场份额。 3. 负责团队建设，选拔、培训和发展员工，激发团队潜力，提高工作效率。 4. 与客户建立良好关系，定期回访客户，了解客户需求，提供个性化服务方案。 5. 协调与其他部门的合作，优化流程，提高客户体验，降低运营…</x:v>
      </x:c>
    </x:row>
    <x:row r="295" ht="52" customHeight="1">
      <x:c r="A295" s="42" t="n">
        <x:v>113</x:v>
      </x:c>
      <x:c r="B295" s="39" t="str">
        <x:v>工长</x:v>
      </x:c>
      <x:c r="C295" s="39" t="str">
        <x:v>条件合并（先修分类）</x:v>
      </x:c>
      <x:c r="D295" s="39" t="str">
        <x:v>工长</x:v>
      </x:c>
      <x:c r="E295" s="42" t="n">
        <x:v>434</x:v>
      </x:c>
      <x:c r="F295" s="39" t="str">
        <x:v>IC-L3-585</x:v>
      </x:c>
      <x:c r="G295" s="42" t="n">
        <x:v>585</x:v>
      </x:c>
      <x:c r="H295" s="39" t="str">
        <x:v>建筑/房地产 &gt; 建筑工程 &gt; 工长</x:v>
      </x:c>
      <x:c r="I295" s="39" t="str">
        <x:v>2-02-18-01</x:v>
      </x:c>
      <x:c r="J295" s="39" t="str">
        <x:v>建筑和市政设计工程技术人员</x:v>
      </x:c>
      <x:c r="K295" s="39" t="str">
        <x:v>工长作为建筑工程领域中不可或缺的角色，是项目现场管理与执行的关键人物。他们不仅负责确保施工过程的安全、质量和进度，还承担着协调各方资源、解决突发问题的重要任务，对于推动项目的顺利进行起着决定性作用。在公司内部，工长通过高效地组织劳动力、合理调配材料设备以及监督施工质量，确保工程项目能够按时按质完成，从而为公司创造良好的经济效益和社会声誉。此外，工长还需要与其…</x:v>
      </x:c>
      <x:c r="L295" s="39" t="str">
        <x:v>1. 负责施工现场的全面管理，包括人员调度、机械设备安排及材料供应，确保工程按计划推进。 2. 监控工程质量，严格按照国家相关标准和规范操作，定期检查施工情况，及时发现并处理潜在的质量隐患。 3. 与设计、监理单位沟通协调，解决施工过程中出现的技术难题，保障设计方案的有效实施。 4. 制定安全生产措施，组织安全教育培训，预防各类安全事故的发生，维护工人生命财…</x:v>
      </x:c>
    </x:row>
    <x:row r="296" ht="52" customHeight="1">
      <x:c r="A296" s="42" t="n">
        <x:v>113</x:v>
      </x:c>
      <x:c r="B296" s="39" t="str">
        <x:v>工长</x:v>
      </x:c>
      <x:c r="C296" s="39" t="str">
        <x:v>条件合并（先修分类）</x:v>
      </x:c>
      <x:c r="D296" s="39" t="str">
        <x:v>工长</x:v>
      </x:c>
      <x:c r="E296" s="42" t="n">
        <x:v>1330</x:v>
      </x:c>
      <x:c r="F296" s="39" t="str">
        <x:v>IC-L3-1481</x:v>
      </x:c>
      <x:c r="G296" s="42" t="n">
        <x:v>1481</x:v>
      </x:c>
      <x:c r="H296" s="39" t="str">
        <x:v>项目经理/管理 &gt; 项目经理/管理 &gt; 工长</x:v>
      </x:c>
      <x:c r="I296" s="39" t="str">
        <x:v>2-02-30-04</x:v>
      </x:c>
      <x:c r="J296" s="39" t="str">
        <x:v>项目管理工程技术人员</x:v>
      </x:c>
      <x:c r="K296" s="39" t="str">
        <x:v>工长是专门从事施工现场管理的专业人员。该职位的核心目标是通过统筹协调施工资源，确保项目按时保质完成。在日常工作中，需要进行施工进度管控、质量监督、人员调配及安全管理工作。</x:v>
      </x:c>
      <x:c r="L296" s="39" t="str">
        <x:v>1. 组织施工生产安排 2. 监督工程进度质量 3. 管理现场施工人员 4. 协调各工种配合 5. 落实安全规范要求 6. 处理现场突发问题</x:v>
      </x:c>
    </x:row>
    <x:row r="297" ht="52" customHeight="1">
      <x:c r="A297" s="42" t="n">
        <x:v>114</x:v>
      </x:c>
      <x:c r="B297" s="39" t="str">
        <x:v>公共卫生/疾病控制</x:v>
      </x:c>
      <x:c r="C297" s="39" t="str">
        <x:v>条件合并（先修分类）</x:v>
      </x:c>
      <x:c r="D297" s="39" t="str">
        <x:v>公共卫生/疾病控制</x:v>
      </x:c>
      <x:c r="E297" s="42" t="n">
        <x:v>167</x:v>
      </x:c>
      <x:c r="F297" s="39" t="str">
        <x:v>IC-L3-318</x:v>
      </x:c>
      <x:c r="G297" s="42" t="n">
        <x:v>318</x:v>
      </x:c>
      <x:c r="H297" s="39" t="str">
        <x:v>医药/医疗 &gt; 医生/医技 &gt; 公共卫生/疾病控制</x:v>
      </x:c>
      <x:c r="I297" s="39" t="str">
        <x:v>2-05-01-19</x:v>
      </x:c>
      <x:c r="J297" s="39" t="str">
        <x:v>全科医师</x:v>
      </x:c>
      <x:c r="K297" s="39" t="str">
        <x:v>公共卫生/疾病控制专家在医药/医疗行业中扮演着至关重要的角色。他们负责监测、预防和控制疾病的传播，确保公众健康得到维护，同时在突发疫情时提供快速响应，以减轻其影响。这一角色不仅关乎个体健康，更关系到整个社会的福祉与稳定。 该职位的核心目标在于通过实施有效的预防措施和健康教育项目来降低疾病发生率，提高人群的整体健康水平。对于公司而言，公共卫生/疾病控制专家能够…</x:v>
      </x:c>
      <x:c r="L297" s="39" t="str">
        <x:v>1. 负责开展流行病学调查，分析数据以识别潜在的公共卫生风险因素，为制定防控策略提供科学依据。 2. 设计并实施针对特定群体或地区的健康教育活动，提高公众对疾病预防的认识和参与度。 3. 协调跨部门资源，组织多学科团队共同应对突发公共卫生事件，确保应急反应迅速有效。 4. 定期评估公共卫生项目的成效，及时调整优化方案，确保目标达成。 5. 保持与国内外同行的…</x:v>
      </x:c>
    </x:row>
    <x:row r="298" ht="52" customHeight="1">
      <x:c r="A298" s="42" t="n">
        <x:v>114</x:v>
      </x:c>
      <x:c r="B298" s="39" t="str">
        <x:v>公共卫生/疾病控制</x:v>
      </x:c>
      <x:c r="C298" s="39" t="str">
        <x:v>条件合并（先修分类）</x:v>
      </x:c>
      <x:c r="D298" s="39" t="str">
        <x:v>公共卫生/疾病控制</x:v>
      </x:c>
      <x:c r="E298" s="42" t="n">
        <x:v>224</x:v>
      </x:c>
      <x:c r="F298" s="39" t="str">
        <x:v>IC-L3-375</x:v>
      </x:c>
      <x:c r="G298" s="42" t="n">
        <x:v>375</x:v>
      </x:c>
      <x:c r="H298" s="39" t="str">
        <x:v>医药/医疗 &gt; 护理/护士 &gt; 公共卫生/疾病控制</x:v>
      </x:c>
      <x:c r="I298" s="39" t="str">
        <x:v>2-05-08-01</x:v>
      </x:c>
      <x:c r="J298" s="39" t="str">
        <x:v>内科护士</x:v>
      </x:c>
      <x:c r="K298" s="39" t="str">
        <x:v>公共卫生/疾病控制是专门从事疾病预防与健康促进的专业人员。该职位的核心目标是通过监测、分析和干预公共卫生事件，保障社区人群健康。在日常工作中，需要进行流行病学调查、健康宣教、疫苗接种管理及传染病防控等工作。</x:v>
      </x:c>
      <x:c r="L298" s="39" t="str">
        <x:v>1. 监测传染病疫情 2. 开展健康宣教活动 3. 执行疫苗接种计划 4. 采集上报健康数据 5. 参与突发公卫事件处置 6. 指导社区预防措施</x:v>
      </x:c>
    </x:row>
    <x:row r="299" ht="52" customHeight="1">
      <x:c r="A299" s="42" t="n">
        <x:v>115</x:v>
      </x:c>
      <x:c r="B299" s="39" t="str">
        <x:v>公关总监</x:v>
      </x:c>
      <x:c r="C299" s="39" t="str">
        <x:v>条件合并（先修分类）</x:v>
      </x:c>
      <x:c r="D299" s="39" t="str">
        <x:v>公关总监</x:v>
      </x:c>
      <x:c r="E299" s="42" t="n">
        <x:v>374</x:v>
      </x:c>
      <x:c r="F299" s="39" t="str">
        <x:v>IC-L3-525</x:v>
      </x:c>
      <x:c r="G299" s="42" t="n">
        <x:v>525</x:v>
      </x:c>
      <x:c r="H299" s="39" t="str">
        <x:v>市场/公关 &gt; 公关/媒介 &gt; 公关总监</x:v>
      </x:c>
      <x:c r="I299" s="39" t="str">
        <x:v>3-01-02-03</x:v>
      </x:c>
      <x:c r="J299" s="39" t="str">
        <x:v>公关员</x:v>
      </x:c>
      <x:c r="K299" s="39" t="str">
        <x:v>公关总监是市场/公关行业中不可或缺的角色，负责塑造和维护公司或品牌的公众形象，通过有效的沟通策略增强品牌认知度和好感度。作为公司与外部世界之间的桥梁，公关总监不仅需要具备卓越的沟通技巧，还应拥有敏锐的市场洞察力，能够及时捕捉社会动态，为公司制定前瞻性的公关策略，从而提升品牌形象，促进业务发展。此外，公关总监还需与内部团队紧密合作，如市场部、销售部等，确保所有…</x:v>
      </x:c>
      <x:c r="L299" s="39" t="str">
        <x:v>1. 制定并执行全面的公关战略，包括但不限于新闻稿撰写、媒体关系管理、危机公关处理等，以提高公司在目标受众中的知名度和美誉度。 2. 与国内外主流媒体建立并维持良好的合作关系，通过策划和实施各类公关活动，扩大品牌影响力，为公司创造更多商业机会。 3. 监测行业趋势和社会舆论动态，及时调整公关策略，有效应对可能出现的品牌危机，保护和提升公司声誉。 4. 协调内…</x:v>
      </x:c>
    </x:row>
    <x:row r="300" ht="52" customHeight="1">
      <x:c r="A300" s="42" t="n">
        <x:v>115</x:v>
      </x:c>
      <x:c r="B300" s="39" t="str">
        <x:v>公关总监</x:v>
      </x:c>
      <x:c r="C300" s="39" t="str">
        <x:v>条件合并（先修分类）</x:v>
      </x:c>
      <x:c r="D300" s="39" t="str">
        <x:v>公关总监</x:v>
      </x:c>
      <x:c r="E300" s="42" t="n">
        <x:v>419</x:v>
      </x:c>
      <x:c r="F300" s="39" t="str">
        <x:v>IC-L3-570</x:v>
      </x:c>
      <x:c r="G300" s="42" t="n">
        <x:v>570</x:v>
      </x:c>
      <x:c r="H300" s="39" t="str">
        <x:v>市场/公关 &gt; 广告 &gt; 公关总监</x:v>
      </x:c>
      <x:c r="I300" s="39" t="str">
        <x:v>2-09-06-01</x:v>
      </x:c>
      <x:c r="J300" s="39" t="str">
        <x:v>视觉传达设计人员</x:v>
      </x:c>
      <x:c r="K300" s="39" t="str">
        <x:v>公关总监是专门从事品牌传播与声誉管理的专业人员。该职位的核心目标是通过制定并执行创新公关策略，提升品牌影响力与客户美誉度。在日常工作中，需要进行媒体关系维护、危机公关处理、大型活动策划及行业趋势分析等工作。</x:v>
      </x:c>
      <x:c r="L300" s="39" t="str">
        <x:v>1. 制定公关策略 2. 管理品牌形象 3. 策划宣传活动 4. 维护媒体关系 5. 处理危机公关 6. 评估传播效果</x:v>
      </x:c>
    </x:row>
    <x:row r="301" ht="52" customHeight="1">
      <x:c r="A301" s="42" t="n">
        <x:v>116</x:v>
      </x:c>
      <x:c r="B301" s="39" t="str">
        <x:v>公司金融顾问</x:v>
      </x:c>
      <x:c r="C301" s="39" t="str">
        <x:v>可直接合并</x:v>
      </x:c>
      <x:c r="D301" s="39" t="str">
        <x:v>公司金融顾问</x:v>
      </x:c>
      <x:c r="E301" s="42" t="n">
        <x:v>1290</x:v>
      </x:c>
      <x:c r="F301" s="39" t="str">
        <x:v>IC-L3-1441</x:v>
      </x:c>
      <x:c r="G301" s="42" t="n">
        <x:v>1441</x:v>
      </x:c>
      <x:c r="H301" s="39" t="str">
        <x:v>金融 &gt; 金融 &gt; 公司金融顾问</x:v>
      </x:c>
      <x:c r="I301" s="39" t="str">
        <x:v>2-06-11-04</x:v>
      </x:c>
      <x:c r="J301" s="39" t="str">
        <x:v>金融产品销售专业人员</x:v>
      </x:c>
      <x:c r="K301" s="39" t="str">
        <x:v>公司金融顾问是金融行业中不可或缺的专业角色，主要负责为企业提供全面的财务规划与管理咨询服务，通过深入分析企业的财务状况，帮助其制定合理的资本运作策略。该职位在促进企业稳定发展、提高经济效益方面发挥着关键作用。 公司金融顾问的核心目标在于优化企业的财务结构，增强资金运用效率，降低运营成本，同时协助企业把握市场机遇，规避潜在风险，确保实现长期可持续增长。通过对内…</x:v>
      </x:c>
      <x:c r="L301" s="39" t="str">
        <x:v>1. 对客户进行财务健康检查，评估其当前的财务状况并提出改进建议，旨在改善客户的财务表现。 2. 为客户提供关于投资、融资、并购等方面的策略建议，帮助其制定切实可行的实施方案，以达到预期的商业目标。 3. 分析市场动态和政策变化，及时向客户通报相关信息，指导客户调整财务策略，应对市场挑战。 4. 协助客户建立和完善内部控制体系，加强风险管理，保障资产安全。 …</x:v>
      </x:c>
    </x:row>
    <x:row r="302" ht="52" customHeight="1">
      <x:c r="A302" s="42" t="n">
        <x:v>116</x:v>
      </x:c>
      <x:c r="B302" s="39" t="str">
        <x:v>公司金融顾问</x:v>
      </x:c>
      <x:c r="C302" s="39" t="str">
        <x:v>可直接合并</x:v>
      </x:c>
      <x:c r="D302" s="39" t="str">
        <x:v>公司金融顾问</x:v>
      </x:c>
      <x:c r="E302" s="42" t="n">
        <x:v>1303</x:v>
      </x:c>
      <x:c r="F302" s="39" t="str">
        <x:v>IC-L3-1454</x:v>
      </x:c>
      <x:c r="G302" s="42" t="n">
        <x:v>1454</x:v>
      </x:c>
      <x:c r="H302" s="39" t="str">
        <x:v>金融 &gt; 银行 &gt; 公司金融顾问</x:v>
      </x:c>
      <x:c r="I302" s="39" t="str">
        <x:v>2-06-11-04</x:v>
      </x:c>
      <x:c r="J302" s="39" t="str">
        <x:v>金融产品销售专业人员</x:v>
      </x:c>
      <x:c r="K302" s="39" t="str">
        <x:v>公司金融顾问是银行业务中不可或缺的专业角色，主要负责为企业客户提供全面的金融服务解决方案，确保客户能够有效管理和优化其财务状况。通过精准分析市场动态与客户需求，该职位不仅促进了企业客户的健康成长，也增强了银行与客户之间的长期合作关系，对于提升银行的品牌影响力和市场份额具有重要作用。此外，公司金融顾问需要与销售、信贷审批等多部门紧密合作，共同推动业务发展；同时…</x:v>
      </x:c>
      <x:c r="L302" s="39" t="str">
        <x:v>1. 与潜在及现有企业客户进行沟通，深入了解其业务模式和财务需求，为其量身定制包括贷款、投资、风险管理在内的综合金融服务方案，以满足客户多样化的需求。 2. 定期跟踪并评估所服务企业的经营状况和信用等级变化，及时调整金融产品配置，确保方案的有效性和安全性，降低银行资产风险。 3. 参与跨部门项目组会议，协同市场营销、风险控制等部门制定并执行营销策略，提高市场…</x:v>
      </x:c>
    </x:row>
    <x:row r="303" ht="52" customHeight="1">
      <x:c r="A303" s="42" t="n">
        <x:v>117</x:v>
      </x:c>
      <x:c r="B303" s="39" t="str">
        <x:v>公司业务部门经理/主管</x:v>
      </x:c>
      <x:c r="C303" s="39" t="str">
        <x:v>条件合并（先修分类）</x:v>
      </x:c>
      <x:c r="D303" s="39" t="str">
        <x:v>公司业务部门经理/主管</x:v>
      </x:c>
      <x:c r="E303" s="42" t="n">
        <x:v>257</x:v>
      </x:c>
      <x:c r="F303" s="39" t="str">
        <x:v>IC-L3-408</x:v>
      </x:c>
      <x:c r="G303" s="42" t="n">
        <x:v>408</x:v>
      </x:c>
      <x:c r="H303" s="39" t="str">
        <x:v>销售/客服 &gt; 金融销售 &gt; 公司业务部门经理/主管</x:v>
      </x:c>
      <x:c r="I303" s="39" t="str">
        <x:v>2-06-11-04</x:v>
      </x:c>
      <x:c r="J303" s="39" t="str">
        <x:v>金融产品销售专业人员</x:v>
      </x:c>
      <x:c r="K303" s="39" t="str">
        <x:v>公司业务部门经理/主管是专门从事金融销售业务管理的专业人员。该职位的核心目标是通过制定销售策略、优化业务流程，实现业绩增长与客户资源最大化。在日常工作中，需要进行团队管理、业绩督导、客户关系维护以及市场趋势分析等工作。</x:v>
      </x:c>
      <x:c r="L303" s="39" t="str">
        <x:v>1. 制定销售策略 2. 管理销售团队 3. 开拓金融客户 4. 完成业绩指标 5. 分析市场动态 6. 优化业务流程</x:v>
      </x:c>
    </x:row>
    <x:row r="304" ht="52" customHeight="1">
      <x:c r="A304" s="42" t="n">
        <x:v>117</x:v>
      </x:c>
      <x:c r="B304" s="39" t="str">
        <x:v>公司业务部门经理/主管</x:v>
      </x:c>
      <x:c r="C304" s="39" t="str">
        <x:v>条件合并（先修分类）</x:v>
      </x:c>
      <x:c r="D304" s="39" t="str">
        <x:v>公司业务部门经理/主管</x:v>
      </x:c>
      <x:c r="E304" s="42" t="n">
        <x:v>1302</x:v>
      </x:c>
      <x:c r="F304" s="39" t="str">
        <x:v>IC-L3-1453</x:v>
      </x:c>
      <x:c r="G304" s="42" t="n">
        <x:v>1453</x:v>
      </x:c>
      <x:c r="H304" s="39" t="str">
        <x:v>金融 &gt; 银行 &gt; 公司业务部门经理/主管</x:v>
      </x:c>
      <x:c r="I304" s="39" t="str">
        <x:v>2-06-11-01</x:v>
      </x:c>
      <x:c r="J304" s="39" t="str">
        <x:v>证券保荐承销专业人员</x:v>
      </x:c>
      <x:c r="K304" s="39" t="str">
        <x:v>公司业务部门经理/主管是银行业务运营的关键角色之一，负责推动公司业务的增长与创新。作为部门的领导者，该职位不仅需要具备深厚的金融知识，还需要拥有卓越的领导能力和市场洞察力，以确保公司在激烈的市场竞争中保持领先地位。通过高效地管理团队资源，协调跨部门合作，公司业务部门经理/主管能够促进业务流程优化，提高客户满意度，从而实现公司的长期战略目标。此外，该职位还肩负…</x:v>
      </x:c>
      <x:c r="L304" s="39" t="str">
        <x:v>1. 制定并执行公司业务的发展策略，确保业务目标的达成及超越，同时监控市场动态，及时调整策略以应对变化。 2. 负责管理公司业务团队，包括但不限于招聘、培训、绩效评估等，建立高效的工作机制，激发员工潜能，提升团队整体效能。 3. 与风险控制、法律合规等部门密切合作，确保所有业务活动符合相关法律法规要求，降低潜在风险。 4. 维护并拓展与重要客户的关系，提供定…</x:v>
      </x:c>
    </x:row>
    <x:row r="305" ht="52" customHeight="1">
      <x:c r="A305" s="42" t="n">
        <x:v>118</x:v>
      </x:c>
      <x:c r="B305" s="39" t="str">
        <x:v>股票/期货操盘手</x:v>
      </x:c>
      <x:c r="C305" s="39" t="str">
        <x:v>可直接合并</x:v>
      </x:c>
      <x:c r="D305" s="39" t="str">
        <x:v>股票/期货操盘手</x:v>
      </x:c>
      <x:c r="E305" s="42" t="n">
        <x:v>1274</x:v>
      </x:c>
      <x:c r="F305" s="39" t="str">
        <x:v>IC-L3-1425</x:v>
      </x:c>
      <x:c r="G305" s="42" t="n">
        <x:v>1425</x:v>
      </x:c>
      <x:c r="H305" s="39" t="str">
        <x:v>金融 &gt; 期货 &gt; 股票/期货操盘手</x:v>
      </x:c>
      <x:c r="I305" s="39" t="str">
        <x:v>2-06-11-02</x:v>
      </x:c>
      <x:c r="J305" s="39" t="str">
        <x:v>证券交易专业人员</x:v>
      </x:c>
      <x:c r="K305" s="39" t="str">
        <x:v>股票/期货操盘手是金融市场中不可或缺的专业人才，他们通过精准的市场分析与判断，执行买卖操作，对于维护市场的稳定性和流动性具有重要作用。作为公司的重要成员，操盘手的核心目标是在确保风险可控的前提下实现资产的最大化增值，其决策直接关系到公司的盈利水平和市场竞争力。此外，操盘手还需与其他部门如研究部、风控部等紧密合作，共同制定交易策略；同时，随着个人技能的提升及经…</x:v>
      </x:c>
      <x:c r="L305" s="39" t="str">
        <x:v>1. 负责每日股票或期货市场的实时监控，及时捕捉市场动态并作出快速反应，以把握最佳交易时机。 2. 根据公司既定的投资策略和计划，准确无误地完成各类订单的下达与执行，确保交易过程符合法律法规要求。 3. 定期撰写市场分析报告，总结交易成果，提出改进建议，协助优化投资组合配置。 4. 与研究团队密切沟通，获取最新的市场资讯和技术指标，为制定交易方案提供依据。 …</x:v>
      </x:c>
    </x:row>
    <x:row r="306" ht="52" customHeight="1">
      <x:c r="A306" s="42" t="n">
        <x:v>118</x:v>
      </x:c>
      <x:c r="B306" s="39" t="str">
        <x:v>股票/期货操盘手</x:v>
      </x:c>
      <x:c r="C306" s="39" t="str">
        <x:v>可直接合并</x:v>
      </x:c>
      <x:c r="D306" s="39" t="str">
        <x:v>股票/期货操盘手</x:v>
      </x:c>
      <x:c r="E306" s="42" t="n">
        <x:v>1279</x:v>
      </x:c>
      <x:c r="F306" s="39" t="str">
        <x:v>IC-L3-1430</x:v>
      </x:c>
      <x:c r="G306" s="42" t="n">
        <x:v>1430</x:v>
      </x:c>
      <x:c r="H306" s="39" t="str">
        <x:v>金融 &gt; 证券 &gt; 股票/期货操盘手</x:v>
      </x:c>
      <x:c r="I306" s="39" t="str">
        <x:v>2-06-11-02</x:v>
      </x:c>
      <x:c r="J306" s="39" t="str">
        <x:v>证券交易专业人员</x:v>
      </x:c>
      <x:c r="K306" s="39" t="str">
        <x:v>股票/期货操盘手是金融市场中至关重要的角色之一，负责执行交易策略，以实现资本增值或保值的目标。他们不仅需要具备深厚的市场分析能力，还应拥有快速决策的能力，在瞬息万变的市场环境中寻找最佳交易时机。作为证券公司或投资机构的核心成员，股票/期货操盘手通过精准的操作帮助客户实现资产最大化收益，同时维护公司声誉与利益。 股票/期货操盘手的主要任务是在风险可控的前提下追…</x:v>
      </x:c>
      <x:c r="L306" s="39" t="str">
        <x:v>1. 根据市场分析结果及公司策略，制定并执行股票或期货的买卖计划，确保达成预期的投资回报率。 2. 实时监控市场动态，及时调整交易方案，规避潜在的风险因素，保障账户安全。 3. 与研究团队保持沟通，获取最新的行业资讯和技术支持，持续改进个人的交易技巧。 4. 定期编制交易报告，向领导层汇报交易成果，提出改进建议，促进团队整体水平的提升。 5. 遵守相关法律法…</x:v>
      </x:c>
    </x:row>
    <x:row r="307" ht="52" customHeight="1">
      <x:c r="A307" s="42" t="n">
        <x:v>119</x:v>
      </x:c>
      <x:c r="B307" s="39" t="str">
        <x:v>广告创意/设计主管</x:v>
      </x:c>
      <x:c r="C307" s="39" t="str">
        <x:v>可直接合并</x:v>
      </x:c>
      <x:c r="D307" s="39" t="str">
        <x:v>广告创意/设计主管</x:v>
      </x:c>
      <x:c r="E307" s="42" t="n">
        <x:v>406</x:v>
      </x:c>
      <x:c r="F307" s="39" t="str">
        <x:v>IC-L3-557</x:v>
      </x:c>
      <x:c r="G307" s="42" t="n">
        <x:v>557</x:v>
      </x:c>
      <x:c r="H307" s="39" t="str">
        <x:v>市场/公关 &gt; 广告 &gt; 广告创意/设计主管</x:v>
      </x:c>
      <x:c r="I307" s="39" t="str">
        <x:v>2-09-06-01</x:v>
      </x:c>
      <x:c r="J307" s="39" t="str">
        <x:v>视觉传达设计人员</x:v>
      </x:c>
      <x:c r="K307" s="39" t="str">
        <x:v>广告创意/设计主管是市场/公关行业中不可或缺的角色，负责推动公司广告活动的创新与实施。作为团队的核心成员，该职位不仅需要具备出色的创意能力，还需要拥有良好的项目管理和团队领导技能，以确保广告项目能够按时按质完成并达到预期效果。此外，该职位还需与其他部门密切合作，如销售、产品开发等，共同促进品牌价值的最大化，同时也为个人提供了广阔的职业发展空间和晋升机会。</x:v>
      </x:c>
      <x:c r="L307" s="39" t="str">
        <x:v>1. 负责策划并执行各类广告宣传活动，从概念构思到最终成品，确保所有广告材料符合品牌形象及市场定位。 2. 管理并指导创意团队完成高质量的设计工作，包括但不限于平面设计、视频制作等，保证广告作品的艺术性和商业价值。 3. 与客户沟通交流，了解其需求与期望，提供专业意见并协助制定合适的广告策略。 4. 分析市场趋势及竞争对手动态，持续优化广告方案，提高广告效果…</x:v>
      </x:c>
    </x:row>
    <x:row r="308" ht="52" customHeight="1">
      <x:c r="A308" s="42" t="n">
        <x:v>119</x:v>
      </x:c>
      <x:c r="B308" s="39" t="str">
        <x:v>广告创意/设计主管</x:v>
      </x:c>
      <x:c r="C308" s="39" t="str">
        <x:v>可直接合并</x:v>
      </x:c>
      <x:c r="D308" s="39" t="str">
        <x:v>广告创意/设计主管</x:v>
      </x:c>
      <x:c r="E308" s="42" t="n">
        <x:v>990</x:v>
      </x:c>
      <x:c r="F308" s="39" t="str">
        <x:v>IC-L3-1141</x:v>
      </x:c>
      <x:c r="G308" s="42" t="n">
        <x:v>1141</x:v>
      </x:c>
      <x:c r="H308" s="39" t="str">
        <x:v>设计 &gt; 广告设计 &gt; 广告创意/设计主管</x:v>
      </x:c>
      <x:c r="I308" s="39" t="str">
        <x:v>2-09-06-01</x:v>
      </x:c>
      <x:c r="J308" s="39" t="str">
        <x:v>视觉传达设计人员</x:v>
      </x:c>
      <x:c r="K308" s="39" t="str">
        <x:v>广告创意/设计主管是广告行业中至关重要的角色，他们不仅负责引领团队的创意方向，还承担着将品牌故事通过视觉艺术形式传达给目标受众的责任。作为广告设计领域中的领导者，广告创意/设计主管的核心目标在于激发团队创造力，确保所有设计方案既符合市场趋势又能够突出客户的品牌特色，从而帮助公司赢得更多客户的青睐与信任，提升市场份额及品牌影响力。此外，该职位还需要与销售、市场…</x:v>
      </x:c>
      <x:c r="L308" s="39" t="str">
        <x:v>1. 负责制定并执行广告创意策略，指导团队完成从概念构思到成品制作的全过程，确保最终作品的质量达到甚至超越客户期望。 2. 与客户沟通需求，准确把握其品牌调性和市场需求，带领团队进行市场调研分析，为客户提供专业的设计方案建议。 3. 组织跨部门会议，协调内部资源，确保项目按时按质完成，同时关注行业动态，持续优化工作流程，提高工作效率。 4. 定期评估团队表现…</x:v>
      </x:c>
    </x:row>
    <x:row r="309" ht="52" customHeight="1">
      <x:c r="A309" s="42" t="n">
        <x:v>120</x:v>
      </x:c>
      <x:c r="B309" s="39" t="str">
        <x:v>广告创意/设计专员</x:v>
      </x:c>
      <x:c r="C309" s="39" t="str">
        <x:v>可直接合并</x:v>
      </x:c>
      <x:c r="D309" s="39" t="str">
        <x:v>广告创意/设计专员</x:v>
      </x:c>
      <x:c r="E309" s="42" t="n">
        <x:v>405</x:v>
      </x:c>
      <x:c r="F309" s="39" t="str">
        <x:v>IC-L3-556</x:v>
      </x:c>
      <x:c r="G309" s="42" t="n">
        <x:v>556</x:v>
      </x:c>
      <x:c r="H309" s="39" t="str">
        <x:v>市场/公关 &gt; 广告 &gt; 广告创意/设计专员</x:v>
      </x:c>
      <x:c r="I309" s="39" t="str">
        <x:v>2-09-06-01</x:v>
      </x:c>
      <x:c r="J309" s="39" t="str">
        <x:v>视觉传达设计人员</x:v>
      </x:c>
      <x:c r="K309" s="39" t="str">
        <x:v>广告创意/设计专员是市场/公关行业中不可或缺的角色，通过创新思维和视觉艺术将品牌理念转化为吸引人的广告作品，不仅能够提升品牌形象，还能促进产品销售。该职位的核心目标在于结合市场需求与企业战略，创造出既能触动目标受众又能传达品牌核心价值的广告内容，对于塑造公司品牌识别度及增强市场竞争力具有重要意义。此外，创意/设计专员将与营销团队、客户经理等多部门紧密合作，共…</x:v>
      </x:c>
      <x:c r="L309" s="39" t="str">
        <x:v>1. 负责公司各类广告物料的设计与制作，确保符合品牌调性和市场趋势，提高广告效果。 2. 参与广告策略讨论，提出新颖独特的创意思路，为品牌传播提供有力支持。 3. 定期收集分析竞品信息及消费者反馈，持续优化设计方案，保持创意的前沿性和有效性。 4. 协同跨部门团队成员，从概念构思到成品发布全程跟进，保证项目按时高质量完成。 5. 主动学习最新设计软件和技术，…</x:v>
      </x:c>
    </x:row>
    <x:row r="310" ht="52" customHeight="1">
      <x:c r="A310" s="42" t="n">
        <x:v>120</x:v>
      </x:c>
      <x:c r="B310" s="39" t="str">
        <x:v>广告创意/设计专员</x:v>
      </x:c>
      <x:c r="C310" s="39" t="str">
        <x:v>可直接合并</x:v>
      </x:c>
      <x:c r="D310" s="39" t="str">
        <x:v>广告创意/设计专员</x:v>
      </x:c>
      <x:c r="E310" s="42" t="n">
        <x:v>989</x:v>
      </x:c>
      <x:c r="F310" s="39" t="str">
        <x:v>IC-L3-1140</x:v>
      </x:c>
      <x:c r="G310" s="42" t="n">
        <x:v>1140</x:v>
      </x:c>
      <x:c r="H310" s="39" t="str">
        <x:v>设计 &gt; 广告设计 &gt; 广告创意/设计专员</x:v>
      </x:c>
      <x:c r="I310" s="39" t="str">
        <x:v>2-09-06-01</x:v>
      </x:c>
      <x:c r="J310" s="39" t="str">
        <x:v>视觉传达设计人员</x:v>
      </x:c>
      <x:c r="K310" s="39" t="str">
        <x:v>广告创意/设计专员是设计行业中不可或缺的角色，特别是在广告设计领域。通过创新思维和专业技能，他们能够将品牌理念转化为视觉故事，激发消费者兴趣，从而提升品牌形象和市场竞争力。这一职位不仅需要具备敏锐的市场洞察力，还需拥有扎实的设计基础与良好的沟通协调能力。 广告创意/设计专员的核心目标在于创造引人注目的广告作品，以支持公司营销策略的有效实施。他们负责从概念构思…</x:v>
      </x:c>
      <x:c r="L310" s="39" t="str">
        <x:v>1. 负责广告项目的整体视觉风格设计，包括但不限于平面广告、视频广告等形式，确保设计成果与品牌调性一致。 2. 与客户进行有效沟通，准确理解其需求并提出建设性的设计方案，直至客户满意为止。 3. 参与团队内部头脑风暴会议，贡献新颖独特的创意思路，推动项目顺利进展。 4. 定期收集行业动态及流行趋势，持续更新专业知识和技术，保持设计理念与时俱进。 5. 对接供…</x:v>
      </x:c>
    </x:row>
    <x:row r="311" ht="52" customHeight="1">
      <x:c r="A311" s="42" t="n">
        <x:v>121</x:v>
      </x:c>
      <x:c r="B311" s="39" t="str">
        <x:v>广告创意总监</x:v>
      </x:c>
      <x:c r="C311" s="39" t="str">
        <x:v>条件合并（先修分类）</x:v>
      </x:c>
      <x:c r="D311" s="39" t="str">
        <x:v>广告创意总监</x:v>
      </x:c>
      <x:c r="E311" s="42" t="n">
        <x:v>408</x:v>
      </x:c>
      <x:c r="F311" s="39" t="str">
        <x:v>IC-L3-559</x:v>
      </x:c>
      <x:c r="G311" s="42" t="n">
        <x:v>559</x:v>
      </x:c>
      <x:c r="H311" s="39" t="str">
        <x:v>市场/公关 &gt; 广告 &gt; 广告创意总监</x:v>
      </x:c>
      <x:c r="I311" s="39" t="str">
        <x:v>2-09-06-01</x:v>
      </x:c>
      <x:c r="J311" s="39" t="str">
        <x:v>视觉传达设计人员</x:v>
      </x:c>
      <x:c r="K311" s="39" t="str">
        <x:v>广告创意总监是市场/公关行业中至关重要的角色，负责引领团队创造引人注目的广告作品。作为广告策略的策划者与执行者，他们不仅需要具备敏锐的市场洞察力，还需要拥有卓越的艺术审美和创新能力，以确保广告活动能够准确传达品牌信息并触动目标受众的心弦。通过与销售、产品开发等多个部门紧密合作，广告创意总监能够确保广告活动的成功实施，并推动品牌的长期发展，为公司带来持续的市场…</x:v>
      </x:c>
      <x:c r="L311" s="39" t="str">
        <x:v>1. 领导并激励创意团队，制定创新性的广告策略，确保所有广告作品都具有高度的创意性和视觉冲击力，有效传递品牌核心价值。 2. 分析市场动态及竞争对手情况，结合公司战略目标，指导团队完成广告策划书，确保广告内容与目标市场相匹配，提高广告转化率。 3. 协调内外部资源，监督广告制作流程，把控质量标准，确保按时按质完成各项广告项目，满足客户需求。 4. 定期评估广…</x:v>
      </x:c>
    </x:row>
    <x:row r="312" ht="52" customHeight="1">
      <x:c r="A312" s="42" t="n">
        <x:v>121</x:v>
      </x:c>
      <x:c r="B312" s="39" t="str">
        <x:v>广告创意总监</x:v>
      </x:c>
      <x:c r="C312" s="39" t="str">
        <x:v>条件合并（先修分类）</x:v>
      </x:c>
      <x:c r="D312" s="39" t="str">
        <x:v>广告创意总监</x:v>
      </x:c>
      <x:c r="E312" s="42" t="n">
        <x:v>1037</x:v>
      </x:c>
      <x:c r="F312" s="39" t="str">
        <x:v>IC-L3-1188</x:v>
      </x:c>
      <x:c r="G312" s="42" t="n">
        <x:v>1188</x:v>
      </x:c>
      <x:c r="H312" s="39" t="str">
        <x:v>设计 &gt; 高级设计管理 &gt; 广告创意总监</x:v>
      </x:c>
      <x:c r="I312" s="39" t="str">
        <x:v>2-06-07-01</x:v>
      </x:c>
      <x:c r="J312" s="39" t="str">
        <x:v>国际商务专业人员</x:v>
      </x:c>
      <x:c r="K312" s="39" t="str">
        <x:v>广告创意总监是设计行业中至关重要的领导角色，负责引领公司广告创意的方向与执行，确保品牌信息传达的有效性和创新性。作为企业与市场之间的桥梁，该职位不仅需要具备敏锐的市场洞察力，还应拥有丰富的设计经验和卓越的艺术鉴赏能力，能够将品牌理念转化为视觉语言，提升品牌形象及市场竞争力。此外，广告创意总监还需与营销、销售等部门紧密合作，推动跨部门间的沟通与协作，共同实现商…</x:v>
      </x:c>
      <x:c r="L312" s="39" t="str">
        <x:v>1. 负责制定并实施广告创意策略，确保所有广告作品符合品牌定位及市场需求，提高品牌知名度和影响力。 2. 领导并激励创意团队，激发团队创造力，监督项目从概念到成品的整个过程，保证按时交付高质量的作品。 3. 与客户保持良好沟通，准确理解客户需求，提供专业建议，协助解决可能出现的问题，维护长期合作关系。 4. 定期分析市场趋势和竞争对手动态，结合公司战略调整广…</x:v>
      </x:c>
    </x:row>
    <x:row r="313" ht="52" customHeight="1">
      <x:c r="A313" s="42" t="n">
        <x:v>122</x:v>
      </x:c>
      <x:c r="B313" s="39" t="str">
        <x:v>规划与设计</x:v>
      </x:c>
      <x:c r="C313" s="39" t="str">
        <x:v>条件合并（先修分类）</x:v>
      </x:c>
      <x:c r="D313" s="39" t="str">
        <x:v>规划与设计</x:v>
      </x:c>
      <x:c r="E313" s="42" t="n">
        <x:v>470</x:v>
      </x:c>
      <x:c r="F313" s="39" t="str">
        <x:v>IC-L3-621</x:v>
      </x:c>
      <x:c r="G313" s="42" t="n">
        <x:v>621</x:v>
      </x:c>
      <x:c r="H313" s="39" t="str">
        <x:v>建筑/房地产 &gt; 建筑规划与设计 &gt; 规划与设计</x:v>
      </x:c>
      <x:c r="I313" s="39" t="str">
        <x:v>2-02-18-01</x:v>
      </x:c>
      <x:c r="J313" s="39" t="str">
        <x:v>建筑和市政设计工程技术人员</x:v>
      </x:c>
      <x:c r="K313" s="39" t="str">
        <x:v>规划与设计是建筑/房地产行业中不可或缺的重要组成部分，负责从宏观角度出发，确保项目从概念到实施的每一个环节都符合城市发展的整体规划要求，同时兼顾美观性、实用性和可持续发展性。作为规划与设计师，其核心目标在于通过创新的设计理念和技术手段，优化空间布局，提升项目品质，从而为公司创造更大的商业价值和社会影响力。此外，该职位还需与其他部门如工程部、市场部等紧密合作，…</x:v>
      </x:c>
      <x:c r="L313" s="39" t="str">
        <x:v>1. 负责项目前期调研工作，收集并分析相关资料，制定合理可行的规划设计方案，确保满足客户需求及法律法规要求。 2. 与客户进行沟通交流，了解其需求和期望，结合实际情况提出建设性意见，协助解决项目推进过程中遇到的问题。 3. 参与项目评审会议，向领导汇报设计方案，接受反馈意见并作出相应调整，保证最终成果达到预期效果。 4. 协调内部资源，指导团队成员完成各自任…</x:v>
      </x:c>
    </x:row>
    <x:row r="314" ht="52" customHeight="1">
      <x:c r="A314" s="42" t="n">
        <x:v>122</x:v>
      </x:c>
      <x:c r="B314" s="39" t="str">
        <x:v>规划与设计</x:v>
      </x:c>
      <x:c r="C314" s="39" t="str">
        <x:v>条件合并（先修分类）</x:v>
      </x:c>
      <x:c r="D314" s="39" t="str">
        <x:v>规划与设计</x:v>
      </x:c>
      <x:c r="E314" s="42" t="n">
        <x:v>1011</x:v>
      </x:c>
      <x:c r="F314" s="39" t="str">
        <x:v>IC-L3-1162</x:v>
      </x:c>
      <x:c r="G314" s="42" t="n">
        <x:v>1162</x:v>
      </x:c>
      <x:c r="H314" s="39" t="str">
        <x:v>设计 &gt; 建筑/室内设计 &gt; 规划与设计</x:v>
      </x:c>
      <x:c r="I314" s="39" t="str">
        <x:v>2-09-06-01</x:v>
      </x:c>
      <x:c r="J314" s="39" t="str">
        <x:v>视觉传达设计人员</x:v>
      </x:c>
      <x:c r="K314" s="39" t="str">
        <x:v>规划与设计职位是建筑设计行业中不可或缺的角色，其重要性在于将创意理念转化为实际可行的设计方案，确保建筑项目既美观又实用。作为规划与设计师，您将成为连接客户愿景与技术实施之间的桥梁，通过精准把握市场趋势与客户需求，推动公司品牌价值的提升和市场份额的增长。本职位不仅要求与项目管理、工程技术和市场营销等部门紧密合作，还需要不断学习最新设计理念和技术手段，为个人职业…</x:v>
      </x:c>
      <x:c r="L314" s="39" t="str">
        <x:v>1. 负责收集并分析项目背景资料，结合用户需求及场地条件制定初步设计方案，确保设计方案符合功能性和美学要求。 2. 与客户沟通交流，了解其期望值，调整和完善设计方案直至客户满意，提高客户满意度和忠诚度。 3. 协调内部资源，指导助理设计师完成图纸绘制工作，监督施工过程中的设计执行情况，确保项目按计划顺利推进。 4. 定期参与行业培训和研讨会，跟踪国内外先进设…</x:v>
      </x:c>
    </x:row>
    <x:row r="315" ht="52" customHeight="1">
      <x:c r="A315" s="42" t="n">
        <x:v>123</x:v>
      </x:c>
      <x:c r="B315" s="39" t="str">
        <x:v>过程质量工程师</x:v>
      </x:c>
      <x:c r="C315" s="39" t="str">
        <x:v>可直接合并</x:v>
      </x:c>
      <x:c r="D315" s="39" t="str">
        <x:v>过程质量工程师</x:v>
      </x:c>
      <x:c r="E315" s="42" t="n">
        <x:v>566</x:v>
      </x:c>
      <x:c r="F315" s="39" t="str">
        <x:v>IC-L3-717</x:v>
      </x:c>
      <x:c r="G315" s="42" t="n">
        <x:v>717</x:v>
      </x:c>
      <x:c r="H315" s="39" t="str">
        <x:v>汽车 &gt; 汽车制造 &gt; 过程质量工程师</x:v>
      </x:c>
      <x:c r="I315" s="39" t="str">
        <x:v>2-02-29-03</x:v>
      </x:c>
      <x:c r="J315" s="39" t="str">
        <x:v>质量管理工程技术人员</x:v>
      </x:c>
      <x:c r="K315" s="39" t="str">
        <x:v>过程质量工程师是汽车制造业中不可或缺的角色，负责确保生产过程中每个环节的质量标准得到严格执行，以保障最终产品的品质与可靠性。该职位不仅直接关系到企业的品牌形象，更是客户信任的基础所在。 该职位的核心目标在于通过持续改进生产工艺流程，减少不良品率，提高生产效率，从而降低制造成本并提升产品质量。对公司的价值体现在通过有效的质量管理措施，增强市场竞争力，满足甚至超…</x:v>
      </x:c>
      <x:c r="L315" s="39" t="str">
        <x:v>1. 制定并实施过程质量控制计划，确保所有生产活动符合既定的质量标准。 2. 定期检查生产线上的关键工序，及时发现潜在的质量问题并采取纠正措施。 3. 分析质量问题的根本原因，提出并执行预防措施，避免类似问题再次发生。 4. 与相关部门合作，推动跨职能团队解决复杂的质量挑战，促进产品和服务质量的持续改进。 5. 跟踪并记录质量数据，编制定期报告，为管理层提供…</x:v>
      </x:c>
    </x:row>
    <x:row r="316" ht="52" customHeight="1">
      <x:c r="A316" s="42" t="n">
        <x:v>123</x:v>
      </x:c>
      <x:c r="B316" s="39" t="str">
        <x:v>过程质量工程师</x:v>
      </x:c>
      <x:c r="C316" s="39" t="str">
        <x:v>可直接合并</x:v>
      </x:c>
      <x:c r="D316" s="39" t="str">
        <x:v>过程质量工程师</x:v>
      </x:c>
      <x:c r="E316" s="42" t="n">
        <x:v>750</x:v>
      </x:c>
      <x:c r="F316" s="39" t="str">
        <x:v>IC-L3-901</x:v>
      </x:c>
      <x:c r="G316" s="42" t="n">
        <x:v>901</x:v>
      </x:c>
      <x:c r="H316" s="39" t="str">
        <x:v>生产制造 &gt; 质量管理 &gt; 过程质量工程师</x:v>
      </x:c>
      <x:c r="I316" s="39" t="str">
        <x:v>2-02-29-03</x:v>
      </x:c>
      <x:c r="J316" s="39" t="str">
        <x:v>质量管理工程技术人员</x:v>
      </x:c>
      <x:c r="K316" s="39" t="str">
        <x:v>过程质量工程师在生产制造行业中扮演着至关重要的角色，他们负责确保产品在整个生产流程中的质量符合既定标准，通过持续的质量监控与改进措施来预防潜在的质量问题，从而保证最终产品的品质稳定可靠。作为公司质量管理体系的关键组成部分，过程质量工程师的核心目标是通过建立和完善质量控制流程，减少生产过程中的浪费和返工现象，提高生产效率和客户满意度，为公司赢得良好的市场声誉并…</x:v>
      </x:c>
      <x:c r="L316" s="39" t="str">
        <x:v>1. 制定并实施过程质量控制计划，定期进行现场巡检，确保生产过程符合ISO9001等国际质量管理体系要求。 2. 分析生产线上的不合格品数据，识别根本原因，提出有效的纠正预防措施，以降低不良率。 3. 与相关部门合作，参与新产品的设计评审及工艺优化工作，从质量角度提供专业意见，确保新产品顺利投产。 4. 组织开展员工质量意识培训，提升全员的质量管理水平。 5…</x:v>
      </x:c>
    </x:row>
    <x:row r="317" ht="52" customHeight="1">
      <x:c r="A317" s="42" t="n">
        <x:v>124</x:v>
      </x:c>
      <x:c r="B317" s="39" t="str">
        <x:v>焊工</x:v>
      </x:c>
      <x:c r="C317" s="39" t="str">
        <x:v>可直接合并</x:v>
      </x:c>
      <x:c r="D317" s="39" t="str">
        <x:v>焊工</x:v>
      </x:c>
      <x:c r="E317" s="42" t="n">
        <x:v>673</x:v>
      </x:c>
      <x:c r="F317" s="39" t="str">
        <x:v>IC-L3-824</x:v>
      </x:c>
      <x:c r="G317" s="42" t="n">
        <x:v>824</x:v>
      </x:c>
      <x:c r="H317" s="39" t="str">
        <x:v>生产制造 &gt; 技工 &gt; 焊工</x:v>
      </x:c>
      <x:c r="I317" s="39" t="str">
        <x:v>6-31-01-01</x:v>
      </x:c>
      <x:c r="J317" s="39" t="str">
        <x:v>设备点检员</x:v>
      </x:c>
      <x:c r="K317" s="39" t="str">
        <x:v>焊工是专门从事金属材料连接与修复的专业技术人员。该职位的核心目标是通过精确的焊接工艺，确保结构件的牢固性和安全性。在日常工作中，需要进行焊接设备操作、焊缝质量检查、工艺参数调整及安全防护等工作。</x:v>
      </x:c>
      <x:c r="L317" s="39" t="str">
        <x:v>1. 操作焊接设备 2. 完成金属焊接工作 3. 检查焊缝质量 4. 维护焊接工具 5. 遵守安全规范 6. 处理焊接缺陷</x:v>
      </x:c>
    </x:row>
    <x:row r="318" ht="52" customHeight="1">
      <x:c r="A318" s="42" t="n">
        <x:v>124</x:v>
      </x:c>
      <x:c r="B318" s="39" t="str">
        <x:v>焊工</x:v>
      </x:c>
      <x:c r="C318" s="39" t="str">
        <x:v>可直接合并</x:v>
      </x:c>
      <x:c r="D318" s="39" t="str">
        <x:v>焊工</x:v>
      </x:c>
      <x:c r="E318" s="42" t="n">
        <x:v>705</x:v>
      </x:c>
      <x:c r="F318" s="39" t="str">
        <x:v>IC-L3-856</x:v>
      </x:c>
      <x:c r="G318" s="42" t="n">
        <x:v>856</x:v>
      </x:c>
      <x:c r="H318" s="39" t="str">
        <x:v>生产制造 &gt; 机械加工 &gt; 焊工</x:v>
      </x:c>
      <x:c r="I318" s="39" t="str">
        <x:v>6-31-01-01</x:v>
      </x:c>
      <x:c r="J318" s="39" t="str">
        <x:v>设备点检员</x:v>
      </x:c>
      <x:c r="K318" s="39" t="str">
        <x:v>焊工作为生产制造行业中不可或缺的一环，特别是在机械加工领域，其技术对于确保产品质量和安全至关重要。焊工不仅负责将金属部件牢固地连接在一起，而且还需要具备识别不同材料特性的能力，以选择合适的焊接方法和技术，确保成品的耐久性和可靠性。 在公司内部，焊工的主要任务是通过高效、高质量的焊接作业来支持生产线的顺畅运行，减少因焊接问题导致的返工或延误，从而提高整体生产效…</x:v>
      </x:c>
      <x:c r="L318" s="39" t="str">
        <x:v>1. 根据生产计划和图纸要求，准确执行各种焊接作业，确保焊接质量和效率。 2. 对焊接设备进行日常维护保养，及时发现并上报设备故障，保障设备正常运转。 3. 严格遵守安全生产规范，采取有效措施预防焊接过程中的安全事故。 4. 参与产品焊接工艺的研究与改进，提出合理化建议，持续优化焊接流程。 5. 协同其他部门完成新产品开发阶段的焊接实验及样品制作，确保项目按…</x:v>
      </x:c>
    </x:row>
    <x:row r="319" ht="52" customHeight="1">
      <x:c r="A319" s="42" t="n">
        <x:v>125</x:v>
      </x:c>
      <x:c r="B319" s="39" t="str">
        <x:v>后期制作</x:v>
      </x:c>
      <x:c r="C319" s="39" t="str">
        <x:v>条件合并（先修分类）</x:v>
      </x:c>
      <x:c r="D319" s="39" t="str">
        <x:v>后期制作</x:v>
      </x:c>
      <x:c r="E319" s="42" t="n">
        <x:v>453</x:v>
      </x:c>
      <x:c r="F319" s="39" t="str">
        <x:v>IC-L3-604</x:v>
      </x:c>
      <x:c r="G319" s="42" t="n">
        <x:v>604</x:v>
      </x:c>
      <x:c r="H319" s="39" t="str">
        <x:v>建筑/房地产 &gt; 建筑工程 &gt; 后期制作</x:v>
      </x:c>
      <x:c r="I319" s="39" t="str">
        <x:v>2-02-18-01</x:v>
      </x:c>
      <x:c r="J319" s="39" t="str">
        <x:v>建筑和市政设计工程技术人员</x:v>
      </x:c>
      <x:c r="K319" s="39" t="str">
        <x:v>后期制作是专门从事建筑工程视觉呈现与成果交付的专业人员。该职位的核心目标是通过专业化的影像处理和文档编排，确保项目成果的精准展示与高效传递。在日常工作中，需要进行施工进度影像剪辑、BIM模型渲染、竣工资料排版及多媒体汇报材料制作等工作。</x:v>
      </x:c>
      <x:c r="L319" s="39" t="str">
        <x:v>1. 整理施工影像资料 2. 优化工程展示效果 3. 制作三维施工动画 4. 处理项目宣传视频 5. 管理后期制作设备 6. 配合项目验收演示</x:v>
      </x:c>
    </x:row>
    <x:row r="320" ht="52" customHeight="1">
      <x:c r="A320" s="42" t="n">
        <x:v>125</x:v>
      </x:c>
      <x:c r="B320" s="39" t="str">
        <x:v>后期制作</x:v>
      </x:c>
      <x:c r="C320" s="39" t="str">
        <x:v>条件合并（先修分类）</x:v>
      </x:c>
      <x:c r="D320" s="39" t="str">
        <x:v>后期制作</x:v>
      </x:c>
      <x:c r="E320" s="42" t="n">
        <x:v>512</x:v>
      </x:c>
      <x:c r="F320" s="39" t="str">
        <x:v>IC-L3-663</x:v>
      </x:c>
      <x:c r="G320" s="42" t="n">
        <x:v>663</x:v>
      </x:c>
      <x:c r="H320" s="39" t="str">
        <x:v>文化/传媒 &gt; 影视/媒体 &gt; 后期制作</x:v>
      </x:c>
      <x:c r="I320" s="39" t="str">
        <x:v>2-09-06-01</x:v>
      </x:c>
      <x:c r="J320" s="39" t="str">
        <x:v>视觉传达设计人员</x:v>
      </x:c>
      <x:c r="K320" s="39" t="str">
        <x:v>后期制作者在影视/媒体行业中扮演着至关重要的角色，他们是将原始素材转化为最终成品的关键人物。通过剪辑、调色、特效等技术手段，他们不仅能够提升作品的艺术品质，还能确保项目按时交付，满足客户或观众的期待。此外，后期制作人员与导演、摄影师、编剧等多个部门紧密合作，共同完成从创意到实现的过程，是整个创作流程中不可或缺的一环。 后期制作的核心目标在于优化视频内容，增强…</x:v>
      </x:c>
      <x:c r="L320" s="39" t="str">
        <x:v>1. 负责视频项目的剪辑工作，根据剧本和导演要求，合理安排镜头顺序，保证故事连贯性和逻辑性。 2. 运用专业软件进行色彩校正和视觉特效处理，提升画面质量，营造特定氛围，强化情感表达。 3. 协调音效师完成音频编辑任务，确保声音与影像同步协调，增强整体观影体验。 4. 与客户保持良好沟通，准确理解其需求，及时反馈制作进度，确保项目顺利推进直至交付。 5. 不断…</x:v>
      </x:c>
    </x:row>
    <x:row r="321" ht="52" customHeight="1">
      <x:c r="A321" s="42" t="n">
        <x:v>126</x:v>
      </x:c>
      <x:c r="B321" s="39" t="str">
        <x:v>互联网设计经理/主管</x:v>
      </x:c>
      <x:c r="C321" s="39" t="str">
        <x:v>可直接合并</x:v>
      </x:c>
      <x:c r="D321" s="39" t="str">
        <x:v>互联网设计经理/主管</x:v>
      </x:c>
      <x:c r="E321" s="42" t="n">
        <x:v>955</x:v>
      </x:c>
      <x:c r="F321" s="39" t="str">
        <x:v>IC-L3-1106</x:v>
      </x:c>
      <x:c r="G321" s="42" t="n">
        <x:v>1106</x:v>
      </x:c>
      <x:c r="H321" s="39" t="str">
        <x:v>设计 &gt; 互联网设计 &gt; 互联网设计经理/主管</x:v>
      </x:c>
      <x:c r="I321" s="39" t="str">
        <x:v>2-02-10-03</x:v>
      </x:c>
      <x:c r="J321" s="39" t="str">
        <x:v>计算机软件工程技术人员</x:v>
      </x:c>
      <x:c r="K321" s="39" t="str">
        <x:v>互联网设计经理/主管是设计与技术交叉领域的关键角色，负责领导和管理互联网产品的视觉及用户体验设计工作。这一职位不仅要求具备深厚的设计功底，还需要拥有良好的项目管理和团队领导能力，在推动产品迭代过程中发挥着至关重要的作用。 作为互联网设计部门的核心成员，设计经理/主管的主要目标是确保所有上线的产品都能达到甚至超越用户期待的审美标准和交互体验水平，通过优化设计方…</x:v>
      </x:c>
      <x:c r="L321" s="39" t="str">
        <x:v>1. 负责制定并执行互联网产品的整体视觉风格指南，确保各项目的一致性和创新性，提升品牌形象。 2. 领导团队完成从概念构思到最终交付的全流程设计任务，包括但不限于界面设计、动效设计等，确保按时高质量地完成各项设计成果。 3. 与产品和技术团队密切沟通，深入理解业务需求，提出合理的设计解决方案，协助解决实施过程中的各种问题。 4. 定期组织内部培训和分享会，促…</x:v>
      </x:c>
    </x:row>
    <x:row r="322" ht="52" customHeight="1">
      <x:c r="A322" s="42" t="n">
        <x:v>126</x:v>
      </x:c>
      <x:c r="B322" s="39" t="str">
        <x:v>互联网设计经理/主管</x:v>
      </x:c>
      <x:c r="C322" s="39" t="str">
        <x:v>可直接合并</x:v>
      </x:c>
      <x:c r="D322" s="39" t="str">
        <x:v>互联网设计经理/主管</x:v>
      </x:c>
      <x:c r="E322" s="42" t="n">
        <x:v>1031</x:v>
      </x:c>
      <x:c r="F322" s="39" t="str">
        <x:v>IC-L3-1182</x:v>
      </x:c>
      <x:c r="G322" s="42" t="n">
        <x:v>1182</x:v>
      </x:c>
      <x:c r="H322" s="39" t="str">
        <x:v>设计 &gt; 高级设计管理 &gt; 互联网设计经理/主管</x:v>
      </x:c>
      <x:c r="I322" s="39" t="str">
        <x:v>2-02-10-03</x:v>
      </x:c>
      <x:c r="J322" s="39" t="str">
        <x:v>计算机软件工程技术人员</x:v>
      </x:c>
      <x:c r="K322" s="39" t="str">
        <x:v>互联网设计经理/主管是设计领域中的关键角色，主要负责监督和指导公司内部的设计团队，确保所有设计项目能够按时完成并达到高质量标准。此职位不仅要求具备深厚的设计功底，还需要有良好的团队管理和沟通能力，以促进跨部门间的有效合作，推动创新设计思维的应用和发展。 该职位的核心目标在于通过优化用户体验、提升品牌形象等方式，为企业创造更多商业价值。互联网设计经理/主管需要…</x:v>
      </x:c>
      <x:c r="L322" s="39" t="str">
        <x:v>1. 负责制定并执行设计策略，确保所有设计活动与公司战略目标相一致。 2. 组织并领导设计团队完成从概念到成品的全过程工作，包括但不限于界面设计、交互设计等，保证项目按时保质交付。 3. 与产品和技术团队紧密合作，参与产品规划及需求分析，提供专业的视觉及用户体验建议。 4. 定期组织内部培训和技术分享会，提升团队成员的专业技能和创新能力。 5. 关注行业动态…</x:v>
      </x:c>
    </x:row>
    <x:row r="323" ht="52" customHeight="1">
      <x:c r="A323" s="42" t="n">
        <x:v>127</x:v>
      </x:c>
      <x:c r="B323" s="39" t="str">
        <x:v>互联网设计总监</x:v>
      </x:c>
      <x:c r="C323" s="39" t="str">
        <x:v>可直接合并</x:v>
      </x:c>
      <x:c r="D323" s="39" t="str">
        <x:v>互联网设计总监</x:v>
      </x:c>
      <x:c r="E323" s="42" t="n">
        <x:v>954</x:v>
      </x:c>
      <x:c r="F323" s="39" t="str">
        <x:v>IC-L3-1105</x:v>
      </x:c>
      <x:c r="G323" s="42" t="n">
        <x:v>1105</x:v>
      </x:c>
      <x:c r="H323" s="39" t="str">
        <x:v>设计 &gt; 互联网设计 &gt; 互联网设计总监</x:v>
      </x:c>
      <x:c r="I323" s="39" t="str">
        <x:v>2-02-10-03</x:v>
      </x:c>
      <x:c r="J323" s="39" t="str">
        <x:v>计算机软件工程技术人员</x:v>
      </x:c>
      <x:c r="K323" s="39" t="str">
        <x:v>互联网设计总监是互联网设计领域中至关重要的高级管理职位，负责领导设计团队实现公司的视觉传达与用户体验目标。作为连接创意与商业的桥梁，互联网设计总监不仅需要具备出色的设计能力，还需要拥有敏锐的市场洞察力和战略规划能力，确保设计工作能够精准对接用户需求，提升品牌形象和市场竞争力。 该职位的核心目标在于通过创新的设计方案提高产品或服务的用户体验，从而促进销售增长和…</x:v>
      </x:c>
      <x:c r="L323" s="39" t="str">
        <x:v>1. 领导并管理设计团队，制定并执行年度设计策略，确保所有项目按时高质量完成，满足业务需求。 2. 与产品经理和技术团队密切合作，参与产品从概念阶段到上线的全过程，提供专业意见，确保设计方案既美观又实用。 3. 跟踪最新设计趋势和技术发展，持续优化设计方法论，引入先进的工具和流程，提高工作效率和创新能力。 4. 定期组织团队内部分享会，促进知识交流与技能提升…</x:v>
      </x:c>
    </x:row>
    <x:row r="324" ht="52" customHeight="1">
      <x:c r="A324" s="42" t="n">
        <x:v>127</x:v>
      </x:c>
      <x:c r="B324" s="39" t="str">
        <x:v>互联网设计总监</x:v>
      </x:c>
      <x:c r="C324" s="39" t="str">
        <x:v>可直接合并</x:v>
      </x:c>
      <x:c r="D324" s="39" t="str">
        <x:v>互联网设计总监</x:v>
      </x:c>
      <x:c r="E324" s="42" t="n">
        <x:v>1030</x:v>
      </x:c>
      <x:c r="F324" s="39" t="str">
        <x:v>IC-L3-1181</x:v>
      </x:c>
      <x:c r="G324" s="42" t="n">
        <x:v>1181</x:v>
      </x:c>
      <x:c r="H324" s="39" t="str">
        <x:v>设计 &gt; 高级设计管理 &gt; 互联网设计总监</x:v>
      </x:c>
      <x:c r="I324" s="39" t="str">
        <x:v>2-02-10-03</x:v>
      </x:c>
      <x:c r="J324" s="39" t="str">
        <x:v>计算机软件工程技术人员</x:v>
      </x:c>
      <x:c r="K324" s="39" t="str">
        <x:v>互联网设计总监是设计行业中极为关键的角色，负责引领公司的视觉风格与用户体验设计，确保产品能够满足用户需求并符合市场趋势。作为公司设计战略的核心人物，互联网设计总监不仅需要具备深厚的设计功底，还需拥有敏锐的商业洞察力，通过制定并执行高效的设计策略，推动品牌建设，提高产品的市场竞争力，为公司创造长期的价值。此外，该职位还涉及到与其他部门如技术、市场等紧密合作，共…</x:v>
      </x:c>
      <x:c r="L324" s="39" t="str">
        <x:v>1. 负责制定并实施全面的设计策略，指导产品从概念到发布的整个过程，确保设计方案符合公司品牌定位及市场需求。 2. 组织并领导设计团队完成高质量的设计任务，监督项目进度，确保按时交付，并对最终成果负责。 3. 与产品经理、开发工程师及其他相关部门密切沟通，理解业务需求，优化用户体验，提升产品性能。 4. 定期评估设计流程效率，引入先进的设计理念和技术工具，持…</x:v>
      </x:c>
    </x:row>
    <x:row r="325" ht="52" customHeight="1">
      <x:c r="A325" s="42" t="n">
        <x:v>128</x:v>
      </x:c>
      <x:c r="B325" s="39" t="str">
        <x:v>护工</x:v>
      </x:c>
      <x:c r="C325" s="39" t="str">
        <x:v>条件合并（先修分类）</x:v>
      </x:c>
      <x:c r="D325" s="39" t="str">
        <x:v>护工</x:v>
      </x:c>
      <x:c r="E325" s="42" t="n">
        <x:v>213</x:v>
      </x:c>
      <x:c r="F325" s="39" t="str">
        <x:v>IC-L3-364</x:v>
      </x:c>
      <x:c r="G325" s="42" t="n">
        <x:v>364</x:v>
      </x:c>
      <x:c r="H325" s="39" t="str">
        <x:v>医药/医疗 &gt; 护理/护士 &gt; 护工</x:v>
      </x:c>
      <x:c r="I325" s="39" t="str">
        <x:v>2-05-08-01</x:v>
      </x:c>
      <x:c r="J325" s="39" t="str">
        <x:v>内科护士</x:v>
      </x:c>
      <x:c r="K325" s="39" t="str">
        <x:v>护工是专门从事病患基础护理与生活照护的专业人员。该职位的核心目标是通过提供专业的日常照护服务，保障病患舒适安全并协助医疗工作开展。在日常工作中，需要进行生活护理、基础医疗协助、环境清洁及康复辅助等工作。</x:v>
      </x:c>
      <x:c r="L325" s="39" t="str">
        <x:v>1. 协助病人日常起居 2. 观察记录生命体征 3. 执行基础护理操作 4. 维护病房环境卫生 5. 协助医疗检查治疗 6. 报告异常病情变化</x:v>
      </x:c>
    </x:row>
    <x:row r="326" ht="52" customHeight="1">
      <x:c r="A326" s="42" t="n">
        <x:v>128</x:v>
      </x:c>
      <x:c r="B326" s="39" t="str">
        <x:v>护工</x:v>
      </x:c>
      <x:c r="C326" s="39" t="str">
        <x:v>条件合并（先修分类）</x:v>
      </x:c>
      <x:c r="D326" s="39" t="str">
        <x:v>护工</x:v>
      </x:c>
      <x:c r="E326" s="42" t="n">
        <x:v>808</x:v>
      </x:c>
      <x:c r="F326" s="39" t="str">
        <x:v>IC-L3-959</x:v>
      </x:c>
      <x:c r="G326" s="42" t="n">
        <x:v>959</x:v>
      </x:c>
      <x:c r="H326" s="39" t="str">
        <x:v>生活服务/零售 &gt; 家政服务 &gt; 护工</x:v>
      </x:c>
      <x:c r="I326" s="39" t="str">
        <x:v>4-10-01-06</x:v>
      </x:c>
      <x:c r="J326" s="39" t="str">
        <x:v>家政服务员</x:v>
      </x:c>
      <x:c r="K326" s="39" t="str">
        <x:v>护工在家政服务行业中扮演着至关重要的角色，他们是连接客户与服务提供者之间的桥梁，负责满足客户的家庭护理需求，确保服务质量和客户满意度。作为家政服务团队的核心成员之一，护工的主要目标是为有特殊照顾需求的家庭成员（如老人、儿童或残障人士）提供专业、细致的生活照料，帮助他们维持日常生活质量，同时减轻家庭其他成员的压力。通过高质量的服务，护工不仅能够提升客户的生活品…</x:v>
      </x:c>
      <x:c r="L326" s="39" t="str">
        <x:v>1. 为指定的家庭成员提供个人卫生清洁、饮食起居等基础护理工作，确保其基本生活需求得到满足。 2. 定期与客户沟通，了解并记录被照护对象的身体状况及心理变化，及时反馈给家属或主管人员，以便调整护理计划。 3. 协助安排客户的医疗预约、陪同就诊以及药物管理等工作，确保客户按时接受必要的医疗服务。 4. 根据客户需求和生活习惯制定合理的日程安排，协助处理家务事宜…</x:v>
      </x:c>
    </x:row>
    <x:row r="327" ht="52" customHeight="1">
      <x:c r="A327" s="42" t="n">
        <x:v>129</x:v>
      </x:c>
      <x:c r="B327" s="39" t="str">
        <x:v>化学分析测试员</x:v>
      </x:c>
      <x:c r="C327" s="39" t="str">
        <x:v>条件合并（先修分类）</x:v>
      </x:c>
      <x:c r="D327" s="39" t="str">
        <x:v>化学分析测试员</x:v>
      </x:c>
      <x:c r="E327" s="42" t="n">
        <x:v>230</x:v>
      </x:c>
      <x:c r="F327" s="39" t="str">
        <x:v>IC-L3-381</x:v>
      </x:c>
      <x:c r="G327" s="42" t="n">
        <x:v>381</x:v>
      </x:c>
      <x:c r="H327" s="39" t="str">
        <x:v>医药/医疗 &gt; 生物制药 &gt; 化学分析测试员</x:v>
      </x:c>
      <x:c r="I327" s="39" t="str">
        <x:v>2-05-07-01</x:v>
      </x:c>
      <x:c r="J327" s="39" t="str">
        <x:v>影像技师</x:v>
      </x:c>
      <x:c r="K327" s="39" t="str">
        <x:v>化学分析测试员是生物制药行业中不可或缺的角色，他们通过精确的化学分析确保药品的质量与安全性，支持新药的研发过程，是连接实验室研究与临床应用的重要桥梁。该职位的核心目标在于运用先进的分析技术和设备，对药物成分进行定性和定量分析，以确保产品符合国家和国际上的质量标准，从而为公司的产品质量提供坚实保障，增强公司在市场上的竞争力。此外，化学分析测试员将与研发、生产等…</x:v>
      </x:c>
      <x:c r="L327" s="39" t="str">
        <x:v>1. 负责执行日常的样品检测工作，包括但不限于原料药、中间体及成品的理化性质测定，确保所有实验数据准确无误。 2. 根据GMP（良好生产规范）要求，制定并优化化学分析方法，提高分析效率和准确性，满足快速发展的业务需求。 3. 参与新药开发项目，协助科学家完成从概念验证到临床前研究阶段的各项化学分析任务，为药物配方设计提供科学依据。 4. 记录并整理实验结果，…</x:v>
      </x:c>
    </x:row>
    <x:row r="328" ht="52" customHeight="1">
      <x:c r="A328" s="42" t="n">
        <x:v>129</x:v>
      </x:c>
      <x:c r="B328" s="39" t="str">
        <x:v>化学分析测试员</x:v>
      </x:c>
      <x:c r="C328" s="39" t="str">
        <x:v>条件合并（先修分类）</x:v>
      </x:c>
      <x:c r="D328" s="39" t="str">
        <x:v>化学分析测试员</x:v>
      </x:c>
      <x:c r="E328" s="42" t="n">
        <x:v>736</x:v>
      </x:c>
      <x:c r="F328" s="39" t="str">
        <x:v>IC-L3-887</x:v>
      </x:c>
      <x:c r="G328" s="42" t="n">
        <x:v>887</x:v>
      </x:c>
      <x:c r="H328" s="39" t="str">
        <x:v>生产制造 &gt; 质量管理 &gt; 化学分析测试员</x:v>
      </x:c>
      <x:c r="I328" s="39" t="str">
        <x:v>2-02-29-03</x:v>
      </x:c>
      <x:c r="J328" s="39" t="str">
        <x:v>质量管理工程技术人员</x:v>
      </x:c>
      <x:c r="K328" s="39" t="str">
        <x:v>化学分析测试员是生产制造行业中不可或缺的专业技术人才，其主要负责产品的化学成分分析与质量检测，确保产品质量符合国家及企业标准，是保障公司产品竞争力的关键环节。该职位的核心目标在于通过精准的化学分析手段，识别并解决生产过程中出现的质量问题，从而提高产品的一致性和稳定性，减少不良品率，为企业创造更高的经济效益。此外，化学分析测试员还需与其他部门密切合作，如研发、…</x:v>
      </x:c>
      <x:c r="L328" s="39" t="str">
        <x:v>1. 运用专业的化学分析仪器和方法，对原材料、半成品及成品进行准确的成分分析，确保数据真实可靠，为生产过程提供科学依据。 2. 定期参与实验室设备的校准与维护工作，保证实验设备的正常运行，降低因设备故障导致的检测误差。 3. 遵循ISO9001等国际质量管理体系要求，制定和完善化学分析流程，确保所有操作均符合相关法规和行业标准。 4. 在发现异常情况时，迅速…</x:v>
      </x:c>
    </x:row>
    <x:row r="329" ht="52" customHeight="1">
      <x:c r="A329" s="42" t="n">
        <x:v>130</x:v>
      </x:c>
      <x:c r="B329" s="39" t="str">
        <x:v>化验员</x:v>
      </x:c>
      <x:c r="C329" s="39" t="str">
        <x:v>条件合并（先修分类）</x:v>
      </x:c>
      <x:c r="D329" s="39" t="str">
        <x:v>化验员</x:v>
      </x:c>
      <x:c r="E329" s="42" t="n">
        <x:v>161</x:v>
      </x:c>
      <x:c r="F329" s="39" t="str">
        <x:v>IC-L3-312</x:v>
      </x:c>
      <x:c r="G329" s="42" t="n">
        <x:v>312</x:v>
      </x:c>
      <x:c r="H329" s="39" t="str">
        <x:v>医药/医疗 &gt; 临床试验 &gt; 化验员</x:v>
      </x:c>
      <x:c r="I329" s="39" t="str">
        <x:v>2-05-07-01</x:v>
      </x:c>
      <x:c r="J329" s="39" t="str">
        <x:v>影像技师</x:v>
      </x:c>
      <x:c r="K329" s="39" t="str">
        <x:v>化验员是专门从事临床试验样本检测与分析的专业人员。该职位的核心目标是通过精确的实验室检测，确保临床研究数据的准确性和可靠性。在日常工作中，需要进行样本接收与处理、实验操作、数据记录与分析、仪器维护等工作。</x:v>
      </x:c>
      <x:c r="L329" s="39" t="str">
        <x:v>1. 执行样本检测分析 2. 记录实验数据信息 3. 维护检测仪器设备 4. 遵守实验室安全规范 5. 协助临床研究报告 6. 管理实验耗材库存</x:v>
      </x:c>
    </x:row>
    <x:row r="330" ht="52" customHeight="1">
      <x:c r="A330" s="42" t="n">
        <x:v>130</x:v>
      </x:c>
      <x:c r="B330" s="39" t="str">
        <x:v>化验员</x:v>
      </x:c>
      <x:c r="C330" s="39" t="str">
        <x:v>条件合并（先修分类）</x:v>
      </x:c>
      <x:c r="D330" s="39" t="str">
        <x:v>化验员</x:v>
      </x:c>
      <x:c r="E330" s="42" t="n">
        <x:v>710</x:v>
      </x:c>
      <x:c r="F330" s="39" t="str">
        <x:v>IC-L3-861</x:v>
      </x:c>
      <x:c r="G330" s="42" t="n">
        <x:v>861</x:v>
      </x:c>
      <x:c r="H330" s="39" t="str">
        <x:v>生产制造 &gt; 生产/营运 &gt; 化验员</x:v>
      </x:c>
      <x:c r="I330" s="39" t="str">
        <x:v>6-31-01-01</x:v>
      </x:c>
      <x:c r="J330" s="39" t="str">
        <x:v>设备点检员</x:v>
      </x:c>
      <x:c r="K330" s="39" t="str">
        <x:v>化验员是生产制造行业中不可或缺的角色，负责确保产品的质量和安全性。他们通过精确的化学分析和物理测试，帮助公司遵守国家法规和行业标准，从而增强客户信任度和市场竞争力。作为生产流程中的关键环节，化验员的工作直接关系到最终产品的质量控制，对于提升企业形象、保障消费者健康具有重要意义。 为了达成上述目标，化验员需要具备扎实的专业知识与技能，能够准确执行各类检测任务，…</x:v>
      </x:c>
      <x:c r="L330" s="39" t="str">
        <x:v>1. 负责原材料、半成品及成品的取样工作，确保样品代表性，为后续检验提供可靠依据。 2. 运用专业仪器设备进行样品的化学成分分析和物理性能测试，记录数据并出具准确无误的检测报告。 3. 对检测过程中出现的异常情况迅速作出判断，采取有效措施排除故障，保证生产流程顺畅运行。 4. 定期维护保养实验室设备，确保其处于良好工作状态，延长使用寿命。 5. 参与质量管理…</x:v>
      </x:c>
    </x:row>
    <x:row r="331" ht="52" customHeight="1">
      <x:c r="A331" s="42" t="n">
        <x:v>131</x:v>
      </x:c>
      <x:c r="B331" s="39" t="str">
        <x:v>化妆品研发</x:v>
      </x:c>
      <x:c r="C331" s="39" t="str">
        <x:v>可直接合并</x:v>
      </x:c>
      <x:c r="D331" s="39" t="str">
        <x:v>化妆品研发</x:v>
      </x:c>
      <x:c r="E331" s="42" t="n">
        <x:v>252</x:v>
      </x:c>
      <x:c r="F331" s="39" t="str">
        <x:v>IC-L3-403</x:v>
      </x:c>
      <x:c r="G331" s="42" t="n">
        <x:v>403</x:v>
      </x:c>
      <x:c r="H331" s="39" t="str">
        <x:v>医药/医疗 &gt; 生物制药 &gt; 化妆品研发</x:v>
      </x:c>
      <x:c r="I331" s="39" t="str">
        <x:v>6-11-10-03</x:v>
      </x:c>
      <x:c r="J331" s="39" t="str">
        <x:v>化妆品配方师</x:v>
      </x:c>
      <x:c r="K331" s="39" t="str">
        <x:v>化妆品研发是专门从事化妆品配方开发与创新的专业人员。该职位的核心目标是通过生物制药技术研发安全有效的化妆品，提升产品市场竞争力。在日常工作中，需要进行原料筛选、配方设计、功效测试、工艺优化及技术文档编写等工作。</x:v>
      </x:c>
      <x:c r="L331" s="39" t="str">
        <x:v>1. 研发新型化妆品配方 2. 优化现有产品性能 3. 进行原料安全评估 4. 开展功效性实验测试 5. 跟踪行业技术发展 6. 编写研发技术文档</x:v>
      </x:c>
    </x:row>
    <x:row r="332" ht="52" customHeight="1">
      <x:c r="A332" s="42" t="n">
        <x:v>131</x:v>
      </x:c>
      <x:c r="B332" s="39" t="str">
        <x:v>化妆品研发</x:v>
      </x:c>
      <x:c r="C332" s="39" t="str">
        <x:v>可直接合并</x:v>
      </x:c>
      <x:c r="D332" s="39" t="str">
        <x:v>化妆品研发</x:v>
      </x:c>
      <x:c r="E332" s="42" t="n">
        <x:v>919</x:v>
      </x:c>
      <x:c r="F332" s="39" t="str">
        <x:v>IC-L3-1070</x:v>
      </x:c>
      <x:c r="G332" s="42" t="n">
        <x:v>1070</x:v>
      </x:c>
      <x:c r="H332" s="39" t="str">
        <x:v>能源/环保/化工 &gt; 化工 &gt; 化妆品研发</x:v>
      </x:c>
      <x:c r="I332" s="39" t="str">
        <x:v>6-11-10-03</x:v>
      </x:c>
      <x:c r="J332" s="39" t="str">
        <x:v>化妆品配方师</x:v>
      </x:c>
      <x:c r="K332" s="39" t="str">
        <x:v>化妆品研发工程师在能源/环保/化工行业中扮演着至关重要的角色，尤其是在追求天然、绿色与高效化妆品的开发过程中。这一职位不仅要求具备扎实的化学理论基础，还需要对市场趋势有敏锐的洞察力，能够将消费者需求转化为创新的产品。 该职位的核心目标是通过不断研究和实验，开发出安全、有效且符合市场需求的新型化妆品。这不仅有助于提升公司品牌形象，还能为企业带来持续的竞争优势，…</x:v>
      </x:c>
      <x:c r="L332" s="39" t="str">
        <x:v>1. 负责新产品的配方设计与优化，确保产品性能达到预期效果并符合相关法规要求。 2. 参与市场调研，收集用户反馈，结合最新科研成果调整产品线，满足消费者多样化需求。 3. 与供应商建立良好合作关系，评估原料质量，控制成本同时保证产品质量。 4. 协同质量保证团队制定严格的质量标准，参与产品测试流程，确保最终产品符合高标准要求。 5. 关注国内外化妆品行业动态…</x:v>
      </x:c>
    </x:row>
    <x:row r="333" ht="52" customHeight="1">
      <x:c r="A333" s="42" t="n">
        <x:v>132</x:v>
      </x:c>
      <x:c r="B333" s="39" t="str">
        <x:v>活动策划</x:v>
      </x:c>
      <x:c r="C333" s="39" t="str">
        <x:v>可直接合并</x:v>
      </x:c>
      <x:c r="D333" s="39" t="str">
        <x:v>活动策划</x:v>
      </x:c>
      <x:c r="E333" s="42" t="n">
        <x:v>381</x:v>
      </x:c>
      <x:c r="F333" s="39" t="str">
        <x:v>IC-L3-532</x:v>
      </x:c>
      <x:c r="G333" s="42" t="n">
        <x:v>532</x:v>
      </x:c>
      <x:c r="H333" s="39" t="str">
        <x:v>市场/公关 &gt; 公关/媒介 &gt; 活动策划</x:v>
      </x:c>
      <x:c r="I333" s="39" t="str">
        <x:v>2-06-07-03</x:v>
      </x:c>
      <x:c r="J333" s="39" t="str">
        <x:v>商务策划专业人员</x:v>
      </x:c>
      <x:c r="K333" s="39" t="str">
        <x:v>活动策划在市场/公关行业中扮演着至关重要的角色。作为连接品牌与消费者的桥梁，活动策划人员通过创意策划和执行各类线下线上活动，不仅能够提升品牌的知名度和影响力，还能有效促进产品或服务的销售。该职位的核心目标在于确保所有活动从概念到落地的每一个环节都符合公司的品牌形象和市场战略，通过对活动效果的精准评估，为公司带来实际的商业价值和社会影响。此外，活动策划人员需要…</x:v>
      </x:c>
      <x:c r="L333" s="39" t="str">
        <x:v>活动策划岗位的主要职责包括：1）根据公司战略目标，制定活动策划方案；2）负责活动的整体规划、执行和监控，确保活动顺利进行；3）协调内外部资源，与相关部门沟通合作，确保活动顺利实施；4）负责活动的预算管理，控制成本；5）收集反馈信息，对活动效果进行评估，提出改进建议。</x:v>
      </x:c>
    </x:row>
    <x:row r="334" ht="52" customHeight="1">
      <x:c r="A334" s="42" t="n">
        <x:v>132</x:v>
      </x:c>
      <x:c r="B334" s="39" t="str">
        <x:v>活动策划</x:v>
      </x:c>
      <x:c r="C334" s="39" t="str">
        <x:v>可直接合并</x:v>
      </x:c>
      <x:c r="D334" s="39" t="str">
        <x:v>活动策划</x:v>
      </x:c>
      <x:c r="E334" s="42" t="n">
        <x:v>399</x:v>
      </x:c>
      <x:c r="F334" s="39" t="str">
        <x:v>IC-L3-550</x:v>
      </x:c>
      <x:c r="G334" s="42" t="n">
        <x:v>550</x:v>
      </x:c>
      <x:c r="H334" s="39" t="str">
        <x:v>市场/公关 &gt; 市场/营销 &gt; 活动策划</x:v>
      </x:c>
      <x:c r="I334" s="39" t="str">
        <x:v>2-06-07-03</x:v>
      </x:c>
      <x:c r="J334" s="39" t="str">
        <x:v>商务策划专业人员</x:v>
      </x:c>
      <x:c r="K334" s="39" t="str">
        <x:v>活动策划是专门从事市场营销活动设计与执行的专业人员。该职位的核心目标是通过策划创意活动方案，实现品牌推广和销售转化的营销目标。在日常工作中，需要进行市场调研、方案策划、预算管理、供应商协调及活动执行等工作。</x:v>
      </x:c>
      <x:c r="L334" s="39" t="str">
        <x:v>1. 策划营销活动方案 2. 协调活动执行资源 3. 控制活动预算成本 4. 监督活动实施过程 5. 评估活动效果数据 6. 优化活动策划流程</x:v>
      </x:c>
    </x:row>
    <x:row r="335" ht="52" customHeight="1">
      <x:c r="A335" s="42" t="n">
        <x:v>133</x:v>
      </x:c>
      <x:c r="B335" s="39" t="str">
        <x:v>货运代理</x:v>
      </x:c>
      <x:c r="C335" s="39" t="str">
        <x:v>条件合并（先修分类）</x:v>
      </x:c>
      <x:c r="D335" s="39" t="str">
        <x:v>货运代理</x:v>
      </x:c>
      <x:c r="E335" s="42" t="n">
        <x:v>754</x:v>
      </x:c>
      <x:c r="F335" s="39" t="str">
        <x:v>IC-L3-905</x:v>
      </x:c>
      <x:c r="G335" s="42" t="n">
        <x:v>905</x:v>
      </x:c>
      <x:c r="H335" s="39" t="str">
        <x:v>物流/供应链 &gt; 仓储 &gt; 货运代理</x:v>
      </x:c>
      <x:c r="I335" s="39" t="str">
        <x:v>4-02-06-01</x:v>
      </x:c>
      <x:c r="J335" s="39" t="str">
        <x:v>仓储管理员</x:v>
      </x:c>
      <x:c r="K335" s="39" t="str">
        <x:v>货运代理是专门从事仓储物流运输协调的专业人员。该职位的核心目标是通过优化货运流程，确保仓储货物高效、安全地运输交付。在日常工作中，需要进行运输方案制定、承运商协调、运输跟踪及异常处理等工作。</x:v>
      </x:c>
      <x:c r="L335" s="39" t="str">
        <x:v>1. 安排货物运输计划 2. 协调仓储出入库流程 3. 跟踪货运物流进度 4. 处理报关清关手续 5. 管理运输费用结算 6. 维护客户运输需求</x:v>
      </x:c>
    </x:row>
    <x:row r="336" ht="52" customHeight="1">
      <x:c r="A336" s="42" t="n">
        <x:v>133</x:v>
      </x:c>
      <x:c r="B336" s="39" t="str">
        <x:v>货运代理</x:v>
      </x:c>
      <x:c r="C336" s="39" t="str">
        <x:v>条件合并（先修分类）</x:v>
      </x:c>
      <x:c r="D336" s="39" t="str">
        <x:v>货运代理</x:v>
      </x:c>
      <x:c r="E336" s="42" t="n">
        <x:v>776</x:v>
      </x:c>
      <x:c r="F336" s="39" t="str">
        <x:v>IC-L3-927</x:v>
      </x:c>
      <x:c r="G336" s="42" t="n">
        <x:v>927</x:v>
      </x:c>
      <x:c r="H336" s="39" t="str">
        <x:v>物流/供应链 &gt; 配送管理 &gt; 货运代理</x:v>
      </x:c>
      <x:c r="I336" s="39" t="str">
        <x:v>4-02-06-03</x:v>
      </x:c>
      <x:c r="J336" s="39" t="str">
        <x:v>物流服务师</x:v>
      </x:c>
      <x:c r="K336" s="39" t="str">
        <x:v>货运代理是物流与供应链行业中不可或缺的角色，负责确保货物从发货地到目的地的顺利运输。这一职位不仅要求具备出色的沟通协调能力，还需要深入了解国际及国内运输法规，以及能够高效处理突发状况，以保障客户利益不受损害。作为公司与外部承运人间的重要桥梁，货运代理通过优化运输方案、降低物流成本、提高服务质量和客户满意度来为公司创造核心竞争力。 货运代理的核心目标在于确保所…</x:v>
      </x:c>
      <x:c r="L336" s="39" t="str">
        <x:v>1. 负责与国内外客户沟通，了解其运输需求，提供专业建议并设计合适的运输解决方案。 2. 与供应商、承运商建立良好合作关系，谈判最佳运输条件，包括价格、时效和服务标准等。 3. 监控整个运输过程，及时跟踪货物状态，处理突发事件，确保货物安全、准确无误地送达目的地。 4. 收集并整理相关单证资料，如提单、发票、装箱单等，确保符合国际贸易规则及目的地国家法律法规…</x:v>
      </x:c>
    </x:row>
    <x:row r="337" ht="52" customHeight="1">
      <x:c r="A337" s="42" t="n">
        <x:v>134</x:v>
      </x:c>
      <x:c r="B337" s="39" t="str">
        <x:v>货运司机</x:v>
      </x:c>
      <x:c r="C337" s="39" t="str">
        <x:v>可直接合并</x:v>
      </x:c>
      <x:c r="D337" s="39" t="str">
        <x:v>货运司机</x:v>
      </x:c>
      <x:c r="E337" s="42" t="n">
        <x:v>770</x:v>
      </x:c>
      <x:c r="F337" s="39" t="str">
        <x:v>IC-L3-921</x:v>
      </x:c>
      <x:c r="G337" s="42" t="n">
        <x:v>921</x:v>
      </x:c>
      <x:c r="H337" s="39" t="str">
        <x:v>物流/供应链 &gt; 物流/运输 &gt; 货运司机</x:v>
      </x:c>
      <x:c r="I337" s="39" t="str">
        <x:v>4-02-02-02</x:v>
      </x:c>
      <x:c r="J337" s="39" t="str">
        <x:v>道路货运汽车驾驶员</x:v>
      </x:c>
      <x:c r="K337" s="39" t="str">
        <x:v>货运司机是物流与供应链行业中不可或缺的角色，他们负责将货物从一个地点安全、准时地运送到另一个地点，确保了商品流通的顺畅进行，是连接生产者与消费者之间的桥梁。作为公司的重要资产，货运司机不仅需要具备良好的驾驶技能，还需熟悉相关法律法规，确保运输过程合法合规；同时，通过优化路线选择、提高装载效率等措施，为公司节省成本，提升客户满意度，进而增强企业的市场竞争力。此…</x:v>
      </x:c>
      <x:c r="L337" s="39" t="str">
        <x:v>1. 负责驾驶车辆，根据既定路线和时间表，准确无误地将货物送达指定目的地。 2. 在装货前检查货物的状态，确保货物数量正确、包装完好，并在卸货时再次确认。 3. 保持与调度中心的沟通，及时反馈途中遇到的问题，并提出解决方案。 4. 定期维护保养车辆，确保车辆处于良好运行状态，预防交通事故的发生。 5. 遵守交通法规，保持良好的驾驶习惯，确保自身及他人的人身财…</x:v>
      </x:c>
    </x:row>
    <x:row r="338" ht="52" customHeight="1">
      <x:c r="A338" s="42" t="n">
        <x:v>134</x:v>
      </x:c>
      <x:c r="B338" s="39" t="str">
        <x:v>货运司机</x:v>
      </x:c>
      <x:c r="C338" s="39" t="str">
        <x:v>可直接合并</x:v>
      </x:c>
      <x:c r="D338" s="39" t="str">
        <x:v>货运司机</x:v>
      </x:c>
      <x:c r="E338" s="42" t="n">
        <x:v>786</x:v>
      </x:c>
      <x:c r="F338" s="39" t="str">
        <x:v>IC-L3-937</x:v>
      </x:c>
      <x:c r="G338" s="42" t="n">
        <x:v>937</x:v>
      </x:c>
      <x:c r="H338" s="39" t="str">
        <x:v>生活服务/零售 &gt; 交通运输服务 &gt; 货运司机</x:v>
      </x:c>
      <x:c r="I338" s="39" t="str">
        <x:v>4-02-02-02</x:v>
      </x:c>
      <x:c r="J338" s="39" t="str">
        <x:v>道路货运汽车驾驶员</x:v>
      </x:c>
      <x:c r="K338" s="39" t="str">
        <x:v>货运司机是生活服务与零售行业中不可或缺的一部分，承担着连接生产和消费两端的重要桥梁作用。作为交通运输服务的关键岗位，他们不仅确保了货物从仓库到客户手中的安全与及时到达，还直接影响着企业的品牌形象和客户满意度。 该职位的核心目标在于高效准确地完成配送任务，减少运输过程中的损失和延误，同时优化路线选择以降低运营成本。通过提供高质量的服务，货运司机有助于增强公司的…</x:v>
      </x:c>
      <x:c r="L338" s="39" t="str">
        <x:v>1. 根据公司安排的时间表和路线要求，负责将商品准时送达指定地点，并确保货物的安全无损。 2. 在每次出车前进行车辆检查，包括油量、水温、刹车系统等，确保车辆处于良好状态，预防途中发生故障。 3. 与客户沟通确认收货信息，处理签收手续，遇到异常情况时应及时反馈给上级主管。 4. 记录每日行车日志，包括行驶里程、耗油量、维修保养记录等，定期提交报告以便公司评估…</x:v>
      </x:c>
    </x:row>
    <x:row r="339" ht="52" customHeight="1">
      <x:c r="A339" s="42" t="n">
        <x:v>135</x:v>
      </x:c>
      <x:c r="B339" s="39" t="str">
        <x:v>机场代表</x:v>
      </x:c>
      <x:c r="C339" s="39" t="str">
        <x:v>条件合并（先修分类）</x:v>
      </x:c>
      <x:c r="D339" s="39" t="str">
        <x:v>机场代表</x:v>
      </x:c>
      <x:c r="E339" s="42" t="n">
        <x:v>791</x:v>
      </x:c>
      <x:c r="F339" s="39" t="str">
        <x:v>IC-L3-942</x:v>
      </x:c>
      <x:c r="G339" s="42" t="n">
        <x:v>942</x:v>
      </x:c>
      <x:c r="H339" s="39" t="str">
        <x:v>生活服务/零售 &gt; 交通运输服务 &gt; 机场代表</x:v>
      </x:c>
      <x:c r="I339" s="39" t="str">
        <x:v>4-02-04-01</x:v>
      </x:c>
      <x:c r="J339" s="39" t="str">
        <x:v>民航乘务员</x:v>
      </x:c>
      <x:c r="K339" s="39" t="str">
        <x:v>机场代表是专门从事航空旅客服务与协调的专业人员。该职位的核心目标是通过提供优质的客户服务和高效的现场协调，确保旅客顺畅出行并提升机场运营效率。在日常工作中，需要进行旅客接待、航班信息咨询、特殊需求协助及应急事件处理等工作。</x:v>
      </x:c>
      <x:c r="L339" s="39" t="str">
        <x:v>1. 接待引导旅客 2. 处理航班异常 3. 提供问询服务 4. 协助值机手续 5. 协调特殊需求 6. 维护现场秩序</x:v>
      </x:c>
    </x:row>
    <x:row r="340" ht="52" customHeight="1">
      <x:c r="A340" s="42" t="n">
        <x:v>135</x:v>
      </x:c>
      <x:c r="B340" s="39" t="str">
        <x:v>机场代表</x:v>
      </x:c>
      <x:c r="C340" s="39" t="str">
        <x:v>条件合并（先修分类）</x:v>
      </x:c>
      <x:c r="D340" s="39" t="str">
        <x:v>机场代表</x:v>
      </x:c>
      <x:c r="E340" s="42" t="n">
        <x:v>1218</x:v>
      </x:c>
      <x:c r="F340" s="39" t="str">
        <x:v>IC-L3-1369</x:v>
      </x:c>
      <x:c r="G340" s="42" t="n">
        <x:v>1369</x:v>
      </x:c>
      <x:c r="H340" s="39" t="str">
        <x:v>酒店/旅游 &gt; 旅游 &gt; 机场代表</x:v>
      </x:c>
      <x:c r="I340" s="39" t="str">
        <x:v>4-07-01-01</x:v>
      </x:c>
      <x:c r="J340" s="39" t="str">
        <x:v>租赁业务员</x:v>
      </x:c>
      <x:c r="K340" s="39" t="str">
        <x:v>机场代表是酒店与旅游业中不可或缺的角色之一，负责在机场迎接客户，确保他们的旅行体验从一开始就充满愉悦。作为公司形象的第一窗口，机场代表不仅代表着公司的专业形象，还直接影响着客户对品牌的初步印象和后续合作意愿。通过高效的服务和解决问题的能力，机场代表能够增强客户忠诚度，促进公司业务的持续增长。此外，该职位还需与其他部门紧密合作，如客户服务、销售团队等，以提供无…</x:v>
      </x:c>
      <x:c r="L340" s="39" t="str">
        <x:v>1. 在机场接待来自不同国家和地区的客人，热情地介绍公司服务项目及特色，确保每位顾客都能获得个性化的欢迎体验。 2. 及时响应旅客的需求和疑问，协助解决行李托运、航班延误等问题，保障旅客顺利到达目的地或入住酒店。 3. 收集并记录客户的反馈意见，定期向管理层汇报，为改进服务质量提供依据。 4. 与酒店预订、交通运输等相关单位保持良好沟通，协调资源，优化客户旅…</x:v>
      </x:c>
    </x:row>
    <x:row r="341" ht="52" customHeight="1">
      <x:c r="A341" s="42" t="n">
        <x:v>136</x:v>
      </x:c>
      <x:c r="B341" s="39" t="str">
        <x:v>机电工程师</x:v>
      </x:c>
      <x:c r="C341" s="39" t="str">
        <x:v>条件合并（先修分类）</x:v>
      </x:c>
      <x:c r="D341" s="39" t="str">
        <x:v>机电工程师</x:v>
      </x:c>
      <x:c r="E341" s="42" t="n">
        <x:v>427</x:v>
      </x:c>
      <x:c r="F341" s="39" t="str">
        <x:v>IC-L3-578</x:v>
      </x:c>
      <x:c r="G341" s="42" t="n">
        <x:v>578</x:v>
      </x:c>
      <x:c r="H341" s="39" t="str">
        <x:v>建筑/房地产 &gt; 建筑/装修工人 &gt; 机电工程师</x:v>
      </x:c>
      <x:c r="I341" s="39" t="str">
        <x:v>6-29-01-01</x:v>
      </x:c>
      <x:c r="J341" s="39" t="str">
        <x:v>砌筑工</x:v>
      </x:c>
      <x:c r="K341" s="39" t="str">
        <x:v>机电工程师是专门从事建筑机电系统设计、安装与维护的专业人员。该职位的核心目标是通过优化机电系统性能，确保建筑设施安全高效运行。在日常工作中，需要进行机电图纸审核、施工方案制定、设备调试及现场技术指导等工作。</x:v>
      </x:c>
      <x:c r="L341" s="39" t="str">
        <x:v>1. 设计机电施工图纸 2. 安装调试机电设备 3. 维护修理电气系统 4. 检查管道安装质量 5. 编制技术方案文档 6. 培训施工人员技能</x:v>
      </x:c>
    </x:row>
    <x:row r="342" ht="52" customHeight="1">
      <x:c r="A342" s="42" t="n">
        <x:v>136</x:v>
      </x:c>
      <x:c r="B342" s="39" t="str">
        <x:v>机电工程师</x:v>
      </x:c>
      <x:c r="C342" s="39" t="str">
        <x:v>条件合并（先修分类）</x:v>
      </x:c>
      <x:c r="D342" s="39" t="str">
        <x:v>机电工程师</x:v>
      </x:c>
      <x:c r="E342" s="42" t="n">
        <x:v>643</x:v>
      </x:c>
      <x:c r="F342" s="39" t="str">
        <x:v>IC-L3-794</x:v>
      </x:c>
      <x:c r="G342" s="42" t="n">
        <x:v>794</x:v>
      </x:c>
      <x:c r="H342" s="39" t="str">
        <x:v>生产制造 &gt; 工程/机械 &gt; 机电工程师</x:v>
      </x:c>
      <x:c r="I342" s="39" t="str">
        <x:v>2-02-07-01</x:v>
      </x:c>
      <x:c r="J342" s="39" t="str">
        <x:v>机械设计工程技术人员</x:v>
      </x:c>
      <x:c r="K342" s="39" t="str">
        <x:v>机电工程师在生产制造行业中扮演着至关重要的角色，负责确保生产线上的机械设备高效运行，是连接电气与机械技术的关键桥梁。通过优化设备性能，减少停机时间，提高生产效率，机电工程师对于企业的成本控制和产品质量提升具有不可替代的作用。此外，机电工程师还需与其他部门紧密合作，如研发、采购和生产团队，共同解决技术难题，推动项目进展，同时也为个人职业发展提供了广阔的空间，有…</x:v>
      </x:c>
      <x:c r="L342" s="39" t="str">
        <x:v>1. 负责设计、安装、调试及维护生产线上的机电一体化设备，确保其正常运转并满足生产工艺要求。 2. 定期检查生产设备的安全性能，及时发现潜在故障点，制定预防措施，降低事故风险，保障员工安全。 3. 分析生产过程中的技术问题，提出改进建议，实施技术改造方案，持续提高设备自动化水平和生产效率。 4. 与供应商沟通协调，评估新设备的适用性，参与引进先进技术和设备的…</x:v>
      </x:c>
    </x:row>
    <x:row r="343" ht="52" customHeight="1">
      <x:c r="A343" s="42" t="n">
        <x:v>137</x:v>
      </x:c>
      <x:c r="B343" s="39" t="str">
        <x:v>机构业务销售</x:v>
      </x:c>
      <x:c r="C343" s="39" t="str">
        <x:v>可直接合并</x:v>
      </x:c>
      <x:c r="D343" s="39" t="str">
        <x:v>机构业务销售</x:v>
      </x:c>
      <x:c r="E343" s="42" t="n">
        <x:v>254</x:v>
      </x:c>
      <x:c r="F343" s="39" t="str">
        <x:v>IC-L3-405</x:v>
      </x:c>
      <x:c r="G343" s="42" t="n">
        <x:v>405</x:v>
      </x:c>
      <x:c r="H343" s="39" t="str">
        <x:v>销售/客服 &gt; 金融销售 &gt; 机构业务销售</x:v>
      </x:c>
      <x:c r="I343" s="39" t="str">
        <x:v>4-01-02-01</x:v>
      </x:c>
      <x:c r="J343" s="39" t="str">
        <x:v>营销员</x:v>
      </x:c>
      <x:c r="K343" s="39" t="str">
        <x:v>机构业务销售是金融行业中不可或缺的关键角色，负责与各类金融机构建立并维护良好的合作关系，通过提供专业的金融服务解决方案，推动公司业务的持续增长。作为公司与市场之间的桥梁，该职位的核心目标在于深入了解客户需求，精准匹配公司产品或服务，实现销售业绩的稳步提升，同时增强公司在行业内的竞争力和品牌影响力。在团队协作方面，机构业务销售需要与内部的产品开发、客户服务和技…</x:v>
      </x:c>
      <x:c r="L343" s="39" t="str">
        <x:v>1. 开发新客户资源，维护现有客户关系，定期拜访重要客户，了解其需求变化，提供定制化的金融产品和服务方案，以提高客户满意度和忠诚度。 2. 分析市场动态，收集竞争对手信息，结合公司战略制定有效的销售策略，完成年度销售任务指标。 3. 参与项目投标工作，撰写投标文件，参与商务谈判，确保合同签订过程顺利进行。 4. 协调跨部门资源，确保销售流程顺畅，解决客户在使…</x:v>
      </x:c>
    </x:row>
    <x:row r="344" ht="52" customHeight="1">
      <x:c r="A344" s="42" t="n">
        <x:v>137</x:v>
      </x:c>
      <x:c r="B344" s="39" t="str">
        <x:v>机构业务销售</x:v>
      </x:c>
      <x:c r="C344" s="39" t="str">
        <x:v>可直接合并</x:v>
      </x:c>
      <x:c r="D344" s="39" t="str">
        <x:v>机构业务销售</x:v>
      </x:c>
      <x:c r="E344" s="42" t="n">
        <x:v>1291</x:v>
      </x:c>
      <x:c r="F344" s="39" t="str">
        <x:v>IC-L3-1442</x:v>
      </x:c>
      <x:c r="G344" s="42" t="n">
        <x:v>1442</x:v>
      </x:c>
      <x:c r="H344" s="39" t="str">
        <x:v>金融 &gt; 金融 &gt; 机构业务销售</x:v>
      </x:c>
      <x:c r="I344" s="39" t="str">
        <x:v>4-01-02-01</x:v>
      </x:c>
      <x:c r="J344" s="39" t="str">
        <x:v>营销员</x:v>
      </x:c>
      <x:c r="K344" s="39" t="str">
        <x:v>机构业务销售是金融行业中不可或缺的角色之一，主要负责与各类金融机构建立并维护良好的合作关系，通过提供专业的金融服务和解决方案来满足客户的需求。这一职位在推动公司业务增长、扩大市场份额方面发挥着至关重要的作用，是连接公司产品与市场需求之间的桥梁。 作为机构业务销售，您的核心目标是识别潜在客户，制定有效的营销策略以促进金融产品的销售，同时确保客户满意度，从而为公…</x:v>
      </x:c>
      <x:c r="L344" s="39" t="str">
        <x:v>1. 负责开拓新客户资源，挖掘潜在客户需求，完成年度销售任务。 2. 定期拜访重点客户，了解其业务发展状况，及时反馈市场信息，提出合理化建议。 3. 协调内部资源，配合产品和技术团队为客户提供全方位的服务支持，解决客户遇到的问题。 4. 参与制定并执行公司销售政策及推广计划，组织各类营销活动。 5. 对所辖区域内竞争对手情况进行分析研究，调整销售策略，确保公…</x:v>
      </x:c>
    </x:row>
    <x:row r="345" ht="52" customHeight="1">
      <x:c r="A345" s="42" t="n">
        <x:v>138</x:v>
      </x:c>
      <x:c r="B345" s="39" t="str">
        <x:v>机器人调试工程师</x:v>
      </x:c>
      <x:c r="C345" s="39" t="str">
        <x:v>条件合并（先修分类）</x:v>
      </x:c>
      <x:c r="D345" s="39" t="str">
        <x:v>机器人调试工程师</x:v>
      </x:c>
      <x:c r="E345" s="42" t="n">
        <x:v>664</x:v>
      </x:c>
      <x:c r="F345" s="39" t="str">
        <x:v>IC-L3-815</x:v>
      </x:c>
      <x:c r="G345" s="42" t="n">
        <x:v>815</x:v>
      </x:c>
      <x:c r="H345" s="39" t="str">
        <x:v>生产制造 &gt; 工程/机械 &gt; 机器人调试工程师</x:v>
      </x:c>
      <x:c r="I345" s="39" t="str">
        <x:v>2-02-07-01</x:v>
      </x:c>
      <x:c r="J345" s="39" t="str">
        <x:v>机械设计工程技术人员</x:v>
      </x:c>
      <x:c r="K345" s="39" t="str">
        <x:v>机器人调试工程师是专门从事工业机器人系统调试与优化的专业人员。该职位的核心目标是通过精准调试机器人运行参数，确保设备高效稳定运行。在日常工作中，需要进行机器人程序编写、现场调试、故障诊断及性能优化等工作。</x:v>
      </x:c>
      <x:c r="L345" s="39" t="str">
        <x:v>1. 调试机器人系统 2. 优化运行参数 3. 分析故障原因 4. 编写调试报告 5. 维护设备性能 6. 培训操作人员</x:v>
      </x:c>
    </x:row>
    <x:row r="346" ht="52" customHeight="1">
      <x:c r="A346" s="42" t="n">
        <x:v>138</x:v>
      </x:c>
      <x:c r="B346" s="39" t="str">
        <x:v>机器人调试工程师</x:v>
      </x:c>
      <x:c r="C346" s="39" t="str">
        <x:v>条件合并（先修分类）</x:v>
      </x:c>
      <x:c r="D346" s="39" t="str">
        <x:v>机器人调试工程师</x:v>
      </x:c>
      <x:c r="E346" s="42" t="n">
        <x:v>1158</x:v>
      </x:c>
      <x:c r="F346" s="39" t="str">
        <x:v>IC-L3-1309</x:v>
      </x:c>
      <x:c r="G346" s="42" t="n">
        <x:v>1309</x:v>
      </x:c>
      <x:c r="H346" s="39" t="str">
        <x:v>通信/电子 &gt; 电子/电器/仪器仪表 &gt; 机器人调试工程师</x:v>
      </x:c>
      <x:c r="I346" s="39" t="str">
        <x:v>2-02-09-02</x:v>
      </x:c>
      <x:c r="J346" s="39" t="str">
        <x:v>电子元器件工程技术人员</x:v>
      </x:c>
      <x:c r="K346" s="39" t="str">
        <x:v>机器人调试工程师是通信/电子行业中不可或缺的专业人才，主要负责自动化设备的安装、测试与维护工作。这一角色不仅需要具备扎实的电子技术基础，还要求对机械结构有一定的了解，以确保机器人系统的稳定运行和高效作业。在现代制造业中，随着智能化生产的推进，机器人调试工程师的重要性日益凸显，成为推动产业升级的关键力量。 该职位的核心目标在于通过精确调试和优化控制算法，确保机…</x:v>
      </x:c>
      <x:c r="L346" s="39" t="str">
        <x:v>1. 负责机器人系统的设计、组装、编程与调试工作，确保其功能符合设计要求。 2. 对出现故障的机器人进行诊断和维修，快速恢复设备正常运作，保证生产线的连续性。 3. 定期对机器人进行维护保养，预防潜在问题的发生，延长设备使用寿命。 4. 参与新产品开发过程中的技术评审会议，提出改进建议，协助完成原型机的搭建与测试。 5. 编写详细的调试报告和技术文档，记录调…</x:v>
      </x:c>
    </x:row>
    <x:row r="347" ht="52" customHeight="1">
      <x:c r="A347" s="42" t="n">
        <x:v>139</x:v>
      </x:c>
      <x:c r="B347" s="39" t="str">
        <x:v>机械设计</x:v>
      </x:c>
      <x:c r="C347" s="39" t="str">
        <x:v>可直接合并</x:v>
      </x:c>
      <x:c r="D347" s="39" t="str">
        <x:v>机械设计</x:v>
      </x:c>
      <x:c r="E347" s="42" t="n">
        <x:v>641</x:v>
      </x:c>
      <x:c r="F347" s="39" t="str">
        <x:v>IC-L3-792</x:v>
      </x:c>
      <x:c r="G347" s="42" t="n">
        <x:v>792</x:v>
      </x:c>
      <x:c r="H347" s="39" t="str">
        <x:v>生产制造 &gt; 工程/机械 &gt; 机械设计</x:v>
      </x:c>
      <x:c r="I347" s="39" t="str">
        <x:v>2-02-07-01</x:v>
      </x:c>
      <x:c r="J347" s="39" t="str">
        <x:v>机械设计工程技术人员</x:v>
      </x:c>
      <x:c r="K347" s="39" t="str">
        <x:v>机械设计师是生产制造行业中不可或缺的角色，他们通过创新的设计和优化的解决方案，确保产品的高效生产和性能稳定。机械设计师不仅负责产品从概念到生产的全过程设计，还肩负着提升产品竞争力和市场适应性的重任，是连接技术与市场的桥梁。在团队合作中，机械设计师需要与项目管理、制造工程以及销售部门紧密合作，共同推进项目的顺利实施；同时，随着技术的不断进步，该职位的发展空间广…</x:v>
      </x:c>
      <x:c r="L347" s="39" t="str">
        <x:v>1. 负责新产品的机械结构设计及改进现有产品的结构，确保设计符合功能要求并具有成本效益。 2. 利用CAD软件进行详细图纸绘制，确保所有技术参数准确无误，满足生产工艺标准。 3. 参与产品开发流程，与跨职能团队成员沟通协调，解决设计过程中遇到的技术难题。 4. 对设计方案进行可行性分析，评估材料选择、加工工艺等因素的影响，以提高产品质量和可靠性。 5. 定期…</x:v>
      </x:c>
    </x:row>
    <x:row r="348" ht="52" customHeight="1">
      <x:c r="A348" s="42" t="n">
        <x:v>139</x:v>
      </x:c>
      <x:c r="B348" s="39" t="str">
        <x:v>机械设计</x:v>
      </x:c>
      <x:c r="C348" s="39" t="str">
        <x:v>可直接合并</x:v>
      </x:c>
      <x:c r="D348" s="39" t="str">
        <x:v>机械设计</x:v>
      </x:c>
      <x:c r="E348" s="42" t="n">
        <x:v>979</x:v>
      </x:c>
      <x:c r="F348" s="39" t="str">
        <x:v>IC-L3-1130</x:v>
      </x:c>
      <x:c r="G348" s="42" t="n">
        <x:v>1130</x:v>
      </x:c>
      <x:c r="H348" s="39" t="str">
        <x:v>设计 &gt; 工业设计 &gt; 机械设计</x:v>
      </x:c>
      <x:c r="I348" s="39" t="str">
        <x:v>2-02-07-01</x:v>
      </x:c>
      <x:c r="J348" s="39" t="str">
        <x:v>机械设计工程技术人员</x:v>
      </x:c>
      <x:c r="K348" s="39" t="str">
        <x:v>机械设计是专门从事工业产品机械结构研发的专业人员。该职位的核心目标是通过创新设计和工程技术，实现产品功能优化与制造可行性。在日常工作中，需要进行三维建模、结构分析、材料选型、图纸绘制及技术文档编写等工作。</x:v>
      </x:c>
      <x:c r="L348" s="39" t="str">
        <x:v>1. 设计机械结构方案 2. 绘制工程图纸 3. 进行强度计算分析 4. 选型标准零部件 5. 优化产品设计方案 6. 解决生产设计问题</x:v>
      </x:c>
    </x:row>
    <x:row r="349" ht="52" customHeight="1">
      <x:c r="A349" s="42" t="n">
        <x:v>140</x:v>
      </x:c>
      <x:c r="B349" s="39" t="str">
        <x:v>基金经理</x:v>
      </x:c>
      <x:c r="C349" s="39" t="str">
        <x:v>可直接合并</x:v>
      </x:c>
      <x:c r="D349" s="39" t="str">
        <x:v>基金经理</x:v>
      </x:c>
      <x:c r="E349" s="42" t="n">
        <x:v>1277</x:v>
      </x:c>
      <x:c r="F349" s="39" t="str">
        <x:v>IC-L3-1428</x:v>
      </x:c>
      <x:c r="G349" s="42" t="n">
        <x:v>1428</x:v>
      </x:c>
      <x:c r="H349" s="39" t="str">
        <x:v>金融 &gt; 期货 &gt; 基金经理</x:v>
      </x:c>
      <x:c r="I349" s="39" t="str">
        <x:v>2-06-11-02</x:v>
      </x:c>
      <x:c r="J349" s="39" t="str">
        <x:v>证券交易专业人员</x:v>
      </x:c>
      <x:c r="K349" s="39" t="str">
        <x:v>基金经理是专门从事期货投资管理的专业人员。该职位的核心目标是通过构建并优化投资组合，实现客户资产保值增值。在日常工作中，需要进行市场趋势分析、投资策略制定、风险控制管理以及投资绩效评估等工作。</x:v>
      </x:c>
      <x:c r="L349" s="39" t="str">
        <x:v>1. 制定投资策略 2. 管理期货资产组合 3. 监控市场风险 4. 执行交易指令 5. 分析市场数据 6. 编制投资报告</x:v>
      </x:c>
    </x:row>
    <x:row r="350" ht="52" customHeight="1">
      <x:c r="A350" s="42" t="n">
        <x:v>140</x:v>
      </x:c>
      <x:c r="B350" s="39" t="str">
        <x:v>基金经理</x:v>
      </x:c>
      <x:c r="C350" s="39" t="str">
        <x:v>可直接合并</x:v>
      </x:c>
      <x:c r="D350" s="39" t="str">
        <x:v>基金经理</x:v>
      </x:c>
      <x:c r="E350" s="42" t="n">
        <x:v>1278</x:v>
      </x:c>
      <x:c r="F350" s="39" t="str">
        <x:v>IC-L3-1429</x:v>
      </x:c>
      <x:c r="G350" s="42" t="n">
        <x:v>1429</x:v>
      </x:c>
      <x:c r="H350" s="39" t="str">
        <x:v>金融 &gt; 证券 &gt; 基金经理</x:v>
      </x:c>
      <x:c r="I350" s="39" t="str">
        <x:v>2-06-11-02</x:v>
      </x:c>
      <x:c r="J350" s="39" t="str">
        <x:v>证券交易专业人员</x:v>
      </x:c>
      <x:c r="K350" s="39" t="str">
        <x:v>基金经理是证券行业中至关重要的人物，他们负责管理投资组合，以实现投资者的财务目标。作为资本市场的关键参与者，基金经理不仅影响着资金的流向，还对市场稳定与经济发展起着不可忽视的作用。 基金经理的核心目标在于通过深入分析市场趋势、宏观经济环境及企业基本面，制定并执行有效的投资策略，以期获得超越市场平均水平的投资回报。他们对于公司而言，不仅是资产管理的专家，更是创…</x:v>
      </x:c>
      <x:c r="L350" s="39" t="str">
        <x:v>1. 负责基金产品的日常管理和运作，包括但不限于资产配置、交易执行等，旨在实现基金资产的保值增值。 2. 定期进行市场调研，结合宏观经济形势和行业动态，调整投资组合，降低风险，提高收益。 3. 与研究团队密切沟通，获取最新的市场信息和投资建议，为投资决策提供依据。 4. 对所管理的基金产品定期出具报告，向投资者汇报业绩情况，解答客户疑问，维护良好的客户关系。…</x:v>
      </x:c>
    </x:row>
    <x:row r="351" ht="52" customHeight="1">
      <x:c r="A351" s="42" t="n">
        <x:v>141</x:v>
      </x:c>
      <x:c r="B351" s="39" t="str">
        <x:v>家教</x:v>
      </x:c>
      <x:c r="C351" s="39" t="str">
        <x:v>可直接合并</x:v>
      </x:c>
      <x:c r="D351" s="39" t="str">
        <x:v>家教</x:v>
      </x:c>
      <x:c r="E351" s="42" t="n">
        <x:v>877</x:v>
      </x:c>
      <x:c r="F351" s="39" t="str">
        <x:v>IC-L3-1028</x:v>
      </x:c>
      <x:c r="G351" s="42" t="n">
        <x:v>1028</x:v>
      </x:c>
      <x:c r="H351" s="39" t="str">
        <x:v>科研/教育/培训 &gt; 教师 &gt; 家教</x:v>
      </x:c>
      <x:c r="I351" s="39" t="str">
        <x:v>2-08-03-00</x:v>
      </x:c>
      <x:c r="J351" s="39" t="str">
        <x:v>幼儿园教师</x:v>
      </x:c>
      <x:c r="K351" s="39" t="str">
        <x:v>在家教这一职位上，个人将扮演着学生学习道路上的重要指导者和支持者的角色。随着社会对教育质量要求的提高，家教不仅能够帮助学生巩固课堂知识，还能激发他们的学习兴趣，培养良好的学习习惯，是现代教育体系中不可或缺的一部分。 家教的主要目标是通过一对一或小班授课的形式，针对学生的薄弱环节进行个性化辅导，帮助他们克服学习障碍，提升成绩。此外，优秀的家教还能够与家长密切沟…</x:v>
      </x:c>
      <x:c r="L351" s="39" t="str">
        <x:v>1. 根据学生具体情况制定个性化的教学方案，涵盖知识点梳理、解题技巧训练等内容，旨在提高学生的学习效率和成绩。 2. 定期与学生及家长进行沟通，反馈学习进展，调整教学策略，确保教学活动符合家庭期望。 3. 利用专业知识解答学生疑问，帮助其建立正确的学习态度，培养自主学习能力。 4. 关注教育领域最新动态，不断更新自己的教学方法和资料，保证教学质量始终处于行业…</x:v>
      </x:c>
    </x:row>
    <x:row r="352" ht="52" customHeight="1">
      <x:c r="A352" s="42" t="n">
        <x:v>141</x:v>
      </x:c>
      <x:c r="B352" s="39" t="str">
        <x:v>家教</x:v>
      </x:c>
      <x:c r="C352" s="39" t="str">
        <x:v>可直接合并</x:v>
      </x:c>
      <x:c r="D352" s="39" t="str">
        <x:v>家教</x:v>
      </x:c>
      <x:c r="E352" s="42" t="n">
        <x:v>915</x:v>
      </x:c>
      <x:c r="F352" s="39" t="str">
        <x:v>IC-L3-1066</x:v>
      </x:c>
      <x:c r="G352" s="42" t="n">
        <x:v>1066</x:v>
      </x:c>
      <x:c r="H352" s="39" t="str">
        <x:v>科研/教育/培训 &gt; 特长教育/培训 &gt; 家教</x:v>
      </x:c>
      <x:c r="I352" s="39" t="str">
        <x:v>2-08-03-00</x:v>
      </x:c>
      <x:c r="J352" s="39" t="str">
        <x:v>幼儿园教师</x:v>
      </x:c>
      <x:c r="K352" s="39" t="str">
        <x:v>家教是专门从事个性化学科辅导的专业人员。该职位的核心目标是通过定制化教学方案，帮助学生提升学业成绩和培养学习能力。在日常工作中，需要进行课程设计、知识点讲解、作业辅导以及学习进度跟踪等工作。</x:v>
      </x:c>
      <x:c r="L352" s="39" t="str">
        <x:v>1. 制定教学计划 2. 个性化辅导学生 3. 评估学习效果 4. 培养特长技能 5. 激发学习兴趣 6. 沟通家长反馈</x:v>
      </x:c>
    </x:row>
    <x:row r="353" ht="52" customHeight="1">
      <x:c r="A353" s="42" t="n">
        <x:v>142</x:v>
      </x:c>
      <x:c r="B353" s="39" t="str">
        <x:v>家具设计</x:v>
      </x:c>
      <x:c r="C353" s="39" t="str">
        <x:v>可直接合并</x:v>
      </x:c>
      <x:c r="D353" s="39" t="str">
        <x:v>家具设计</x:v>
      </x:c>
      <x:c r="E353" s="42" t="n">
        <x:v>970</x:v>
      </x:c>
      <x:c r="F353" s="39" t="str">
        <x:v>IC-L3-1121</x:v>
      </x:c>
      <x:c r="G353" s="42" t="n">
        <x:v>1121</x:v>
      </x:c>
      <x:c r="H353" s="39" t="str">
        <x:v>设计 &gt; 工业设计 &gt; 家具设计</x:v>
      </x:c>
      <x:c r="I353" s="39" t="str">
        <x:v>2-09-06-01</x:v>
      </x:c>
      <x:c r="J353" s="39" t="str">
        <x:v>视觉传达设计人员</x:v>
      </x:c>
      <x:c r="K353" s="39" t="str">
        <x:v>家具设计师在设计行业中扮演着至关重要的角色，他们是连接美学与功能性的桥梁，负责创造既美观又实用的家居产品。通过深入研究市场趋势、消费者需求以及技术进步，家具设计师能够开发出满足多样化生活方式的产品，为企业带来独特的竞争优势。此外，家具设计师还需要与其他部门紧密合作，如工程、营销和制造等，以确保设计方案的可实施性和商业成功。随着公司业务的扩展和个人技能的提升，…</x:v>
      </x:c>
      <x:c r="L353" s="39" t="str">
        <x:v>1. 负责收集并分析市场信息及用户反馈，结合公司品牌定位进行创意构思，制定符合市场需求的新产品设计方案。 2. 与工程师沟通协调，确保设计图纸准确无误地转化为实际样品，并解决生产过程中出现的设计相关问题。 3. 参与跨部门会议，向销售、采购等部门介绍新产品的设计理念和特色，协助制定推广策略。 4. 定期参加国内外设计展览和研讨会，了解最新设计理念和技术，持续…</x:v>
      </x:c>
    </x:row>
    <x:row r="354" ht="52" customHeight="1">
      <x:c r="A354" s="42" t="n">
        <x:v>142</x:v>
      </x:c>
      <x:c r="B354" s="39" t="str">
        <x:v>家具设计</x:v>
      </x:c>
      <x:c r="C354" s="39" t="str">
        <x:v>可直接合并</x:v>
      </x:c>
      <x:c r="D354" s="39" t="str">
        <x:v>家具设计</x:v>
      </x:c>
      <x:c r="E354" s="42" t="n">
        <x:v>1015</x:v>
      </x:c>
      <x:c r="F354" s="39" t="str">
        <x:v>IC-L3-1166</x:v>
      </x:c>
      <x:c r="G354" s="42" t="n">
        <x:v>1166</x:v>
      </x:c>
      <x:c r="H354" s="39" t="str">
        <x:v>设计 &gt; 建筑/室内设计 &gt; 家具设计</x:v>
      </x:c>
      <x:c r="I354" s="39" t="str">
        <x:v>2-09-06-01</x:v>
      </x:c>
      <x:c r="J354" s="39" t="str">
        <x:v>视觉传达设计人员</x:v>
      </x:c>
      <x:c r="K354" s="39" t="str">
        <x:v>家具设计是专门从事家具创意与功能开发的专业人员。该职位的核心目标是通过创新设计满足空间功能与美学需求，提升室内环境品质。在日常工作中，需要进行市场调研、概念设计、3D建模、材料选配及设计图纸绘制等工作。</x:v>
      </x:c>
      <x:c r="L354" s="39" t="str">
        <x:v>1. 设计家具产品方案 2. 绘制设计图纸效果图 3. 选择材料与配色方案 4. 跟进样品制作过程 5. 参与项目方案讨论 6. 优化产品使用体验</x:v>
      </x:c>
    </x:row>
    <x:row r="355" ht="52" customHeight="1">
      <x:c r="A355" s="42" t="n">
        <x:v>143</x:v>
      </x:c>
      <x:c r="B355" s="39" t="str">
        <x:v>建筑工程管理/项目经理</x:v>
      </x:c>
      <x:c r="C355" s="39" t="str">
        <x:v>条件合并（先修分类）</x:v>
      </x:c>
      <x:c r="D355" s="39" t="str">
        <x:v>建筑工程管理/项目经理</x:v>
      </x:c>
      <x:c r="E355" s="42" t="n">
        <x:v>437</x:v>
      </x:c>
      <x:c r="F355" s="39" t="str">
        <x:v>IC-L3-588</x:v>
      </x:c>
      <x:c r="G355" s="42" t="n">
        <x:v>588</x:v>
      </x:c>
      <x:c r="H355" s="39" t="str">
        <x:v>建筑/房地产 &gt; 建筑工程 &gt; 建筑工程管理/项目经理</x:v>
      </x:c>
      <x:c r="I355" s="39" t="str">
        <x:v>2-02-18-01</x:v>
      </x:c>
      <x:c r="J355" s="39" t="str">
        <x:v>建筑和市政设计工程技术人员</x:v>
      </x:c>
      <x:c r="K355" s="39" t="str">
        <x:v>建筑工程管理/项目经理是建筑/房地产行业中至关重要的角色，负责确保项目从设计阶段到竣工交付的全过程顺利进行。作为项目的核心领导者，他们不仅需要具备扎实的专业知识和技能，还需要拥有出色的沟通协调能力，以应对项目实施过程中可能出现的各种挑战。 该职位的核心目标在于通过高效地管理资源、控制成本和保证质量，实现项目的按时按质完成，从而为公司创造良好的经济效益和社会声…</x:v>
      </x:c>
      <x:c r="L355" s="39" t="str">
        <x:v>1. 负责制定并执行详细的项目计划，包括时间表、预算分配、资源配置等，确保项目目标的达成。 2. 监控项目进度，及时调整策略以应对潜在风险，保证项目按预定计划顺利推进。 3. 协调内外部资源，组织召开定期会议，维护良好合作关系，解决项目执行中出现的问题。 4. 对施工现场进行全面监督，确保工程质量符合国家相关标准及客户要求。 5. 完成项目验收工作，整理归档…</x:v>
      </x:c>
    </x:row>
    <x:row r="356" ht="52" customHeight="1">
      <x:c r="A356" s="42" t="n">
        <x:v>143</x:v>
      </x:c>
      <x:c r="B356" s="39" t="str">
        <x:v>建筑工程管理/项目经理</x:v>
      </x:c>
      <x:c r="C356" s="39" t="str">
        <x:v>条件合并（先修分类）</x:v>
      </x:c>
      <x:c r="D356" s="39" t="str">
        <x:v>建筑工程管理/项目经理</x:v>
      </x:c>
      <x:c r="E356" s="42" t="n">
        <x:v>1321</x:v>
      </x:c>
      <x:c r="F356" s="39" t="str">
        <x:v>IC-L3-1472</x:v>
      </x:c>
      <x:c r="G356" s="42" t="n">
        <x:v>1472</x:v>
      </x:c>
      <x:c r="H356" s="39" t="str">
        <x:v>项目经理/管理 &gt; 项目经理/管理 &gt; 建筑工程管理/项目经理</x:v>
      </x:c>
      <x:c r="I356" s="39" t="str">
        <x:v>2-02-30-04</x:v>
      </x:c>
      <x:c r="J356" s="39" t="str">
        <x:v>项目管理工程技术人员</x:v>
      </x:c>
      <x:c r="K356" s="39" t="str">
        <x:v>建筑工程管理/项目经理在建筑行业中扮演着至关重要的角色，他们不仅负责确保项目从设计阶段到竣工验收的顺利进行，还需确保项目的成本效益与时间表符合预期。作为连接业主、设计师、承包商等多方的关键桥梁，项目经理的专业能力直接关系到项目的成功与否。 该职位的核心目标在于通过高效地计划、组织、领导及控制整个施工过程，以实现高质量、低成本、按时完成建筑工程项目的目标。项目…</x:v>
      </x:c>
      <x:c r="L356" s="39" t="str">
        <x:v>1. 负责编制并执行详细的项目进度计划，监控项目进展，确保按期交付。 2. 与设计单位沟通协调，确保设计方案满足客户需求的同时兼顾施工可行性。 3. 对施工现场进行全面管理，监督工程质量、安全文明施工情况，预防事故的发生。 4. 控制项目成本，合理调配资源，确保项目经济效益最大化。 5. 定期向公司高层汇报项目进展情况，及时反馈问题并提出解决方案。</x:v>
      </x:c>
    </x:row>
    <x:row r="357" ht="52" customHeight="1">
      <x:c r="A357" s="42" t="n">
        <x:v>144</x:v>
      </x:c>
      <x:c r="B357" s="39" t="str">
        <x:v>建筑机电设计</x:v>
      </x:c>
      <x:c r="C357" s="39" t="str">
        <x:v>条件合并（先修分类）</x:v>
      </x:c>
      <x:c r="D357" s="39" t="str">
        <x:v>建筑机电设计</x:v>
      </x:c>
      <x:c r="E357" s="42" t="n">
        <x:v>465</x:v>
      </x:c>
      <x:c r="F357" s="39" t="str">
        <x:v>IC-L3-616</x:v>
      </x:c>
      <x:c r="G357" s="42" t="n">
        <x:v>616</x:v>
      </x:c>
      <x:c r="H357" s="39" t="str">
        <x:v>建筑/房地产 &gt; 建筑规划与设计 &gt; 建筑机电设计</x:v>
      </x:c>
      <x:c r="I357" s="39" t="str">
        <x:v>2-02-18-01</x:v>
      </x:c>
      <x:c r="J357" s="39" t="str">
        <x:v>建筑和市政设计工程技术人员</x:v>
      </x:c>
      <x:c r="K357" s="39" t="str">
        <x:v>建筑机电设计是建筑/房地产行业中不可或缺的专业领域，其核心在于确保建筑物内部系统的高效运行与安全使用。作为建筑规划与设计的重要组成部分，建筑机电设计师负责将电气、暖通空调（HVAC）、给排水等系统融入建筑设计中，以满足功能性和舒适性的要求。通过精确的设计方案，他们不仅提升了建筑的整体性能，还为项目节省了成本，增强了市场竞争力。 该职位的核心目标是在遵守国家及…</x:v>
      </x:c>
      <x:c r="L357" s="39" t="str">
        <x:v>1. 负责建筑项目的电气、给排水、暖通空调等机电系统的初步设计和深化设计工作，确保设计方案符合国家及行业标准。 2. 与项目经理、建筑师、结构工程师等团队成员密切配合，及时解决设计阶段出现的技术问题，确保项目顺利推进。 3. 审核施工单位提交的机电安装图纸及相关技术文件，指导现场施工，监督工程质量，确保施工符合设计要求。 4. 参与项目招投标过程，编制技术标…</x:v>
      </x:c>
    </x:row>
    <x:row r="358" ht="52" customHeight="1">
      <x:c r="A358" s="42" t="n">
        <x:v>144</x:v>
      </x:c>
      <x:c r="B358" s="39" t="str">
        <x:v>建筑机电设计</x:v>
      </x:c>
      <x:c r="C358" s="39" t="str">
        <x:v>条件合并（先修分类）</x:v>
      </x:c>
      <x:c r="D358" s="39" t="str">
        <x:v>建筑机电设计</x:v>
      </x:c>
      <x:c r="E358" s="42" t="n">
        <x:v>1005</x:v>
      </x:c>
      <x:c r="F358" s="39" t="str">
        <x:v>IC-L3-1156</x:v>
      </x:c>
      <x:c r="G358" s="42" t="n">
        <x:v>1156</x:v>
      </x:c>
      <x:c r="H358" s="39" t="str">
        <x:v>设计 &gt; 建筑/室内设计 &gt; 建筑机电设计</x:v>
      </x:c>
      <x:c r="I358" s="39" t="str">
        <x:v>2-09-06-01</x:v>
      </x:c>
      <x:c r="J358" s="39" t="str">
        <x:v>视觉传达设计人员</x:v>
      </x:c>
      <x:c r="K358" s="39" t="str">
        <x:v>建筑机电设计是建筑设计领域中不可或缺的专业分支，它不仅确保了建筑物内部系统的高效运行，还直接关系到建筑的安全性与舒适度。作为建筑机电设计师，其核心目标在于通过科学合理的设计方案，优化建筑内的电气、暖通空调（HVAC）、给排水等系统，以实现节能减排、提升用户满意度及降低维护成本的效果，从而为公司创造更大的经济和社会效益。此外，该职位需要与建筑师、结构工程师等多…</x:v>
      </x:c>
      <x:c r="L358" s="39" t="str">
        <x:v>1. 负责建筑项目的电气、暖通空调（HVAC）、给排水等机电系统的设计工作，确保设计方案符合国家相关标准和规范要求。 2. 与项目团队密切沟通，参与项目初期的技术评估，提供专业的机电设计建议，协助确定最佳技术方案。 3. 制定详细的施工图纸和技术文件，指导现场施工人员正确安装和调试设备，确保工程质量达到预期标准。 4. 定期进行现场检查，监督施工进度，解决施…</x:v>
      </x:c>
    </x:row>
    <x:row r="359" ht="52" customHeight="1">
      <x:c r="A359" s="42" t="n">
        <x:v>145</x:v>
      </x:c>
      <x:c r="B359" s="39" t="str">
        <x:v>建筑结构设计</x:v>
      </x:c>
      <x:c r="C359" s="39" t="str">
        <x:v>条件合并（先修分类）</x:v>
      </x:c>
      <x:c r="D359" s="39" t="str">
        <x:v>建筑结构设计</x:v>
      </x:c>
      <x:c r="E359" s="42" t="n">
        <x:v>466</x:v>
      </x:c>
      <x:c r="F359" s="39" t="str">
        <x:v>IC-L3-617</x:v>
      </x:c>
      <x:c r="G359" s="42" t="n">
        <x:v>617</x:v>
      </x:c>
      <x:c r="H359" s="39" t="str">
        <x:v>建筑/房地产 &gt; 建筑规划与设计 &gt; 建筑结构设计</x:v>
      </x:c>
      <x:c r="I359" s="39" t="str">
        <x:v>2-02-18-01</x:v>
      </x:c>
      <x:c r="J359" s="39" t="str">
        <x:v>建筑和市政设计工程技术人员</x:v>
      </x:c>
      <x:c r="K359" s="39" t="str">
        <x:v>建筑结构设计师是建筑/房地产行业中不可或缺的专业人才，他们负责确保建筑物的安全性、稳定性和功能性，是连接建筑设计创意与实际施工的重要桥梁。通过精确计算和科学分析，建筑结构设计师能够为公司提供符合法规标准、经济高效的设计方案，不仅保障了项目的安全质量，还提升了公司的市场竞争力和品牌影响力。在工作中，建筑结构设计师需要与其他部门如建筑师、工程师及施工团队紧密合作…</x:v>
      </x:c>
      <x:c r="L359" s="39" t="str">
        <x:v>1. 负责建筑项目的结构设计工作，包括但不限于初步设计、深化设计及施工图绘制，确保设计方案满足安全规范要求。 2. 进行结构计算分析，评估不同材料和构造方式对结构性能的影响，提出优化建议以降低建造成本并提高结构效率。 3. 与项目团队成员密切沟通，参与设计方案评审会议，及时解决现场出现的技术问题，确保施工过程中的结构安全性。 4. 关注国内外最新的建筑结构技…</x:v>
      </x:c>
    </x:row>
    <x:row r="360" ht="52" customHeight="1">
      <x:c r="A360" s="42" t="n">
        <x:v>145</x:v>
      </x:c>
      <x:c r="B360" s="39" t="str">
        <x:v>建筑结构设计</x:v>
      </x:c>
      <x:c r="C360" s="39" t="str">
        <x:v>条件合并（先修分类）</x:v>
      </x:c>
      <x:c r="D360" s="39" t="str">
        <x:v>建筑结构设计</x:v>
      </x:c>
      <x:c r="E360" s="42" t="n">
        <x:v>1006</x:v>
      </x:c>
      <x:c r="F360" s="39" t="str">
        <x:v>IC-L3-1157</x:v>
      </x:c>
      <x:c r="G360" s="42" t="n">
        <x:v>1157</x:v>
      </x:c>
      <x:c r="H360" s="39" t="str">
        <x:v>设计 &gt; 建筑/室内设计 &gt; 建筑结构设计</x:v>
      </x:c>
      <x:c r="I360" s="39" t="str">
        <x:v>2-09-06-01</x:v>
      </x:c>
      <x:c r="J360" s="39" t="str">
        <x:v>视觉传达设计人员</x:v>
      </x:c>
      <x:c r="K360" s="39" t="str">
        <x:v>建筑结构设计师是建筑设计领域中不可或缺的专业人才，他们通过科学的设计方法和技术手段，确保建筑物的安全性、稳定性和美观性，是连接创意与实际建设的重要桥梁。该职位的核心目标在于通过精准的结构计算和材料选择，实现设计方案的可行性，同时优化成本控制，提高项目的经济效益，对公司的品牌形象和市场竞争力有着直接的影响。此外，建筑结构设计师还需要与建筑师、施工方以及客户紧密…</x:v>
      </x:c>
      <x:c r="L360" s="39" t="str">
        <x:v>1. 负责项目初期的结构方案设计，包括但不限于结构选型、荷载分析、抗震设防等，以确保设计方案既满足功能需求又符合国家规范标准。 2. 在项目实施阶段，提供详细的结构施工图纸及技术指导，及时解决现场出现的技术难题，保证工程质量和进度。 3. 与项目经理、建筑师及其他相关专业人员密切配合，参与项目各阶段的评审会议，提出合理化建议并协助优化整体设计方案。 4. 对…</x:v>
      </x:c>
    </x:row>
    <x:row r="361" ht="52" customHeight="1">
      <x:c r="A361" s="42" t="n">
        <x:v>146</x:v>
      </x:c>
      <x:c r="B361" s="39" t="str">
        <x:v>建筑设计师</x:v>
      </x:c>
      <x:c r="C361" s="39" t="str">
        <x:v>条件合并（先修分类）</x:v>
      </x:c>
      <x:c r="D361" s="39" t="str">
        <x:v>建筑设计师</x:v>
      </x:c>
      <x:c r="E361" s="42" t="n">
        <x:v>467</x:v>
      </x:c>
      <x:c r="F361" s="39" t="str">
        <x:v>IC-L3-618</x:v>
      </x:c>
      <x:c r="G361" s="42" t="n">
        <x:v>618</x:v>
      </x:c>
      <x:c r="H361" s="39" t="str">
        <x:v>建筑/房地产 &gt; 建筑规划与设计 &gt; 建筑设计师</x:v>
      </x:c>
      <x:c r="I361" s="39" t="str">
        <x:v>2-02-18-01</x:v>
      </x:c>
      <x:c r="J361" s="39" t="str">
        <x:v>建筑和市政设计工程技术人员</x:v>
      </x:c>
      <x:c r="K361" s="39" t="str">
        <x:v>建筑设计师是建筑/房地产行业中不可或缺的专业人才，他们负责将创意概念转化为实际可行的设计方案，确保建筑物既美观又实用。作为连接艺术与技术的桥梁，建筑设计师不仅塑造了我们生活的空间，还影响着城市的风貌和文化特色。 在公司内部，建筑设计师的主要目标是通过创新的设计理念和精湛的技术能力，提升项目的价值和竞争力。他们参与从初步概念设计到施工图绘制的全过程，确保设计方…</x:v>
      </x:c>
      <x:c r="L361" s="39" t="str">
        <x:v>1. 负责项目的整体设计工作，包括但不限于概念设计、方案深化、效果图制作及施工图绘制，确保设计方案符合客户需求并达到预期效果。 2. 与客户沟通交流，了解其需求和偏好，提供专业的设计建议和服务，协助客户做出最佳决策。 3. 参与项目投标过程，编写技术标书，准备相关图纸资料，支持销售团队完成项目签约。 4. 在项目实施阶段，定期到现场进行检查指导，确保施工质量…</x:v>
      </x:c>
    </x:row>
    <x:row r="362" ht="52" customHeight="1">
      <x:c r="A362" s="42" t="n">
        <x:v>146</x:v>
      </x:c>
      <x:c r="B362" s="39" t="str">
        <x:v>建筑设计师</x:v>
      </x:c>
      <x:c r="C362" s="39" t="str">
        <x:v>条件合并（先修分类）</x:v>
      </x:c>
      <x:c r="D362" s="39" t="str">
        <x:v>建筑设计师</x:v>
      </x:c>
      <x:c r="E362" s="42" t="n">
        <x:v>1007</x:v>
      </x:c>
      <x:c r="F362" s="39" t="str">
        <x:v>IC-L3-1158</x:v>
      </x:c>
      <x:c r="G362" s="42" t="n">
        <x:v>1158</x:v>
      </x:c>
      <x:c r="H362" s="39" t="str">
        <x:v>设计 &gt; 建筑/室内设计 &gt; 建筑设计师</x:v>
      </x:c>
      <x:c r="I362" s="39" t="str">
        <x:v>2-09-06-01</x:v>
      </x:c>
      <x:c r="J362" s="39" t="str">
        <x:v>视觉传达设计人员</x:v>
      </x:c>
      <x:c r="K362" s="39" t="str">
        <x:v>建筑设计师是建筑设计领域中不可或缺的专业人才，他们不仅承担着将创意与技术完美结合的设计任务，还是连接客户愿景与项目实施之间的桥梁。通过深入理解客户需求、市场趋势及法律法规，建筑设计师能够制定出既符合功能需求又具备美学价值的设计方案，这不仅有助于提升公司的品牌形象，还能为公司创造显著的经济效益和社会影响力。此外，作为团队中的核心成员之一，建筑设计师还需与其他部…</x:v>
      </x:c>
      <x:c r="L362" s="39" t="str">
        <x:v>1. 负责项目前期调研，收集并分析相关资料，准确把握项目定位及客户需求，完成初步设计方案。 2. 与客户进行沟通交流，了解其具体需求和期望，及时调整和完善设计方案，确保最终成果满足客户要求。 3. 协调内部资源，组织跨部门会议，解决设计过程中出现的技术难题，保证项目按计划高质量完成。 4. 制作详细的设计图纸和技术文件，指导现场施工人员严格按照设计方案执行，…</x:v>
      </x:c>
    </x:row>
    <x:row r="363" ht="52" customHeight="1">
      <x:c r="A363" s="42" t="n">
        <x:v>147</x:v>
      </x:c>
      <x:c r="B363" s="39" t="str">
        <x:v>建筑制图/模型/渲染</x:v>
      </x:c>
      <x:c r="C363" s="39" t="str">
        <x:v>条件合并（先修分类）</x:v>
      </x:c>
      <x:c r="D363" s="39" t="str">
        <x:v>建筑制图/模型/渲染</x:v>
      </x:c>
      <x:c r="E363" s="42" t="n">
        <x:v>464</x:v>
      </x:c>
      <x:c r="F363" s="39" t="str">
        <x:v>IC-L3-615</x:v>
      </x:c>
      <x:c r="G363" s="42" t="n">
        <x:v>615</x:v>
      </x:c>
      <x:c r="H363" s="39" t="str">
        <x:v>建筑/房地产 &gt; 建筑规划与设计 &gt; 建筑制图/模型/渲染</x:v>
      </x:c>
      <x:c r="I363" s="39" t="str">
        <x:v>2-02-18-01</x:v>
      </x:c>
      <x:c r="J363" s="39" t="str">
        <x:v>建筑和市政设计工程技术人员</x:v>
      </x:c>
      <x:c r="K363" s="39" t="str">
        <x:v>在建筑与房地产行业中，建筑制图/模型/渲染师扮演着至关重要的角色。他们是将设计师的理念转化为实际视觉效果的关键人物，不仅能够精准地呈现建筑物的设计细节，还能够通过先进的技术手段模拟出建筑物建成后的实际效果，帮助客户更好地理解设计方案。 该职位的核心目标是确保建筑设计方案的准确传达与实现。通过高效利用CAD软件进行精确的平面图绘制、三维建模以及高质量渲染，为项…</x:v>
      </x:c>
      <x:c r="L363" s="39" t="str">
        <x:v>1. 使用专业软件完成建筑设计图纸的绘制，包括但不限于平面布局图、立面图及剖面图等，确保所有图纸符合国家相关标准和技术规范。 2. 根据项目需求制作高质量的3D建筑模型，注重细节处理，保证模型的真实感与美观度。 3. 运用渲染工具生成逼真的建筑效果图或动画演示，以支持市场营销活动和客户沟通。 4. 参与项目会议，及时反馈制图过程中发现的问题，并提出合理化建议…</x:v>
      </x:c>
    </x:row>
    <x:row r="364" ht="52" customHeight="1">
      <x:c r="A364" s="42" t="n">
        <x:v>147</x:v>
      </x:c>
      <x:c r="B364" s="39" t="str">
        <x:v>建筑制图/模型/渲染</x:v>
      </x:c>
      <x:c r="C364" s="39" t="str">
        <x:v>条件合并（先修分类）</x:v>
      </x:c>
      <x:c r="D364" s="39" t="str">
        <x:v>建筑制图/模型/渲染</x:v>
      </x:c>
      <x:c r="E364" s="42" t="n">
        <x:v>1004</x:v>
      </x:c>
      <x:c r="F364" s="39" t="str">
        <x:v>IC-L3-1155</x:v>
      </x:c>
      <x:c r="G364" s="42" t="n">
        <x:v>1155</x:v>
      </x:c>
      <x:c r="H364" s="39" t="str">
        <x:v>设计 &gt; 建筑/室内设计 &gt; 建筑制图/模型/渲染</x:v>
      </x:c>
      <x:c r="I364" s="39" t="str">
        <x:v>2-09-06-01</x:v>
      </x:c>
      <x:c r="J364" s="39" t="str">
        <x:v>视觉传达设计人员</x:v>
      </x:c>
      <x:c r="K364" s="39" t="str">
        <x:v>建筑制图/模型/渲染师是建筑设计领域中不可或缺的专业人才，他们通过精准的图纸、精细的模型以及逼真的渲染图来呈现设计方案，确保设计师的创意能够被准确无误地转化为现实。该职位的核心目标在于利用先进的软件工具和技术手段，将抽象的设计理念转化为具象的视觉成果，不仅提高了沟通效率，还极大地促进了项目的实施进度与质量控制，对于提升公司品牌形象及市场竞争力具有重要意义。在…</x:v>
      </x:c>
      <x:c r="L364" s="39" t="str">
        <x:v>1. 使用AutoCAD、SketchUp、3ds Max等专业软件完成建筑施工图的绘制工作，确保图纸符合国家规范和客户要求。 2. 根据设计方案制作高质量的三维模型，精确表达建筑空间关系及材料质感，辅助设计团队进行方案优化。 3. 运用V-Ray、Lumion等渲染软件生成高清晰度的建筑效果图，真实再现建筑外观效果，增强客户体验。 4. 参与项目会议，及时…</x:v>
      </x:c>
    </x:row>
    <x:row r="365" ht="52" customHeight="1">
      <x:c r="A365" s="42" t="n">
        <x:v>148</x:v>
      </x:c>
      <x:c r="B365" s="39" t="str">
        <x:v>健康管理师</x:v>
      </x:c>
      <x:c r="C365" s="39" t="str">
        <x:v>条件合并（先修分类）</x:v>
      </x:c>
      <x:c r="D365" s="39" t="str">
        <x:v>健康管理师</x:v>
      </x:c>
      <x:c r="E365" s="42" t="n">
        <x:v>165</x:v>
      </x:c>
      <x:c r="F365" s="39" t="str">
        <x:v>IC-L3-316</x:v>
      </x:c>
      <x:c r="G365" s="42" t="n">
        <x:v>316</x:v>
      </x:c>
      <x:c r="H365" s="39" t="str">
        <x:v>医药/医疗 &gt; 医生/医技 &gt; 健康管理师</x:v>
      </x:c>
      <x:c r="I365" s="39" t="str">
        <x:v>2-05-01-19</x:v>
      </x:c>
      <x:c r="J365" s="39" t="str">
        <x:v>全科医师</x:v>
      </x:c>
      <x:c r="K365" s="39" t="str">
        <x:v>健康管理师是医药/医疗行业中不可或缺的专业人才，负责通过科学的方法和手段，帮助个人或群体维护健康状态，预防疾病的发生，提升生活质量。作为连接患者与医疗资源的重要桥梁，健康管理师在促进公众健康意识提高及推动医疗体系优化方面发挥着关键作用。 在企业内部，健康管理师的核心目标在于建立和完善客户健康管理档案，定期进行健康评估与风险预警，制定个性化健康管理方案，并跟踪…</x:v>
      </x:c>
      <x:c r="L365" s="39" t="str">
        <x:v>1. 负责收集并整理客户的健康信息，建立个人健康档案，定期更新以反映最新的健康状况。 2. 依据客户的健康数据，运用专业知识进行综合分析，识别潜在的健康风险因素，提出预警并给出预防措施。 3. 根据客户需求定制个性化的健康管理计划，涵盖饮食指导、运动建议、心理调适等多个方面，协助客户实现健康目标。 4. 定期回访客户，评估健康管理计划的效果，及时调整策略以满…</x:v>
      </x:c>
    </x:row>
    <x:row r="366" ht="52" customHeight="1">
      <x:c r="A366" s="42" t="n">
        <x:v>148</x:v>
      </x:c>
      <x:c r="B366" s="39" t="str">
        <x:v>健康管理师</x:v>
      </x:c>
      <x:c r="C366" s="39" t="str">
        <x:v>条件合并（先修分类）</x:v>
      </x:c>
      <x:c r="D366" s="39" t="str">
        <x:v>健康管理师</x:v>
      </x:c>
      <x:c r="E366" s="42" t="n">
        <x:v>795</x:v>
      </x:c>
      <x:c r="F366" s="39" t="str">
        <x:v>IC-L3-946</x:v>
      </x:c>
      <x:c r="G366" s="42" t="n">
        <x:v>946</x:v>
      </x:c>
      <x:c r="H366" s="39" t="str">
        <x:v>生活服务/零售 &gt; 保健理疗 &gt; 健康管理师</x:v>
      </x:c>
      <x:c r="I366" s="39" t="str">
        <x:v>4-14-02-02</x:v>
      </x:c>
      <x:c r="J366" s="39" t="str">
        <x:v>健康管理师</x:v>
      </x:c>
      <x:c r="K366" s="39" t="str">
        <x:v>健康管理师是专门从事健康评估与促进的专业人员。该职位的核心目标是通过个性化健康管理方案，提升客户健康水平和生活质量。在日常工作中，需要进行健康风险评估、制定理疗计划、提供保健指导及跟踪服务等工作。</x:v>
      </x:c>
      <x:c r="L366" s="39" t="str">
        <x:v>1. 制定健康管理方案 2. 评估客户健康状况 3. 提供专业保健建议 4. 实施理疗干预措施 5. 跟踪健康改善效果 6. 维护健康管理档案</x:v>
      </x:c>
    </x:row>
    <x:row r="367" ht="52" customHeight="1">
      <x:c r="A367" s="42" t="n">
        <x:v>149</x:v>
      </x:c>
      <x:c r="B367" s="39" t="str">
        <x:v>健身顾问</x:v>
      </x:c>
      <x:c r="C367" s="39" t="str">
        <x:v>条件合并（先修分类）</x:v>
      </x:c>
      <x:c r="D367" s="39" t="str">
        <x:v>健身顾问</x:v>
      </x:c>
      <x:c r="E367" s="42" t="n">
        <x:v>275</x:v>
      </x:c>
      <x:c r="F367" s="39" t="str">
        <x:v>IC-L3-426</x:v>
      </x:c>
      <x:c r="G367" s="42" t="n">
        <x:v>426</x:v>
      </x:c>
      <x:c r="H367" s="39" t="str">
        <x:v>销售/客服 &gt; 服务业销售 &gt; 健身顾问</x:v>
      </x:c>
      <x:c r="I367" s="39" t="str">
        <x:v>4-01-02-01</x:v>
      </x:c>
      <x:c r="J367" s="39" t="str">
        <x:v>营销员</x:v>
      </x:c>
      <x:c r="K367" s="39" t="str">
        <x:v>健身顾问是销售/客服领域中不可或缺的专业角色，尤其在服务业销售方向上，他们通过提供个性化的健康与健身方案，帮助客户实现身体及心理的健康目标。作为健身中心与潜在客户之间的桥梁，健身顾问不仅代表着企业的形象，更是推动业务增长的关键力量。该职位的核心目标在于通过专业的评估与指导，激发客户的运动兴趣，制定合适的训练计划，同时确保客户体验的满意度，从而促进会员续费与新…</x:v>
      </x:c>
      <x:c r="L367" s="39" t="str">
        <x:v>1. 与每位来访客户进行深入沟通，了解其健康状况、运动经历及期望达成的目标，为其量身定制科学合理的健身计划。 2. 定期跟踪会员的锻炼进度，收集反馈意见，及时调整训练方法，确保客户能够安全有效地达到预期效果。 3. 积极参与各类营销活动策划与执行，利用专业知识向潜在客户介绍俱乐部特色项目和服务优势，提高转化率。 4. 维护良好的客户关系，建立长期稳定的信任基…</x:v>
      </x:c>
    </x:row>
    <x:row r="368" ht="52" customHeight="1">
      <x:c r="A368" s="42" t="n">
        <x:v>149</x:v>
      </x:c>
      <x:c r="B368" s="39" t="str">
        <x:v>健身顾问</x:v>
      </x:c>
      <x:c r="C368" s="39" t="str">
        <x:v>条件合并（先修分类）</x:v>
      </x:c>
      <x:c r="D368" s="39" t="str">
        <x:v>健身顾问</x:v>
      </x:c>
      <x:c r="E368" s="42" t="n">
        <x:v>844</x:v>
      </x:c>
      <x:c r="F368" s="39" t="str">
        <x:v>IC-L3-995</x:v>
      </x:c>
      <x:c r="G368" s="42" t="n">
        <x:v>995</x:v>
      </x:c>
      <x:c r="H368" s="39" t="str">
        <x:v>生活服务/零售 &gt; 运动健身 &gt; 健身顾问</x:v>
      </x:c>
      <x:c r="I368" s="39" t="str">
        <x:v>2-09-07-01</x:v>
      </x:c>
      <x:c r="J368" s="39" t="str">
        <x:v>教练员</x:v>
      </x:c>
      <x:c r="K368" s="39" t="str">
        <x:v>健身顾问是生活服务与零售行业中不可或缺的专业角色，尤其在运动健身领域内，他们通过提供个性化的健康指导和服务，帮助客户实现身体素质的提升和健康生活方式的建立。作为连接消费者与企业的重要桥梁，健身顾问不仅能够增强客户的忠诚度，还能有效促进业务增长，为企业创造持续的价值。在团队合作方面，健身顾问通常与其他教练、营养师以及销售团队紧密合作，共同为客户提供全方位的服务…</x:v>
      </x:c>
      <x:c r="L368" s="39" t="str">
        <x:v>1. 为每位会员进行初次评估，了解其个人背景、运动经历及健康状况，以此为基础制定符合个体需求的训练计划。 2. 定期跟进会员的锻炼进度，调整训练方案以确保达到最佳效果，并鼓励会员坚持完成既定目标。 3. 向会员普及正确的运动知识，教授安全有效的动作技巧，预防运动伤害发生。 4. 协助销售团队推广健身课程及相关产品，积极促成交易并提高客户满意度。 5. 参加内…</x:v>
      </x:c>
    </x:row>
    <x:row r="369" ht="52" customHeight="1">
      <x:c r="A369" s="42" t="n">
        <x:v>150</x:v>
      </x:c>
      <x:c r="B369" s="39" t="str">
        <x:v>交互设计师</x:v>
      </x:c>
      <x:c r="C369" s="39" t="str">
        <x:v>可直接合并</x:v>
      </x:c>
      <x:c r="D369" s="39" t="str">
        <x:v>交互设计师</x:v>
      </x:c>
      <x:c r="E369" s="42" t="n">
        <x:v>956</x:v>
      </x:c>
      <x:c r="F369" s="39" t="str">
        <x:v>IC-L3-1107</x:v>
      </x:c>
      <x:c r="G369" s="42" t="n">
        <x:v>1107</x:v>
      </x:c>
      <x:c r="H369" s="39" t="str">
        <x:v>设计 &gt; 互联网设计 &gt; 交互设计师</x:v>
      </x:c>
      <x:c r="I369" s="39" t="str">
        <x:v>2-09-06-01</x:v>
      </x:c>
      <x:c r="J369" s="39" t="str">
        <x:v>视觉传达设计人员</x:v>
      </x:c>
      <x:c r="K369" s="39" t="str">
        <x:v>交互设计师是互联网设计领域中不可或缺的角色，他们通过创造性的思维和专业的技术手段，优化用户体验，确保用户与产品之间的高效互动。作为连接用户需求和技术实现的桥梁，交互设计师不仅需要具备敏锐的洞察力，还要有良好的沟通技巧，能够准确捕捉市场趋势及用户心理，为公司提供创新的设计解决方案。 交互设计师的核心目标在于通过深入了解业务流程和用户行为模式，设计出既符合品牌形…</x:v>
      </x:c>
      <x:c r="L369" s="39" t="str">
        <x:v>1. 负责收集并分析用户反馈和市场调研数据，提炼出有效的设计需求，制定详细的设计方案以提高产品的可用性和吸引力。 2. 与产品经理紧密配合，参与产品定义阶段的需求讨论，提出合理的设计建议，确保设计方案能够有效支持产品战略目标。 3. 制作高保真原型图，清晰表达页面布局、导航结构及交互细节，指导前端开发人员正确实施设计稿。 4. 在项目执行过程中持续跟踪测试结…</x:v>
      </x:c>
    </x:row>
    <x:row r="370" ht="52" customHeight="1">
      <x:c r="A370" s="42" t="n">
        <x:v>150</x:v>
      </x:c>
      <x:c r="B370" s="39" t="str">
        <x:v>交互设计师</x:v>
      </x:c>
      <x:c r="C370" s="39" t="str">
        <x:v>可直接合并</x:v>
      </x:c>
      <x:c r="D370" s="39" t="str">
        <x:v>交互设计师</x:v>
      </x:c>
      <x:c r="E370" s="42" t="n">
        <x:v>986</x:v>
      </x:c>
      <x:c r="F370" s="39" t="str">
        <x:v>IC-L3-1137</x:v>
      </x:c>
      <x:c r="G370" s="42" t="n">
        <x:v>1137</x:v>
      </x:c>
      <x:c r="H370" s="39" t="str">
        <x:v>设计 &gt; 平面设计 &gt; 交互设计师</x:v>
      </x:c>
      <x:c r="I370" s="39" t="str">
        <x:v>2-09-06-01</x:v>
      </x:c>
      <x:c r="J370" s="39" t="str">
        <x:v>视觉传达设计人员</x:v>
      </x:c>
      <x:c r="K370" s="39" t="str">
        <x:v>交互设计师是专注于优化用户与数字产品交互体验的专业人员。该职位的核心目标是通过设计直观、高效的交互方案，提升产品的可用性和用户体验。在日常工作中，需要进行用户需求分析、交互流程设计、原型制作及可用性测试等工作。</x:v>
      </x:c>
      <x:c r="L370" s="39" t="str">
        <x:v>1. 设计用户交互流程 2. 优化界面视觉体验 3. 制作原型设计文档 4. 分析用户行为数据 5. 协调平面设计团队 6. 跟进设计落地实施</x:v>
      </x:c>
    </x:row>
    <x:row r="371" ht="52" customHeight="1">
      <x:c r="A371" s="42" t="n">
        <x:v>151</x:v>
      </x:c>
      <x:c r="B371" s="39" t="str">
        <x:v>教研员</x:v>
      </x:c>
      <x:c r="C371" s="39" t="str">
        <x:v>可直接合并</x:v>
      </x:c>
      <x:c r="D371" s="39" t="str">
        <x:v>教研员</x:v>
      </x:c>
      <x:c r="E371" s="42" t="n">
        <x:v>825</x:v>
      </x:c>
      <x:c r="F371" s="39" t="str">
        <x:v>IC-L3-976</x:v>
      </x:c>
      <x:c r="G371" s="42" t="n">
        <x:v>976</x:v>
      </x:c>
      <x:c r="H371" s="39" t="str">
        <x:v>生活服务/零售 &gt; 服务员 &gt; 教研员</x:v>
      </x:c>
      <x:c r="I371" s="39" t="str">
        <x:v>2-08-01-01</x:v>
      </x:c>
      <x:c r="J371" s="39" t="str">
        <x:v>普通高等学校教师</x:v>
      </x:c>
      <x:c r="K371" s="39" t="str">
        <x:v>教研员是专门从事服务行业教学研究的专业人员。该职位的核心目标是通过优化培训体系和教学方法，提升服务员队伍的专业素质和服务水平。在日常工作中，需要进行课程设计开发、培训效果评估、教学资料编制等工作。</x:v>
      </x:c>
      <x:c r="L371" s="39" t="str">
        <x:v>1. 制定培训课程 2. 编写服务手册 3. 设计考核标准 4. 组织教学研讨 5. 评估培训效果 6. 改进服务流程</x:v>
      </x:c>
    </x:row>
    <x:row r="372" ht="52" customHeight="1">
      <x:c r="A372" s="42" t="n">
        <x:v>151</x:v>
      </x:c>
      <x:c r="B372" s="39" t="str">
        <x:v>教研员</x:v>
      </x:c>
      <x:c r="C372" s="39" t="str">
        <x:v>可直接合并</x:v>
      </x:c>
      <x:c r="D372" s="39" t="str">
        <x:v>教研员</x:v>
      </x:c>
      <x:c r="E372" s="42" t="n">
        <x:v>904</x:v>
      </x:c>
      <x:c r="F372" s="39" t="str">
        <x:v>IC-L3-1055</x:v>
      </x:c>
      <x:c r="G372" s="42" t="n">
        <x:v>1055</x:v>
      </x:c>
      <x:c r="H372" s="39" t="str">
        <x:v>科研/教育/培训 &gt; 教育管理 &gt; 教研员</x:v>
      </x:c>
      <x:c r="I372" s="39" t="str">
        <x:v>2-08-01-01</x:v>
      </x:c>
      <x:c r="J372" s="39" t="str">
        <x:v>普通高等学校教师</x:v>
      </x:c>
      <x:c r="K372" s="39" t="str">
        <x:v>教研员是科研/教育/培训行业中不可或缺的专业人才，他们负责教学研究与开发工作，推动教学质量的持续改进。作为连接教师与管理层的关键桥梁，教研员不仅能够影响一线教学的实际效果，还能促进学校或培训机构的整体发展水平提升，从而确保机构在激烈的市场竞争中保持领先地位。 教研员的核心目标在于通过系统地分析教学现状，发现并解决存在的问题，以提高课程设计的有效性和教学方法的…</x:v>
      </x:c>
      <x:c r="L372" s="39" t="str">
        <x:v>1. 负责制定和完善教学大纲和课程标准，确保课程内容符合国家教育方针及市场需求。 2. 组织开展各类教研活动，包括公开课、研讨会等，促进教师间的经验分享和技术交流。 3. 定期收集并分析学生反馈信息，及时调整教学策略，提高课堂效率和学习成效。 4. 协助管理层进行教学质量监控，参与教师考核评价，提出改进建议。 5. 关注国内外教育动态，引进先进理念和技术手段…</x:v>
      </x:c>
    </x:row>
    <x:row r="373" ht="52" customHeight="1">
      <x:c r="A373" s="42" t="n">
        <x:v>152</x:v>
      </x:c>
      <x:c r="B373" s="39" t="str">
        <x:v>金融产品经理</x:v>
      </x:c>
      <x:c r="C373" s="39" t="str">
        <x:v>可直接合并</x:v>
      </x:c>
      <x:c r="D373" s="39" t="str">
        <x:v>金融产品经理</x:v>
      </x:c>
      <x:c r="E373" s="42" t="n">
        <x:v>112</x:v>
      </x:c>
      <x:c r="F373" s="39" t="str">
        <x:v>IC-L3-263</x:v>
      </x:c>
      <x:c r="G373" s="42" t="n">
        <x:v>263</x:v>
      </x:c>
      <x:c r="H373" s="39" t="str">
        <x:v>产品 &gt; 其他产品经理 &gt; 金融产品经理</x:v>
      </x:c>
      <x:c r="I373" s="39" t="str">
        <x:v>2-06-11-04</x:v>
      </x:c>
      <x:c r="J373" s="39" t="str">
        <x:v>金融产品销售专业人员</x:v>
      </x:c>
      <x:c r="K373" s="39" t="str">
        <x:v>金融产品经理是产品行业中不可或缺的角色，负责将金融知识与市场需求相结合，推动金融产品的创新与发展。这一职位不仅要求具备深厚的金融专业知识，还需要拥有敏锐的市场洞察力和优秀的用户理解能力，以确保产品能够满足用户需求并引领市场趋势。 该职位的核心目标在于通过深入研究市场动态及客户需求，设计并优化金融产品，以提高用户体验、增强用户粘性，从而实现公司业务的持续增长和…</x:v>
      </x:c>
      <x:c r="L373" s="39" t="str">
        <x:v>1. 负责收集和分析金融市场信息及用户反馈，明确金融产品的功能需求和发展方向。 2. 与技术团队密切配合，确保产品设计符合技术可行性，并监督整个开发流程直至上线。 3. 制定详细的项目计划和时间表，协调资源确保按时完成各阶段任务。 4. 定期评估产品性能，根据市场变化及时调整产品策略，以提高市场竞争力。 5. 参与跨部门沟通，建立有效的内部协作机制，促进产品…</x:v>
      </x:c>
    </x:row>
    <x:row r="374" ht="52" customHeight="1">
      <x:c r="A374" s="42" t="n">
        <x:v>152</x:v>
      </x:c>
      <x:c r="B374" s="39" t="str">
        <x:v>金融产品经理</x:v>
      </x:c>
      <x:c r="C374" s="39" t="str">
        <x:v>可直接合并</x:v>
      </x:c>
      <x:c r="D374" s="39" t="str">
        <x:v>金融产品经理</x:v>
      </x:c>
      <x:c r="E374" s="42" t="n">
        <x:v>1294</x:v>
      </x:c>
      <x:c r="F374" s="39" t="str">
        <x:v>IC-L3-1445</x:v>
      </x:c>
      <x:c r="G374" s="42" t="n">
        <x:v>1445</x:v>
      </x:c>
      <x:c r="H374" s="39" t="str">
        <x:v>金融 &gt; 金融 &gt; 金融产品经理</x:v>
      </x:c>
      <x:c r="I374" s="39" t="str">
        <x:v>2-06-11-04</x:v>
      </x:c>
      <x:c r="J374" s="39" t="str">
        <x:v>金融产品销售专业人员</x:v>
      </x:c>
      <x:c r="K374" s="39" t="str">
        <x:v>金融产品经理是金融行业中不可或缺的角色，他们负责将金融产品从概念转化为市场上的成功案例。通过深入了解市场需求与用户行为，金融产品经理确保产品设计既符合法律法规要求，又能够满足客户的需求，从而推动业务增长。在公司内部，金融产品经理通常需要与技术开发、市场营销、风险控制等多个部门紧密合作，以确保产品的顺利推出及后续优化。随着金融科技的发展，这一职位对于个人职业发…</x:v>
      </x:c>
      <x:c r="L374" s="39" t="str">
        <x:v>1. 负责收集并分析市场信息及客户需求，制定金融产品的长期发展规划，确保产品战略与公司整体目标一致。 2. 协调跨职能团队（如技术、设计、运营等），明确产品需求，监督整个产品生命周期，从初期调研到最终上线，确保按时按质完成产品迭代。 3. 定期评估现有产品的表现，基于数据分析结果提出改进建议，持续优化用户体验，提高用户满意度和忠诚度。 4. 与销售和支持团队…</x:v>
      </x:c>
    </x:row>
    <x:row r="375" ht="52" customHeight="1">
      <x:c r="A375" s="42" t="n">
        <x:v>153</x:v>
      </x:c>
      <x:c r="B375" s="39" t="str">
        <x:v>金融产品销售</x:v>
      </x:c>
      <x:c r="C375" s="39" t="str">
        <x:v>可直接合并</x:v>
      </x:c>
      <x:c r="D375" s="39" t="str">
        <x:v>金融产品销售</x:v>
      </x:c>
      <x:c r="E375" s="42" t="n">
        <x:v>256</x:v>
      </x:c>
      <x:c r="F375" s="39" t="str">
        <x:v>IC-L3-407</x:v>
      </x:c>
      <x:c r="G375" s="42" t="n">
        <x:v>407</x:v>
      </x:c>
      <x:c r="H375" s="39" t="str">
        <x:v>销售/客服 &gt; 金融销售 &gt; 金融产品销售</x:v>
      </x:c>
      <x:c r="I375" s="39" t="str">
        <x:v>2-06-11-04</x:v>
      </x:c>
      <x:c r="J375" s="39" t="str">
        <x:v>金融产品销售专业人员</x:v>
      </x:c>
      <x:c r="K375" s="39" t="str">
        <x:v>金融产品销售人员在金融行业中扮演着至关重要的角色。他们不仅是公司与客户之间沟通的桥梁，更是推动金融产品和服务市场拓展的关键力量。通过深入了解客户需求，提供个性化的产品解决方案，金融产品销售人员能够帮助客户实现财富增值，同时促进公司的业务增长和品牌影响力提升。 该职位的核心目标在于有效推广公司的金融产品线，确保销售业绩达到或超过预定目标。销售人员需要具备敏锐的…</x:v>
      </x:c>
      <x:c r="L375" s="39" t="str">
        <x:v>1. 负责金融产品的市场调研与分析，了解目标客户的偏好及需求，制定相应的销售计划并实施。 2. 通过电话拜访、面对面会谈等方式与潜在客户建立联系，介绍公司金融产品特点及优势，促成交易达成。 3. 定期跟进客户使用情况，收集反馈意见，协助解决使用过程中遇到的问题，提高客户满意度和忠诚度。 4. 参与公司组织的各种培训活动，不断提升个人专业知识水平和销售技巧。 …</x:v>
      </x:c>
    </x:row>
    <x:row r="376" ht="52" customHeight="1">
      <x:c r="A376" s="42" t="n">
        <x:v>153</x:v>
      </x:c>
      <x:c r="B376" s="39" t="str">
        <x:v>金融产品销售</x:v>
      </x:c>
      <x:c r="C376" s="39" t="str">
        <x:v>可直接合并</x:v>
      </x:c>
      <x:c r="D376" s="39" t="str">
        <x:v>金融产品销售</x:v>
      </x:c>
      <x:c r="E376" s="42" t="n">
        <x:v>1295</x:v>
      </x:c>
      <x:c r="F376" s="39" t="str">
        <x:v>IC-L3-1446</x:v>
      </x:c>
      <x:c r="G376" s="42" t="n">
        <x:v>1446</x:v>
      </x:c>
      <x:c r="H376" s="39" t="str">
        <x:v>金融 &gt; 金融 &gt; 金融产品销售</x:v>
      </x:c>
      <x:c r="I376" s="39" t="str">
        <x:v>2-06-11-04</x:v>
      </x:c>
      <x:c r="J376" s="39" t="str">
        <x:v>金融产品销售专业人员</x:v>
      </x:c>
      <x:c r="K376" s="39" t="str">
        <x:v>金融产品销售是金融行业中不可或缺的角色之一，通过专业的销售技巧和市场洞察力，促进金融产品的流通与普及，不仅为客户带来财富增值的机会，也为企业创造可观的经济收益。该职位的核心目标在于深入了解客户需求，精准匹配适合的金融产品，从而提高客户满意度和忠诚度，同时推动公司业务增长，增强市场竞争力。作为团队合作的一部分，金融产品销售人员需要与产品开发、风险管理等部门紧密…</x:v>
      </x:c>
      <x:c r="L376" s="39" t="str">
        <x:v>1. 通过电话、面谈等方式主动接触潜在客户，了解其投资需求和风险偏好，提供个性化的产品推荐方案。 2. 定期参加行业培训和内部学习会议，掌握最新金融政策法规及市场动态，确保所售产品符合法律法规要求。 3. 负责维护现有客户关系，定期回访并收集反馈意见，及时解决客户遇到的问题，提升客户体验。 4. 制定个人销售计划，完成每月/季度/年度销售指标，积极开拓新市场…</x:v>
      </x:c>
    </x:row>
    <x:row r="377" ht="52" customHeight="1">
      <x:c r="A377" s="42" t="n">
        <x:v>154</x:v>
      </x:c>
      <x:c r="B377" s="39" t="str">
        <x:v>酒体设计师</x:v>
      </x:c>
      <x:c r="C377" s="39" t="str">
        <x:v>条件合并（先修分类）</x:v>
      </x:c>
      <x:c r="D377" s="39" t="str">
        <x:v>酒体设计师</x:v>
      </x:c>
      <x:c r="E377" s="42" t="n">
        <x:v>596</x:v>
      </x:c>
      <x:c r="F377" s="39" t="str">
        <x:v>IC-L3-747</x:v>
      </x:c>
      <x:c r="G377" s="42" t="n">
        <x:v>747</x:v>
      </x:c>
      <x:c r="H377" s="39" t="str">
        <x:v>汽车 &gt; 汽车研发设计 &gt; 酒体设计师</x:v>
      </x:c>
      <x:c r="I377" s="39" t="str">
        <x:v>2-02-07-11</x:v>
      </x:c>
      <x:c r="J377" s="39" t="str">
        <x:v>汽车工程技术人员</x:v>
      </x:c>
      <x:c r="K377" s="39" t="str">
        <x:v>酒体设计师是专门从事汽车内饰酒体造型设计的专业人员。该职位的核心目标是通过创新酒体造型设计，提升汽车内饰的品质感和用户体验。在日常工作中，需要进行酒体形态设计、材料选择、色彩搭配及与工程团队的协同优化等工作。</x:v>
      </x:c>
      <x:c r="L377" s="39" t="str">
        <x:v>1. 设计汽车外观流线 2. 优化空气动力学性能 3. 协调造型与工程需求 4. 制作油泥模型方案 5. 评估设计方案可行性 6. 跟进样车制造过程</x:v>
      </x:c>
    </x:row>
    <x:row r="378" ht="52" customHeight="1">
      <x:c r="A378" s="42" t="n">
        <x:v>154</x:v>
      </x:c>
      <x:c r="B378" s="39" t="str">
        <x:v>酒体设计师</x:v>
      </x:c>
      <x:c r="C378" s="39" t="str">
        <x:v>条件合并（先修分类）</x:v>
      </x:c>
      <x:c r="D378" s="39" t="str">
        <x:v>酒体设计师</x:v>
      </x:c>
      <x:c r="E378" s="42" t="n">
        <x:v>926</x:v>
      </x:c>
      <x:c r="F378" s="39" t="str">
        <x:v>IC-L3-1077</x:v>
      </x:c>
      <x:c r="G378" s="42" t="n">
        <x:v>1077</x:v>
      </x:c>
      <x:c r="H378" s="39" t="str">
        <x:v>能源/环保/化工 &gt; 化工 &gt; 酒体设计师</x:v>
      </x:c>
      <x:c r="I378" s="39" t="str">
        <x:v>2-02-06-03</x:v>
      </x:c>
      <x:c r="J378" s="39" t="str">
        <x:v>化工生产工程技术人员</x:v>
      </x:c>
      <x:c r="K378" s="39" t="str">
        <x:v>酒体设计师是能源/环保/化工行业中一个独特而重要的角色，尤其在酿酒和饮料制造领域。他们负责设计和优化酒类产品的风味、口感及稳定性，确保产品符合市场需求和消费者偏好，从而在激烈的市场竞争中脱颖而出。 该职位的核心目标在于通过创新的配方设计与工艺改进，提升酒类产品品质和市场竞争力，为公司创造更高的经济价值。酒体设计师需深入了解原料特性、发酵过程以及调和技巧，结合…</x:v>
      </x:c>
      <x:c r="L378" s="39" t="str">
        <x:v>1. 负责酒类产品从概念到成品的全过程设计，包括但不限于原料选择、配方调配、感官评价等工作，确保最终产品质量达到预期标准。 2. 定期参与市场调研活动，收集并分析消费者需求信息，据此调整产品设计方案，增强产品的市场适应性和吸引力。 3. 与生产部门密切配合，监督生产工艺流程，解决生产过程中遇到的技术问题，保障生产的顺利进行。 4. 积极参与行业交流和技术培训…</x:v>
      </x:c>
    </x:row>
    <x:row r="379" ht="52" customHeight="1">
      <x:c r="A379" s="42" t="n">
        <x:v>155</x:v>
      </x:c>
      <x:c r="B379" s="39" t="str">
        <x:v>咖啡师</x:v>
      </x:c>
      <x:c r="C379" s="39" t="str">
        <x:v>条件合并（先修分类）</x:v>
      </x:c>
      <x:c r="D379" s="39" t="str">
        <x:v>咖啡师</x:v>
      </x:c>
      <x:c r="E379" s="42" t="n">
        <x:v>831</x:v>
      </x:c>
      <x:c r="F379" s="39" t="str">
        <x:v>IC-L3-982</x:v>
      </x:c>
      <x:c r="G379" s="42" t="n">
        <x:v>982</x:v>
      </x:c>
      <x:c r="H379" s="39" t="str">
        <x:v>生活服务/零售 &gt; 服务员 &gt; 咖啡师</x:v>
      </x:c>
      <x:c r="I379" s="39" t="str">
        <x:v>4-03-02-05</x:v>
      </x:c>
      <x:c r="J379" s="39" t="str">
        <x:v>餐厅服务员</x:v>
      </x:c>
      <x:c r="K379" s="39" t="str">
        <x:v>咖啡师是专门从事咖啡饮品制作与服务的专业人员。该职位的核心目标是通过精湛的咖啡技艺和优质服务，提升顾客体验并促进门店销售。在日常工作中，需要进行咖啡冲调、设备维护、顾客需求沟通以及门店清洁等工作。</x:v>
      </x:c>
      <x:c r="L379" s="39" t="str">
        <x:v>1. 制作各类咖啡饮品 2. 维护咖啡设备清洁 3. 提供顾客专业建议 4. 保持工作区域整洁 5. 执行库存管理工作 6. 遵守卫生安全标准</x:v>
      </x:c>
    </x:row>
    <x:row r="380" ht="52" customHeight="1">
      <x:c r="A380" s="42" t="n">
        <x:v>155</x:v>
      </x:c>
      <x:c r="B380" s="39" t="str">
        <x:v>咖啡师</x:v>
      </x:c>
      <x:c r="C380" s="39" t="str">
        <x:v>条件合并（先修分类）</x:v>
      </x:c>
      <x:c r="D380" s="39" t="str">
        <x:v>咖啡师</x:v>
      </x:c>
      <x:c r="E380" s="42" t="n">
        <x:v>1332</x:v>
      </x:c>
      <x:c r="F380" s="39" t="str">
        <x:v>IC-L3-1483</x:v>
      </x:c>
      <x:c r="G380" s="42" t="n">
        <x:v>1483</x:v>
      </x:c>
      <x:c r="H380" s="39" t="str">
        <x:v>餐饮 &gt; 前厅 &gt; 咖啡师</x:v>
      </x:c>
      <x:c r="I380" s="39" t="str">
        <x:v>4-07-02-01</x:v>
      </x:c>
      <x:c r="J380" s="39" t="str">
        <x:v>风险管理师</x:v>
      </x:c>
      <x:c r="K380" s="39" t="str">
        <x:v>咖啡师是餐饮行业中不可或缺的专业人才，尤其在以咖啡文化为核心的品牌中扮演着至关重要的角色。他们不仅是制作咖啡的专家，更是传递品牌文化和顾客体验的重要使者，通过精湛的手艺与热情的服务为顾客带来愉悦的消费体验。 咖啡师的核心目标在于确保每一杯咖啡的质量与口感都能达到高标准，同时不断创新饮品搭配方案以满足不同顾客的需求。他们的工作直接关系到品牌形象的树立及客户忠诚…</x:v>
      </x:c>
      <x:c r="L380" s="39" t="str">
        <x:v>1. 熟练掌握各种咖啡的制作方法，确保出品质量稳定且符合标准。 2. 根据季节变化及市场需求，参与研发新口味的咖啡产品。 3. 为顾客提供专业的点单建议，耐心解答关于咖啡知识的问题。 4. 维护工作区域的清洁卫生，定期检查设备运行状态并及时报修。 5. 积极参加内部培训活动，不断提升个人专业水平和服务意识。</x:v>
      </x:c>
    </x:row>
    <x:row r="381" ht="52" customHeight="1">
      <x:c r="A381" s="42" t="n">
        <x:v>156</x:v>
      </x:c>
      <x:c r="B381" s="39" t="str">
        <x:v>客户质量工程师</x:v>
      </x:c>
      <x:c r="C381" s="39" t="str">
        <x:v>可直接合并</x:v>
      </x:c>
      <x:c r="D381" s="39" t="str">
        <x:v>客户质量工程师</x:v>
      </x:c>
      <x:c r="E381" s="42" t="n">
        <x:v>560</x:v>
      </x:c>
      <x:c r="F381" s="39" t="str">
        <x:v>IC-L3-711</x:v>
      </x:c>
      <x:c r="G381" s="42" t="n">
        <x:v>711</x:v>
      </x:c>
      <x:c r="H381" s="39" t="str">
        <x:v>汽车 &gt; 汽车制造 &gt; 客户质量工程师</x:v>
      </x:c>
      <x:c r="I381" s="39" t="str">
        <x:v>2-02-29-03</x:v>
      </x:c>
      <x:c r="J381" s="39" t="str">
        <x:v>质量管理工程技术人员</x:v>
      </x:c>
      <x:c r="K381" s="39" t="str">
        <x:v>客户质量工程师是汽车制造行业中至关重要的角色，主要负责确保产品符合客户要求的质量标准，通过持续改进流程来提升客户满意度。该职位不仅作为公司与客户之间的桥梁，还承担着维护品牌形象和市场竞争力的重要使命。 核心目标在于通过有效的质量管理和控制措施，预防并解决生产过程中的质量问题，从而降低退货率和投诉率，提高顾客忠诚度。对公司的价值体现在减少因质量问题导致的成本损…</x:v>
      </x:c>
      <x:c r="L381" s="39" t="str">
        <x:v>客户质量工程师的主要职责包括：负责客户产品质量问题的分析与解决，制定并实施质量改进措施；与客户保持良好沟通，收集并反馈客户质量需求和意见；参与产品设计评审，确保设计符合质量标准；制定和执行质量检验计划，确保产品质量符合要求；定期进行质量数据分析，提出改进建议，提升产品质量和客户满意度。</x:v>
      </x:c>
    </x:row>
    <x:row r="382" ht="52" customHeight="1">
      <x:c r="A382" s="42" t="n">
        <x:v>156</x:v>
      </x:c>
      <x:c r="B382" s="39" t="str">
        <x:v>客户质量工程师</x:v>
      </x:c>
      <x:c r="C382" s="39" t="str">
        <x:v>可直接合并</x:v>
      </x:c>
      <x:c r="D382" s="39" t="str">
        <x:v>客户质量工程师</x:v>
      </x:c>
      <x:c r="E382" s="42" t="n">
        <x:v>739</x:v>
      </x:c>
      <x:c r="F382" s="39" t="str">
        <x:v>IC-L3-890</x:v>
      </x:c>
      <x:c r="G382" s="42" t="n">
        <x:v>890</x:v>
      </x:c>
      <x:c r="H382" s="39" t="str">
        <x:v>生产制造 &gt; 质量管理 &gt; 客户质量工程师</x:v>
      </x:c>
      <x:c r="I382" s="39" t="str">
        <x:v>2-02-29-03</x:v>
      </x:c>
      <x:c r="J382" s="39" t="str">
        <x:v>质量管理工程技术人员</x:v>
      </x:c>
      <x:c r="K382" s="39" t="str">
        <x:v>客户质量工程师是生产制造行业中不可或缺的角色，负责确保产品从设计到交付整个过程中的质量符合客户的要求。此职位不仅在维护公司声誉方面发挥着关键作用，而且对于建立长期稳定的客户关系至关重要。 客户质量工程师的核心目标是通过实施有效的质量控制措施，预防和解决可能出现的质量问题，从而提升产品的可靠性和客户满意度。他们通过对生产流程的持续监控和改进，帮助公司减少浪费、…</x:v>
      </x:c>
      <x:c r="L382" s="39" t="str">
        <x:v>客户质量工程师的主要职责包括：负责客户产品质量问题的分析与解决，制定并实施质量改进措施；与客户保持良好沟通，收集并反馈客户质量需求和意见；参与产品设计评审，确保设计符合质量标准；制定和执行质量检验计划，确保产品质量符合要求；定期进行质量数据分析，提出改进建议，提升产品质量和客户满意度。</x:v>
      </x:c>
    </x:row>
    <x:row r="383" ht="52" customHeight="1">
      <x:c r="A383" s="42" t="n">
        <x:v>157</x:v>
      </x:c>
      <x:c r="B383" s="39" t="str">
        <x:v>礼仪/迎宾</x:v>
      </x:c>
      <x:c r="C383" s="39" t="str">
        <x:v>可直接合并</x:v>
      </x:c>
      <x:c r="D383" s="39" t="str">
        <x:v>礼仪/迎宾</x:v>
      </x:c>
      <x:c r="E383" s="42" t="n">
        <x:v>798</x:v>
      </x:c>
      <x:c r="F383" s="39" t="str">
        <x:v>IC-L3-949</x:v>
      </x:c>
      <x:c r="G383" s="42" t="n">
        <x:v>949</x:v>
      </x:c>
      <x:c r="H383" s="39" t="str">
        <x:v>生活服务/零售 &gt; 婚庆 &gt; 礼仪/迎宾</x:v>
      </x:c>
      <x:c r="I383" s="39" t="str">
        <x:v>4-03-02-05</x:v>
      </x:c>
      <x:c r="J383" s="39" t="str">
        <x:v>餐厅服务员</x:v>
      </x:c>
      <x:c r="K383" s="39" t="str">
        <x:v>礼仪/迎宾是专门从事婚庆活动接待服务的专业人员。该职位的核心目标是通过专业得体的迎宾服务，营造温馨尊贵的婚礼氛围。在日常工作中，需要进行宾客指引、礼金登记、现场协调、仪式流程配合等工作。</x:v>
      </x:c>
      <x:c r="L383" s="39" t="str">
        <x:v>1. 迎接婚庆宾客 2. 引导宾客就座 3. 维持现场秩序 4. 协助签到流程 5. 提供礼仪服务 6. 处理宾客咨询</x:v>
      </x:c>
    </x:row>
    <x:row r="384" ht="52" customHeight="1">
      <x:c r="A384" s="42" t="n">
        <x:v>157</x:v>
      </x:c>
      <x:c r="B384" s="39" t="str">
        <x:v>礼仪/迎宾</x:v>
      </x:c>
      <x:c r="C384" s="39" t="str">
        <x:v>可直接合并</x:v>
      </x:c>
      <x:c r="D384" s="39" t="str">
        <x:v>礼仪/迎宾</x:v>
      </x:c>
      <x:c r="E384" s="42" t="n">
        <x:v>1333</x:v>
      </x:c>
      <x:c r="F384" s="39" t="str">
        <x:v>IC-L3-1484</x:v>
      </x:c>
      <x:c r="G384" s="42" t="n">
        <x:v>1484</x:v>
      </x:c>
      <x:c r="H384" s="39" t="str">
        <x:v>餐饮 &gt; 前厅 &gt; 礼仪/迎宾</x:v>
      </x:c>
      <x:c r="I384" s="39" t="str">
        <x:v>4-03-02-05</x:v>
      </x:c>
      <x:c r="J384" s="39" t="str">
        <x:v>餐厅服务员</x:v>
      </x:c>
      <x:c r="K384" s="39" t="str">
        <x:v>在餐饮行业中，礼仪/迎宾作为前厅服务的关键角色，是餐厅形象的第一代言人。他们不仅代表着餐厅的专业形象，而且通过高质量的服务体验，直接影响顾客的第一印象和整体就餐感受，对于提升品牌形象至关重要。礼仪/迎宾的核心目标在于确保每位到访的客人都能享受到温馨、周到的接待服务，从而提高顾客满意度与忠诚度，促进二次消费及口碑传播，为公司创造更多商业机会。此外，礼仪/迎宾还…</x:v>
      </x:c>
      <x:c r="L384" s="39" t="str">
        <x:v>1. 负责迎接并引导客人入座，提供专业的咨询服务，解答关于菜单、活动等问题，确保每位顾客都能获得个性化的服务体验。 2. 维护餐厅入口区域的整洁与秩序，及时处理突发状况，如客户投诉或紧急情况，确保营业环境的安全舒适。 3. 与厨房及后厨团队保持良好沟通，准确传达顾客需求，监督菜品上桌时间，保证服务流程顺畅。 4. 定期参加培训课程，学习最新服务标准与技巧，不…</x:v>
      </x:c>
    </x:row>
    <x:row r="385" ht="52" customHeight="1">
      <x:c r="A385" s="42" t="n">
        <x:v>158</x:v>
      </x:c>
      <x:c r="B385" s="39" t="str">
        <x:v>理疗师</x:v>
      </x:c>
      <x:c r="C385" s="39" t="str">
        <x:v>条件合并（先修分类）</x:v>
      </x:c>
      <x:c r="D385" s="39" t="str">
        <x:v>理疗师</x:v>
      </x:c>
      <x:c r="E385" s="42" t="n">
        <x:v>178</x:v>
      </x:c>
      <x:c r="F385" s="39" t="str">
        <x:v>IC-L3-329</x:v>
      </x:c>
      <x:c r="G385" s="42" t="n">
        <x:v>329</x:v>
      </x:c>
      <x:c r="H385" s="39" t="str">
        <x:v>医药/医疗 &gt; 医生/医技 &gt; 理疗师</x:v>
      </x:c>
      <x:c r="I385" s="39" t="str">
        <x:v>2-05-01-19</x:v>
      </x:c>
      <x:c r="J385" s="39" t="str">
        <x:v>全科医师</x:v>
      </x:c>
      <x:c r="K385" s="39" t="str">
        <x:v>理疗师作为医疗保健领域中不可或缺的专业人员，承担着帮助患者恢复身体功能、减轻疼痛以及提高生活质量的重要职责。通过运用物理治疗手段和技术，他们能够针对不同类型的疾病或损伤提供个性化的康复方案，从而促进患者的全面康复。这一角色不仅要求具备扎实的专业知识与技能，还需要拥有良好的沟通能力和同理心，以建立信任并激励患者积极参与治疗过程。 在医疗机构中，理疗师的核心目标…</x:v>
      </x:c>
      <x:c r="L385" s="39" t="str">
        <x:v>1. 对新入院或转诊的患者进行初步评估，了解其病史、症状及治疗需求，确定合适的物理治疗方法。 2. 根据患者的具体情况，设计个性化的康复训练计划，包括但不限于运动疗法、手法治疗、电疗等，以改善或恢复其身体功能。 3. 定期跟踪患者的康复进展，记录治疗反应，及时调整康复方案，确保治疗的有效性和安全性。 4. 与患者及其家属保持良好沟通，解释治疗过程和预期结果，…</x:v>
      </x:c>
    </x:row>
    <x:row r="386" ht="52" customHeight="1">
      <x:c r="A386" s="42" t="n">
        <x:v>158</x:v>
      </x:c>
      <x:c r="B386" s="39" t="str">
        <x:v>理疗师</x:v>
      </x:c>
      <x:c r="C386" s="39" t="str">
        <x:v>条件合并（先修分类）</x:v>
      </x:c>
      <x:c r="D386" s="39" t="str">
        <x:v>理疗师</x:v>
      </x:c>
      <x:c r="E386" s="42" t="n">
        <x:v>226</x:v>
      </x:c>
      <x:c r="F386" s="39" t="str">
        <x:v>IC-L3-377</x:v>
      </x:c>
      <x:c r="G386" s="42" t="n">
        <x:v>377</x:v>
      </x:c>
      <x:c r="H386" s="39" t="str">
        <x:v>医药/医疗 &gt; 护理/护士 &gt; 理疗师</x:v>
      </x:c>
      <x:c r="I386" s="39" t="str">
        <x:v>2-05-08-01</x:v>
      </x:c>
      <x:c r="J386" s="39" t="str">
        <x:v>内科护士</x:v>
      </x:c>
      <x:c r="K386" s="39" t="str">
        <x:v>理疗师是专门从事康复治疗和物理治疗的专业人员。该职位的核心目标是通过专业理疗技术，帮助患者恢复身体机能和减轻疼痛。在日常工作中，需要进行评估患者状况、制定个性化治疗方案、实施理疗操作和跟踪康复进展等工作。</x:v>
      </x:c>
      <x:c r="L386" s="39" t="str">
        <x:v>1. 评估患者康复需求 2. 制定理疗方案 3. 实施物理治疗 4. 指导康复训练 5. 监测治疗效果 6. 记录治疗过程</x:v>
      </x:c>
    </x:row>
    <x:row r="387" ht="52" customHeight="1">
      <x:c r="A387" s="42" t="n">
        <x:v>159</x:v>
      </x:c>
      <x:c r="B387" s="39" t="str">
        <x:v>量化研究</x:v>
      </x:c>
      <x:c r="C387" s="39" t="str">
        <x:v>可直接合并</x:v>
      </x:c>
      <x:c r="D387" s="39" t="str">
        <x:v>量化研究</x:v>
      </x:c>
      <x:c r="E387" s="42" t="n">
        <x:v>1276</x:v>
      </x:c>
      <x:c r="F387" s="39" t="str">
        <x:v>IC-L3-1427</x:v>
      </x:c>
      <x:c r="G387" s="42" t="n">
        <x:v>1427</x:v>
      </x:c>
      <x:c r="H387" s="39" t="str">
        <x:v>金融 &gt; 期货 &gt; 量化研究</x:v>
      </x:c>
      <x:c r="I387" s="39" t="str">
        <x:v>2-06-11-02</x:v>
      </x:c>
      <x:c r="J387" s="39" t="str">
        <x:v>证券交易专业人员</x:v>
      </x:c>
      <x:c r="K387" s="39" t="str">
        <x:v>量化研究员是金融行业中期货领域的重要角色，通过运用先进的数学模型和技术手段来分析市场数据，挖掘交易机会，为投资决策提供科学依据。该职位不仅要求具备深厚的理论知识，还需要有较强的实践能力，能够将复杂的金融市场现象转化为可操作的投资策略。 量化研究员的核心目标在于开发并优化量化交易模型，以提高交易效率和盈利能力，降低风险。他们通过对历史数据的深入分析，结合当前市…</x:v>
      </x:c>
      <x:c r="L387" s="39" t="str">
        <x:v>1. 负责收集、整理和清洗各类市场数据，建立和完善数据库，为量化分析提供准确的数据支持。 2. 运用统计学、机器学习等方法，设计并实现新的量化投资策略，定期评估策略表现，不断优化模型性能。 3. 与交易部门密切配合，将研究成果转化为实际交易指令，跟踪执行情况，分析交易结果，提出改进建议。 4. 关注国内外宏观经济形势及政策变化，及时调整量化模型参数，应对市场…</x:v>
      </x:c>
    </x:row>
    <x:row r="388" ht="52" customHeight="1">
      <x:c r="A388" s="42" t="n">
        <x:v>159</x:v>
      </x:c>
      <x:c r="B388" s="39" t="str">
        <x:v>量化研究</x:v>
      </x:c>
      <x:c r="C388" s="39" t="str">
        <x:v>可直接合并</x:v>
      </x:c>
      <x:c r="D388" s="39" t="str">
        <x:v>量化研究</x:v>
      </x:c>
      <x:c r="E388" s="42" t="n">
        <x:v>1285</x:v>
      </x:c>
      <x:c r="F388" s="39" t="str">
        <x:v>IC-L3-1436</x:v>
      </x:c>
      <x:c r="G388" s="42" t="n">
        <x:v>1436</x:v>
      </x:c>
      <x:c r="H388" s="39" t="str">
        <x:v>金融 &gt; 证券 &gt; 量化研究</x:v>
      </x:c>
      <x:c r="I388" s="39" t="str">
        <x:v>2-06-11-02</x:v>
      </x:c>
      <x:c r="J388" s="39" t="str">
        <x:v>证券交易专业人员</x:v>
      </x:c>
      <x:c r="K388" s="39" t="str">
        <x:v>量化研究员是证券行业中至关重要的角色，通过运用先进的数学模型和技术分析市场数据，帮助公司做出更精准的投资决策。该职位不仅要求候选人具备扎实的数理统计基础，还需要拥有良好的编程能力和对金融市场深刻的理解，以适应快速变化的市场环境。 量化研究员的核心目标在于开发和优化量化投资策略，利用大数据处理技术从海量历史交易数据中挖掘潜在规律，提高投资组合的收益与风险比，为…</x:v>
      </x:c>
      <x:c r="L388" s="39" t="str">
        <x:v>1. 设计并实现高效的算法模型，用于预测股票价格走势及市场趋势，以提高投资回报率。 2. 对现有的量化交易策略进行持续监控与性能评估，及时发现并解决可能出现的问题，确保策略稳定运行。 3. 与跨职能团队合作，参与项目从概念到执行的全过程，提供专业的数据分析支持。 4. 跟踪最新的金融理论研究成果，结合实际业务需求不断探索创新方法，提升公司核心竞争力。 5. …</x:v>
      </x:c>
    </x:row>
    <x:row r="389" ht="52" customHeight="1">
      <x:c r="A389" s="42" t="n">
        <x:v>160</x:v>
      </x:c>
      <x:c r="B389" s="39" t="str">
        <x:v>临床研究员</x:v>
      </x:c>
      <x:c r="C389" s="39" t="str">
        <x:v>可直接合并</x:v>
      </x:c>
      <x:c r="D389" s="39" t="str">
        <x:v>临床研究员</x:v>
      </x:c>
      <x:c r="E389" s="42" t="n">
        <x:v>160</x:v>
      </x:c>
      <x:c r="F389" s="39" t="str">
        <x:v>IC-L3-311</x:v>
      </x:c>
      <x:c r="G389" s="42" t="n">
        <x:v>311</x:v>
      </x:c>
      <x:c r="H389" s="39" t="str">
        <x:v>医药/医疗 &gt; 临床试验 &gt; 临床研究员</x:v>
      </x:c>
      <x:c r="I389" s="39" t="str">
        <x:v>2-01-06-03</x:v>
      </x:c>
      <x:c r="J389" s="39" t="str">
        <x:v>化学研究人员</x:v>
      </x:c>
      <x:c r="K389" s="39" t="str">
        <x:v>临床研究员是医药/医疗行业中不可或缺的专业人才，主要负责临床试验的设计、执行与监督，确保研究活动符合科学、伦理及法规标准。通过精准的数据收集和分析，他们为新药研发提供关键支持，推动医学进步，改善患者健康状况。在公司内部，临床研究员不仅承担着连接研发部门与医疗机构的重要桥梁作用，还肩负着提高临床试验效率、降低失败风险、加速产品上市速度等多重使命，对公司长远发展…</x:v>
      </x:c>
      <x:c r="L389" s="39" t="str">
        <x:v>1. 负责制定详细的临床试验方案，包括试验设计、样本量计算、数据收集方法等，确保试验方案科学合理，满足监管要求。 2. 组织并参与临床试验前的准备工作，如伦理审查申请、研究者会议召开等，保证试验顺利启动。 3. 监督整个临床试验过程，定期检查数据质量，及时解决出现的问题，确保试验按计划进行，达到预期目标。 4. 协调内外部资源，与CRO（合同研究组织）、医院…</x:v>
      </x:c>
    </x:row>
    <x:row r="390" ht="52" customHeight="1">
      <x:c r="A390" s="42" t="n">
        <x:v>160</x:v>
      </x:c>
      <x:c r="B390" s="39" t="str">
        <x:v>临床研究员</x:v>
      </x:c>
      <x:c r="C390" s="39" t="str">
        <x:v>可直接合并</x:v>
      </x:c>
      <x:c r="D390" s="39" t="str">
        <x:v>临床研究员</x:v>
      </x:c>
      <x:c r="E390" s="42" t="n">
        <x:v>249</x:v>
      </x:c>
      <x:c r="F390" s="39" t="str">
        <x:v>IC-L3-400</x:v>
      </x:c>
      <x:c r="G390" s="42" t="n">
        <x:v>400</x:v>
      </x:c>
      <x:c r="H390" s="39" t="str">
        <x:v>医药/医疗 &gt; 生物制药 &gt; 临床研究员</x:v>
      </x:c>
      <x:c r="I390" s="39" t="str">
        <x:v>2-01-06-03</x:v>
      </x:c>
      <x:c r="J390" s="39" t="str">
        <x:v>化学研究人员</x:v>
      </x:c>
      <x:c r="K390" s="39" t="str">
        <x:v>临床研究员是专门从事药物临床研究设计与执行的专业人员。该职位的核心目标是通过规范开展临床试验，确保研究数据的科学性与合规性。在日常工作中，需要进行试验方案设计、研究中心管理、数据监查及研究报告撰写等工作。</x:v>
      </x:c>
      <x:c r="L390" s="39" t="str">
        <x:v>1. 设计临床试验方案 2. 执行临床研究操作 3. 收集分析试验数据 4. 撰写研究报告文件 5. 确保合规操作流程 6. 协调跨部门合作</x:v>
      </x:c>
    </x:row>
    <x:row r="391" ht="52" customHeight="1">
      <x:c r="A391" s="42" t="n">
        <x:v>161</x:v>
      </x:c>
      <x:c r="B391" s="39" t="str">
        <x:v>绿化工</x:v>
      </x:c>
      <x:c r="C391" s="39" t="str">
        <x:v>条件合并（先修分类）</x:v>
      </x:c>
      <x:c r="D391" s="39" t="str">
        <x:v>绿化工</x:v>
      </x:c>
      <x:c r="E391" s="42" t="n">
        <x:v>497</x:v>
      </x:c>
      <x:c r="F391" s="39" t="str">
        <x:v>IC-L3-648</x:v>
      </x:c>
      <x:c r="G391" s="42" t="n">
        <x:v>648</x:v>
      </x:c>
      <x:c r="H391" s="39" t="str">
        <x:v>建筑/房地产 &gt; 物业管理 &gt; 绿化工</x:v>
      </x:c>
      <x:c r="I391" s="39" t="str">
        <x:v>4-06-01-04</x:v>
      </x:c>
      <x:c r="J391" s="39" t="str">
        <x:v>智能楼宇管理员</x:v>
      </x:c>
      <x:c r="K391" s="39" t="str">
        <x:v>绿化工在建筑与房地产行业的物业管理领域中扮演着至关重要的角色。他们不仅负责美化社区环境，提升居住品质，而且通过专业的绿化维护工作，营造出健康和谐的生活氛围，增强业主的归属感和幸福感。作为物业团队的一员，绿化工需要与其他部门紧密合作，如安保、保洁等，确保整个小区的综合服务质量达到高标准；同时，随着城市化进程加快及人们对居住环境要求的提高，该岗位拥有广阔的职业发…</x:v>
      </x:c>
      <x:c r="L391" s="39" t="str">
        <x:v>1. 定期修剪树木花草，清理杂草，确保园区内植物生长良好，外观整洁美观。 2. 根据季节变化调整浇水频率，施加肥料，防治病虫害，保障植物健康成长。 3. 对公共区域的草坪进行定期维护，包括播种、施肥、除虫等工作，维持草坪的绿色和密度。 4. 负责特殊节日或活动期间的装饰布置，利用花卉植物创造节日气氛，增加社区活力。 5. 协助处理突发事件，如极端天气造成的树…</x:v>
      </x:c>
    </x:row>
    <x:row r="392" ht="52" customHeight="1">
      <x:c r="A392" s="42" t="n">
        <x:v>161</x:v>
      </x:c>
      <x:c r="B392" s="39" t="str">
        <x:v>绿化工</x:v>
      </x:c>
      <x:c r="C392" s="39" t="str">
        <x:v>条件合并（先修分类）</x:v>
      </x:c>
      <x:c r="D392" s="39" t="str">
        <x:v>绿化工</x:v>
      </x:c>
      <x:c r="E392" s="42" t="n">
        <x:v>928</x:v>
      </x:c>
      <x:c r="F392" s="39" t="str">
        <x:v>IC-L3-1079</x:v>
      </x:c>
      <x:c r="G392" s="42" t="n">
        <x:v>1079</x:v>
      </x:c>
      <x:c r="H392" s="39" t="str">
        <x:v>能源/环保/化工 &gt; 化工 &gt; 绿化工</x:v>
      </x:c>
      <x:c r="I392" s="39" t="str">
        <x:v>2-02-06-03</x:v>
      </x:c>
      <x:c r="J392" s="39" t="str">
        <x:v>化工生产工程技术人员</x:v>
      </x:c>
      <x:c r="K392" s="39" t="str">
        <x:v>绿化工是专门从事化工企业绿化维护与管理的专业人员。该职位的核心目标是通过科学的植物养护和环境美化，实现厂区生态环境优化。在日常工作中，需要进行绿化区域规划、植物种植养护、病虫害防治以及绿化设施维护等工作。</x:v>
      </x:c>
      <x:c r="L392" s="39" t="str">
        <x:v>1. 维护绿化设施设备 2. 调配化工营养药剂 3. 修剪养护园区植被 4. 处理植物病虫害 5. 记录绿化养护数据 6. 执行环保安全规范</x:v>
      </x:c>
    </x:row>
    <x:row r="393" ht="52" customHeight="1">
      <x:c r="A393" s="42" t="n">
        <x:v>162</x:v>
      </x:c>
      <x:c r="B393" s="39" t="str">
        <x:v>麻醉医生</x:v>
      </x:c>
      <x:c r="C393" s="39" t="str">
        <x:v>可直接合并</x:v>
      </x:c>
      <x:c r="D393" s="39" t="str">
        <x:v>麻醉医生</x:v>
      </x:c>
      <x:c r="E393" s="42" t="n">
        <x:v>187</x:v>
      </x:c>
      <x:c r="F393" s="39" t="str">
        <x:v>IC-L3-338</x:v>
      </x:c>
      <x:c r="G393" s="42" t="n">
        <x:v>338</x:v>
      </x:c>
      <x:c r="H393" s="39" t="str">
        <x:v>医药/医疗 &gt; 医生/医技 &gt; 麻醉医生</x:v>
      </x:c>
      <x:c r="I393" s="39" t="str">
        <x:v>2-05-01-19</x:v>
      </x:c>
      <x:c r="J393" s="39" t="str">
        <x:v>全科医师</x:v>
      </x:c>
      <x:c r="K393" s="39" t="str">
        <x:v>麻醉医生是医药/医疗行业中不可或缺的专业人才，他们通过精准的麻醉技术确保手术过程的安全与顺利，同时保障患者的生命安全，是手术成功的重要守护者。麻醉医生的核心目标是在手术过程中提供最适宜的麻醉深度，有效管理患者的生命体征，确保手术过程平稳进行；此外，他们还负责术前评估患者的健康状况，制定个性化的麻醉方案，以及术后疼痛管理和并发症预防，对于提高医院的整体医疗质量…</x:v>
      </x:c>
      <x:c r="L393" s="39" t="str">
        <x:v>1. 负责手术患者术前访视，详细了解病史及身体状况，制定个性化麻醉计划，确保麻醉方案符合患者需求。 2. 实施全身麻醉或局部麻醉操作，监测并调控患者生命体征，确保手术期间患者处于安全状态。 3. 与外科医生、护士等医护人员密切配合，处理术中突发情况，及时采取措施保障患者安全。 4. 术后随访患者恢复情况，指导并参与术后镇痛治疗，促进患者快速康复。 5. 参加…</x:v>
      </x:c>
    </x:row>
    <x:row r="394" ht="52" customHeight="1">
      <x:c r="A394" s="42" t="n">
        <x:v>162</x:v>
      </x:c>
      <x:c r="B394" s="39" t="str">
        <x:v>麻醉医生</x:v>
      </x:c>
      <x:c r="C394" s="39" t="str">
        <x:v>可直接合并</x:v>
      </x:c>
      <x:c r="D394" s="39" t="str">
        <x:v>麻醉医生</x:v>
      </x:c>
      <x:c r="E394" s="42" t="n">
        <x:v>220</x:v>
      </x:c>
      <x:c r="F394" s="39" t="str">
        <x:v>IC-L3-371</x:v>
      </x:c>
      <x:c r="G394" s="42" t="n">
        <x:v>371</x:v>
      </x:c>
      <x:c r="H394" s="39" t="str">
        <x:v>医药/医疗 &gt; 护理/护士 &gt; 麻醉医生</x:v>
      </x:c>
      <x:c r="I394" s="39" t="str">
        <x:v>2-05-01-19</x:v>
      </x:c>
      <x:c r="J394" s="39" t="str">
        <x:v>全科医师</x:v>
      </x:c>
      <x:c r="K394" s="39" t="str">
        <x:v>麻醉医生是专门从事围手术期患者麻醉与生命体征管理的专业人员。该职位的核心目标是通过精准实施麻醉方案，确保手术患者安全无痛并维持生命体征平稳。在日常工作中，需要进行术前评估、麻醉方案制定、术中麻醉实施与监护、术后镇痛管理等工作。</x:v>
      </x:c>
      <x:c r="L394" s="39" t="str">
        <x:v>1. 评估患者麻醉风险 2. 制定麻醉方案计划 3. 实施麻醉操作管理 4. 监测生命体征变化 5. 处理麻醉突发状况 6. 指导术后镇痛护理</x:v>
      </x:c>
    </x:row>
    <x:row r="395" ht="52" customHeight="1">
      <x:c r="A395" s="42" t="n">
        <x:v>163</x:v>
      </x:c>
      <x:c r="B395" s="39" t="str">
        <x:v>美容顾问</x:v>
      </x:c>
      <x:c r="C395" s="39" t="str">
        <x:v>可直接合并</x:v>
      </x:c>
      <x:c r="D395" s="39" t="str">
        <x:v>美容顾问</x:v>
      </x:c>
      <x:c r="E395" s="42" t="n">
        <x:v>280</x:v>
      </x:c>
      <x:c r="F395" s="39" t="str">
        <x:v>IC-L3-431</x:v>
      </x:c>
      <x:c r="G395" s="42" t="n">
        <x:v>431</x:v>
      </x:c>
      <x:c r="H395" s="39" t="str">
        <x:v>销售/客服 &gt; 服务业销售 &gt; 美容顾问</x:v>
      </x:c>
      <x:c r="I395" s="39" t="str">
        <x:v>4-10-03-01</x:v>
      </x:c>
      <x:c r="J395" s="39" t="str">
        <x:v>美容师</x:v>
      </x:c>
      <x:c r="K395" s="39" t="str">
        <x:v>美容顾问在销售与客服行业中扮演着至关重要的角色，尤其在服务业销售领域，他们是连接客户与品牌的桥梁。通过提供个性化的护肤建议和服务，美容顾问不仅能够满足顾客的需求，还能有效提升品牌形象和顾客忠诚度。作为美容顾问，其核心目标是通过专业的皮肤分析和产品推荐，帮助客户解决肌肤问题，实现美丽梦想。这一过程中，他们将促进产品销售，增加客户满意度，从而为公司创造持续的价值…</x:v>
      </x:c>
      <x:c r="L395" s="39" t="str">
        <x:v>1. 为顾客提供专业的皮肤护理咨询及产品使用指导，确保每位顾客都能获得最适合自己的个性化解决方案。 2. 定期参加品牌培训，掌握最新美容知识和技术，以便更好地服务于顾客并推广新产品。 3. 负责维护客户关系管理系统，记录顾客信息和消费习惯，为后续跟进和精准营销提供数据支持。 4. 在店内或活动中积极推广品牌文化，提升顾客对公司产品的认知度和好感度。 5. 协…</x:v>
      </x:c>
    </x:row>
    <x:row r="396" ht="52" customHeight="1">
      <x:c r="A396" s="42" t="n">
        <x:v>163</x:v>
      </x:c>
      <x:c r="B396" s="39" t="str">
        <x:v>美容顾问</x:v>
      </x:c>
      <x:c r="C396" s="39" t="str">
        <x:v>可直接合并</x:v>
      </x:c>
      <x:c r="D396" s="39" t="str">
        <x:v>美容顾问</x:v>
      </x:c>
      <x:c r="E396" s="42" t="n">
        <x:v>841</x:v>
      </x:c>
      <x:c r="F396" s="39" t="str">
        <x:v>IC-L3-992</x:v>
      </x:c>
      <x:c r="G396" s="42" t="n">
        <x:v>992</x:v>
      </x:c>
      <x:c r="H396" s="39" t="str">
        <x:v>生活服务/零售 &gt; 美容美发 &gt; 美容顾问</x:v>
      </x:c>
      <x:c r="I396" s="39" t="str">
        <x:v>4-10-03-01</x:v>
      </x:c>
      <x:c r="J396" s="39" t="str">
        <x:v>美容师</x:v>
      </x:c>
      <x:c r="K396" s="39" t="str">
        <x:v>美容顾问是生活服务与零售行业中不可或缺的专业角色，他们不仅负责提供高质量的美容咨询和服务，还承担着提升客户满意度和忠诚度的重要任务。通过深入了解每位顾客的需求，美容顾问能够为其推荐最适合的护理方案，从而帮助公司建立良好的品牌形象，促进销售增长并提高市场竞争力。此外，美容顾问还需与其他部门如营销、培训等紧密合作，共同参与新产品的测试与推广活动，这为个人提供了广…</x:v>
      </x:c>
      <x:c r="L396" s="39" t="str">
        <x:v>1. 为到店或线上咨询的客户提供专业的皮肤分析和个性化美容建议，确保每位顾客都能获得满意的服务体验。 2. 定期参加产品知识和销售技巧培训，不断提升自身专业水平，以便更有效地向顾客介绍公司最新的美容产品和服务项目。 3. 跟踪记录客户的消费情况和反馈意见，及时向上级汇报潜在问题或改进点，协助优化服务质量。 4. 积极参与店铺组织的各种促销活动，利用专业知识和…</x:v>
      </x:c>
    </x:row>
    <x:row r="397" ht="52" customHeight="1">
      <x:c r="A397" s="42" t="n">
        <x:v>164</x:v>
      </x:c>
      <x:c r="B397" s="39" t="str">
        <x:v>美术编辑</x:v>
      </x:c>
      <x:c r="C397" s="39" t="str">
        <x:v>可直接合并</x:v>
      </x:c>
      <x:c r="D397" s="39" t="str">
        <x:v>美术编辑</x:v>
      </x:c>
      <x:c r="E397" s="42" t="n">
        <x:v>531</x:v>
      </x:c>
      <x:c r="F397" s="39" t="str">
        <x:v>IC-L3-682</x:v>
      </x:c>
      <x:c r="G397" s="42" t="n">
        <x:v>682</x:v>
      </x:c>
      <x:c r="H397" s="39" t="str">
        <x:v>文化/传媒 &gt; 影视/媒体 &gt; 美术编辑</x:v>
      </x:c>
      <x:c r="I397" s="39" t="str">
        <x:v>2-09-06-01</x:v>
      </x:c>
      <x:c r="J397" s="39" t="str">
        <x:v>视觉传达设计人员</x:v>
      </x:c>
      <x:c r="K397" s="39" t="str">
        <x:v>美术编辑是专门从事视觉内容创作与设计的专业人员。该职位的核心目标是通过艺术设计与视觉呈现，提升影视/媒体作品的视觉吸引力和品牌价值。在日常工作中，需要进行版面设计、视觉元素整合、色彩搭配及创意方案执行等工作。</x:v>
      </x:c>
      <x:c r="L397" s="39" t="str">
        <x:v>1. 设计影视宣传物料 2. 制作媒体视觉内容 3. 优化图像视频效果 4. 把控美术设计风格 5. 配合团队创意执行 6. 维护品牌视觉标准</x:v>
      </x:c>
    </x:row>
    <x:row r="398" ht="52" customHeight="1">
      <x:c r="A398" s="42" t="n">
        <x:v>164</x:v>
      </x:c>
      <x:c r="B398" s="39" t="str">
        <x:v>美术编辑</x:v>
      </x:c>
      <x:c r="C398" s="39" t="str">
        <x:v>可直接合并</x:v>
      </x:c>
      <x:c r="D398" s="39" t="str">
        <x:v>美术编辑</x:v>
      </x:c>
      <x:c r="E398" s="42" t="n">
        <x:v>547</x:v>
      </x:c>
      <x:c r="F398" s="39" t="str">
        <x:v>IC-L3-698</x:v>
      </x:c>
      <x:c r="G398" s="42" t="n">
        <x:v>698</x:v>
      </x:c>
      <x:c r="H398" s="39" t="str">
        <x:v>文化/传媒 &gt; 编辑/出版 &gt; 美术编辑</x:v>
      </x:c>
      <x:c r="I398" s="39" t="str">
        <x:v>2-09-06-01</x:v>
      </x:c>
      <x:c r="J398" s="39" t="str">
        <x:v>视觉传达设计人员</x:v>
      </x:c>
      <x:c r="K398" s="39" t="str">
        <x:v>美术编辑是文化/传媒行业中不可或缺的专业人才，他们负责视觉设计与创意实现，确保出版物或媒体内容的艺术质量，提升品牌形象，满足读者审美需求。作为连接文字与图像的桥梁，美术编辑的核心目标在于通过精心设计版面布局、选择配图及色彩搭配等手段，使内容更加生动有趣，易于理解，从而增强用户体验，提高用户黏性，增加公司收益。在团队合作方面，美术编辑需与文字编辑、记者、设计师…</x:v>
      </x:c>
      <x:c r="L398" s="39" t="str">
        <x:v>1. 负责图书、杂志、报纸、网站等各类出版物的设计工作，包括封面设计、内页排版、插画绘制等，确保整体风格统一且符合品牌调性。 2. 与文案编辑沟通，了解文章主题与内容特点，据此挑选合适的图片素材，优化图文关系，强化视觉传达效果。 3. 根据项目要求制定设计方案，把控设计进度，协调内部资源，保证按时按质完成设计任务。 4. 关注行业动态，学习最新的设计理念和技…</x:v>
      </x:c>
    </x:row>
    <x:row r="399" ht="52" customHeight="1">
      <x:c r="A399" s="42" t="n">
        <x:v>165</x:v>
      </x:c>
      <x:c r="B399" s="39" t="str">
        <x:v>美术老师</x:v>
      </x:c>
      <x:c r="C399" s="39" t="str">
        <x:v>可直接合并</x:v>
      </x:c>
      <x:c r="D399" s="39" t="str">
        <x:v>美术老师</x:v>
      </x:c>
      <x:c r="E399" s="42" t="n">
        <x:v>824</x:v>
      </x:c>
      <x:c r="F399" s="39" t="str">
        <x:v>IC-L3-975</x:v>
      </x:c>
      <x:c r="G399" s="42" t="n">
        <x:v>975</x:v>
      </x:c>
      <x:c r="H399" s="39" t="str">
        <x:v>生活服务/零售 &gt; 服务员 &gt; 美术老师</x:v>
      </x:c>
      <x:c r="I399" s="39" t="str">
        <x:v>2-09-06-01</x:v>
      </x:c>
      <x:c r="J399" s="39" t="str">
        <x:v>视觉传达设计人员</x:v>
      </x:c>
      <x:c r="K399" s="39" t="str">
        <x:v>美术老师是专门从事艺术教育和创作指导的专业人员。该职位的核心目标是通过系统化的美术教学，提升服务行业从业人员的审美素养和创意表达能力。在日常工作中，需要进行美术课程设计、基础绘画技法教授、服务场景视觉美化指导等工作。</x:v>
      </x:c>
      <x:c r="L399" s="39" t="str">
        <x:v>1. 设计美术课程内容 2. 教授基础绘画技法 3. 指导创意美术实践 4. 组织美术展览活动 5. 评估学生作品质量 6. 维护教学器材设备</x:v>
      </x:c>
    </x:row>
    <x:row r="400" ht="52" customHeight="1">
      <x:c r="A400" s="42" t="n">
        <x:v>165</x:v>
      </x:c>
      <x:c r="B400" s="39" t="str">
        <x:v>美术老师</x:v>
      </x:c>
      <x:c r="C400" s="39" t="str">
        <x:v>可直接合并</x:v>
      </x:c>
      <x:c r="D400" s="39" t="str">
        <x:v>美术老师</x:v>
      </x:c>
      <x:c r="E400" s="42" t="n">
        <x:v>886</x:v>
      </x:c>
      <x:c r="F400" s="39" t="str">
        <x:v>IC-L3-1037</x:v>
      </x:c>
      <x:c r="G400" s="42" t="n">
        <x:v>1037</x:v>
      </x:c>
      <x:c r="H400" s="39" t="str">
        <x:v>科研/教育/培训 &gt; 教师 &gt; 美术老师</x:v>
      </x:c>
      <x:c r="I400" s="39" t="str">
        <x:v>2-09-06-01</x:v>
      </x:c>
      <x:c r="J400" s="39" t="str">
        <x:v>视觉传达设计人员</x:v>
      </x:c>
      <x:c r="K400" s="39" t="str">
        <x:v>美术老师是科研、教育与培训行业中不可或缺的角色之一，他们通过艺术教育激发学生的创造力和审美能力，帮助学生建立全面的艺术视角，促进其个性发展。美术老师的教育质量直接影响到学生的艺术素养及未来的发展潜力，因此他们在学校教育体系中占据着非常重要的地位。 美术老师的核心目标在于培养学生对美的感知力、鉴赏力以及创作能力，同时引导学生掌握基本的绘画技巧和理论知识。通过对…</x:v>
      </x:c>
      <x:c r="L400" s="39" t="str">
        <x:v>1. 负责制定并执行美术课程计划，确保教学内容符合国家教育标准及学校要求。 2. 采用多种教学方法和手段，激发学生学习兴趣，提高课堂互动效果，实现良好的教学成果。 3. 定期评估学生的学习进度，及时反馈家长关于孩子在美术方面的发展情况。 4. 积极参加校内外各种艺术交流活动，拓展视野，不断提升自身专业水平。 5. 协助学校开展各类美术展览和竞赛活动，为学生搭…</x:v>
      </x:c>
    </x:row>
    <x:row r="401" ht="52" customHeight="1">
      <x:c r="A401" s="42" t="n">
        <x:v>166</x:v>
      </x:c>
      <x:c r="B401" s="39" t="str">
        <x:v>美术指导</x:v>
      </x:c>
      <x:c r="C401" s="39" t="str">
        <x:v>条件合并（先修分类）</x:v>
      </x:c>
      <x:c r="D401" s="39" t="str">
        <x:v>美术指导</x:v>
      </x:c>
      <x:c r="E401" s="42" t="n">
        <x:v>400</x:v>
      </x:c>
      <x:c r="F401" s="39" t="str">
        <x:v>IC-L3-551</x:v>
      </x:c>
      <x:c r="G401" s="42" t="n">
        <x:v>551</x:v>
      </x:c>
      <x:c r="H401" s="39" t="str">
        <x:v>市场/公关 &gt; 市场/营销 &gt; 美术指导</x:v>
      </x:c>
      <x:c r="I401" s="39" t="str">
        <x:v>4-01-02-01</x:v>
      </x:c>
      <x:c r="J401" s="39" t="str">
        <x:v>营销员</x:v>
      </x:c>
      <x:c r="K401" s="39" t="str">
        <x:v>美术指导是专门从事视觉创意设计的专业人员。该职位的核心目标是通过高质量的视觉设计方案，提升品牌营销效果和传播价值。在日常工作中，需要进行创意构思、视觉风格制定、设计团队管理等工作。</x:v>
      </x:c>
      <x:c r="L401" s="39" t="str">
        <x:v>1. 制定视觉创意方案 2. 把控品牌视觉风格 3. 指导美术设计执行 4. 协调跨部门合作 5. 审核设计作品质量 6. 跟踪市场设计趋势</x:v>
      </x:c>
    </x:row>
    <x:row r="402" ht="52" customHeight="1">
      <x:c r="A402" s="42" t="n">
        <x:v>166</x:v>
      </x:c>
      <x:c r="B402" s="39" t="str">
        <x:v>美术指导</x:v>
      </x:c>
      <x:c r="C402" s="39" t="str">
        <x:v>条件合并（先修分类）</x:v>
      </x:c>
      <x:c r="D402" s="39" t="str">
        <x:v>美术指导</x:v>
      </x:c>
      <x:c r="E402" s="42" t="n">
        <x:v>417</x:v>
      </x:c>
      <x:c r="F402" s="39" t="str">
        <x:v>IC-L3-568</x:v>
      </x:c>
      <x:c r="G402" s="42" t="n">
        <x:v>568</x:v>
      </x:c>
      <x:c r="H402" s="39" t="str">
        <x:v>市场/公关 &gt; 广告 &gt; 美术指导</x:v>
      </x:c>
      <x:c r="I402" s="39" t="str">
        <x:v>2-09-06-01</x:v>
      </x:c>
      <x:c r="J402" s="39" t="str">
        <x:v>视觉传达设计人员</x:v>
      </x:c>
      <x:c r="K402" s="39" t="str">
        <x:v>美术指导是市场/公关行业中不可或缺的角色之一，负责将创意概念转化为视觉艺术作品，通过独特的设计和艺术表现力吸引目标受众，推动品牌或产品的市场认知度提升。作为广告项目中的核心成员，美术指导的主要目标是确保所有视觉材料与品牌的形象和信息传达一致，通过对色彩、图像、排版等元素的专业把控，创造引人注目的广告作品，从而增强客户的品牌影响力并促进销售增长。此外，美术指导…</x:v>
      </x:c>
      <x:c r="L402" s="39" t="str">
        <x:v>1. 负责整个广告项目的视觉风格设计，包括但不限于平面广告、视频短片、社交媒体内容等，确保其符合品牌形象及传播策略要求。 2. 与文案策划人员密切沟通，准确理解广告主题和信息点，运用创新的设计手法将文字信息转化为富有吸引力的画面。 3. 监督并指导设计师团队的工作流程，确保按时按质完成各项任务，同时培养团队成员的专业能力。 4. 定期参与行业交流活动，了解最…</x:v>
      </x:c>
    </x:row>
    <x:row r="403" ht="52" customHeight="1">
      <x:c r="A403" s="42" t="n">
        <x:v>167</x:v>
      </x:c>
      <x:c r="B403" s="39" t="str">
        <x:v>面料辅料开发</x:v>
      </x:c>
      <x:c r="C403" s="39" t="str">
        <x:v>条件合并（先修分类）</x:v>
      </x:c>
      <x:c r="D403" s="39" t="str">
        <x:v>面料辅料开发</x:v>
      </x:c>
      <x:c r="E403" s="42" t="n">
        <x:v>701</x:v>
      </x:c>
      <x:c r="F403" s="39" t="str">
        <x:v>IC-L3-852</x:v>
      </x:c>
      <x:c r="G403" s="42" t="n">
        <x:v>852</x:v>
      </x:c>
      <x:c r="H403" s="39" t="str">
        <x:v>生产制造 &gt; 服装/纺织/皮革 &gt; 面料辅料开发</x:v>
      </x:c>
      <x:c r="I403" s="39" t="str">
        <x:v>6-23-01-01</x:v>
      </x:c>
      <x:c r="J403" s="39" t="str">
        <x:v>铁路机车制修工</x:v>
      </x:c>
      <x:c r="K403" s="39" t="str">
        <x:v>面料辅料开发是服装/纺织/皮革行业中至关重要的环节，负责新面料与辅料的研发，以满足市场需求并推动产品创新。作为连接设计、生产和市场的重要桥梁，该职位不仅需要具备扎实的专业知识，还需要敏锐的市场洞察力和创新能力。 该职位的核心目标在于通过持续不断地探索新型材料和技术，优化现有产品线，提高面料的功能性、美观性和环保性能，从而增强公司的竞争力，实现可持续发展。同时…</x:v>
      </x:c>
      <x:c r="L403" s="39" t="str">
        <x:v>1. 负责收集国内外最新的面料辅料信息，分析流行趋势，提出创新性的研发方案，以适应市场变化。 2. 与设计团队合作，针对不同产品系列进行面料辅料的选择与搭配，确保设计方案的可行性与独特性。 3. 定期与供应商交流，评估其生产能力与技术水平，确保所采购的材料符合公司要求。 4. 参与新产品开发项目，负责面料辅料的技术支持工作，解决生产过程中遇到的问题，保证产品…</x:v>
      </x:c>
    </x:row>
    <x:row r="404" ht="52" customHeight="1">
      <x:c r="A404" s="42" t="n">
        <x:v>167</x:v>
      </x:c>
      <x:c r="B404" s="39" t="str">
        <x:v>面料辅料开发</x:v>
      </x:c>
      <x:c r="C404" s="39" t="str">
        <x:v>条件合并（先修分类）</x:v>
      </x:c>
      <x:c r="D404" s="39" t="str">
        <x:v>面料辅料开发</x:v>
      </x:c>
      <x:c r="E404" s="42" t="n">
        <x:v>1019</x:v>
      </x:c>
      <x:c r="F404" s="39" t="str">
        <x:v>IC-L3-1170</x:v>
      </x:c>
      <x:c r="G404" s="42" t="n">
        <x:v>1170</x:v>
      </x:c>
      <x:c r="H404" s="39" t="str">
        <x:v>设计 &gt; 服装设计 &gt; 面料辅料开发</x:v>
      </x:c>
      <x:c r="I404" s="39" t="str">
        <x:v>2-09-06-01</x:v>
      </x:c>
      <x:c r="J404" s="39" t="str">
        <x:v>视觉传达设计人员</x:v>
      </x:c>
      <x:c r="K404" s="39" t="str">
        <x:v>面料辅料开发是服装设计领域中不可或缺的一环，它不仅关系到服装的最终呈现效果，还直接影响着服装品牌的市场竞争力。该职位通过对面料和辅料的创新研发，确保公司能够持续推出符合市场需求的新产品，从而提升品牌形象和市场份额。此外，面料辅料开发人员需要与设计团队紧密合作，共同探索材料的应用可能性，同时也与供应链管理团队协作，确保新材料从研发到生产的顺利过渡。随着行业技术…</x:v>
      </x:c>
      <x:c r="L404" s="39" t="str">
        <x:v>1. 负责收集并分析国内外最新的面料及辅料趋势，为产品开发提供灵感和支持。 2. 与设计部门沟通，理解产品设计需求，开发适合特定风格或季节的新型面料和辅料。 3. 协调供应商资源，进行样品测试，确保所选材料的质量符合公司标准。 4. 定期参与行业交流活动，了解行业动态和技术进步，推动公司技术创新。 5. 对已上市产品的面料辅料性能进行跟踪评估，不断优化现有材…</x:v>
      </x:c>
    </x:row>
    <x:row r="405" ht="52" customHeight="1">
      <x:c r="A405" s="42" t="n">
        <x:v>168</x:v>
      </x:c>
      <x:c r="B405" s="39" t="str">
        <x:v>模具工程师</x:v>
      </x:c>
      <x:c r="C405" s="39" t="str">
        <x:v>条件合并（先修分类）</x:v>
      </x:c>
      <x:c r="D405" s="39" t="str">
        <x:v>模具工程师</x:v>
      </x:c>
      <x:c r="E405" s="42" t="n">
        <x:v>645</x:v>
      </x:c>
      <x:c r="F405" s="39" t="str">
        <x:v>IC-L3-796</x:v>
      </x:c>
      <x:c r="G405" s="42" t="n">
        <x:v>796</x:v>
      </x:c>
      <x:c r="H405" s="39" t="str">
        <x:v>生产制造 &gt; 工程/机械 &gt; 模具工程师</x:v>
      </x:c>
      <x:c r="I405" s="39" t="str">
        <x:v>2-02-07-01</x:v>
      </x:c>
      <x:c r="J405" s="39" t="str">
        <x:v>机械设计工程技术人员</x:v>
      </x:c>
      <x:c r="K405" s="39" t="str">
        <x:v>模具工程师是生产制造行业中不可或缺的专业人才，他们负责设计、开发和优化用于生产各种产品的模具，确保产品质量与生产效率。作为连接产品设计与制造过程的关键桥梁，模具工程师对于提升企业竞争力、降低成本、缩短生产周期等方面发挥着至关重要的作用。 该职位的核心目标在于通过先进的模具技术解决方案提高产品成型精度及表面质量，同时减少材料浪费并延长模具使用寿命。模具工程师需…</x:v>
      </x:c>
      <x:c r="L405" s="39" t="str">
        <x:v>1. 负责新产品的模具设计工作，包括但不限于3D建模、2D图纸绘制以及相关计算分析，确保设计方案满足产品性能指标和生产需求。 2. 与客户及内部团队进行技术沟通，准确理解客户需求，提供专业的模具方案建议，协助解决产品开发过程中出现的设计问题。 3. 参与模具试制和调试阶段，监控加工过程，记录并分析数据，针对发现的问题提出改进措施，直至达到预期效果。 4. 定…</x:v>
      </x:c>
    </x:row>
    <x:row r="406" ht="52" customHeight="1">
      <x:c r="A406" s="42" t="n">
        <x:v>168</x:v>
      </x:c>
      <x:c r="B406" s="39" t="str">
        <x:v>模具工程师</x:v>
      </x:c>
      <x:c r="C406" s="39" t="str">
        <x:v>条件合并（先修分类）</x:v>
      </x:c>
      <x:c r="D406" s="39" t="str">
        <x:v>模具工程师</x:v>
      </x:c>
      <x:c r="E406" s="42" t="n">
        <x:v>674</x:v>
      </x:c>
      <x:c r="F406" s="39" t="str">
        <x:v>IC-L3-825</x:v>
      </x:c>
      <x:c r="G406" s="42" t="n">
        <x:v>825</x:v>
      </x:c>
      <x:c r="H406" s="39" t="str">
        <x:v>生产制造 &gt; 技工 &gt; 模具工程师</x:v>
      </x:c>
      <x:c r="I406" s="39" t="str">
        <x:v>6-31-01-01</x:v>
      </x:c>
      <x:c r="J406" s="39" t="str">
        <x:v>设备点检员</x:v>
      </x:c>
      <x:c r="K406" s="39" t="str">
        <x:v>模具工程师是专门从事模具设计与制造的专业技术人员。该职位的核心目标是通过优化模具设计与工艺方案，实现产品质量提升和生产效率提高。在日常工作中，需要进行模具结构设计、加工工艺制定、模具调试维护及技术支持等工作。</x:v>
      </x:c>
      <x:c r="L406" s="39" t="str">
        <x:v>1. 设计模具结构方案 2. 编制模具加工工艺 3. 监督模具制造过程 4. 调试维修生产模具 5. 优化模具生产工艺 6. 管理模具技术档案</x:v>
      </x:c>
    </x:row>
    <x:row r="407" ht="52" customHeight="1">
      <x:c r="A407" s="42" t="n">
        <x:v>169</x:v>
      </x:c>
      <x:c r="B407" s="39" t="str">
        <x:v>模特</x:v>
      </x:c>
      <x:c r="C407" s="39" t="str">
        <x:v>条件合并（先修分类）</x:v>
      </x:c>
      <x:c r="D407" s="39" t="str">
        <x:v>模特</x:v>
      </x:c>
      <x:c r="E407" s="42" t="n">
        <x:v>532</x:v>
      </x:c>
      <x:c r="F407" s="39" t="str">
        <x:v>IC-L3-683</x:v>
      </x:c>
      <x:c r="G407" s="42" t="n">
        <x:v>683</x:v>
      </x:c>
      <x:c r="H407" s="39" t="str">
        <x:v>文化/传媒 &gt; 影视/媒体 &gt; 模特</x:v>
      </x:c>
      <x:c r="I407" s="39" t="str">
        <x:v>2-09-06-01</x:v>
      </x:c>
      <x:c r="J407" s="39" t="str">
        <x:v>视觉传达设计人员</x:v>
      </x:c>
      <x:c r="K407" s="39" t="str">
        <x:v>模特是专门从事形象展示与表演的专业人员。该职位的核心目标是通过塑造符合剧本或品牌要求的形象，实现影视作品或商业广告的最佳视觉效果。在日常工作中，需要进行T台走秀、平面拍摄、动态表演及配合造型团队完成形象塑造等工作。</x:v>
      </x:c>
      <x:c r="L407" s="39" t="str">
        <x:v>1. 参与影视拍摄工作 2. 展示服装造型效果 3. 配合导演镜头要求 4. 保持专业镜头表现 5. 维护个人形象管理 6. 遵守拍摄现场纪律</x:v>
      </x:c>
    </x:row>
    <x:row r="408" ht="52" customHeight="1">
      <x:c r="A408" s="42" t="n">
        <x:v>169</x:v>
      </x:c>
      <x:c r="B408" s="39" t="str">
        <x:v>模特</x:v>
      </x:c>
      <x:c r="C408" s="39" t="str">
        <x:v>条件合并（先修分类）</x:v>
      </x:c>
      <x:c r="D408" s="39" t="str">
        <x:v>模特</x:v>
      </x:c>
      <x:c r="E408" s="42" t="n">
        <x:v>536</x:v>
      </x:c>
      <x:c r="F408" s="39" t="str">
        <x:v>IC-L3-687</x:v>
      </x:c>
      <x:c r="G408" s="42" t="n">
        <x:v>687</x:v>
      </x:c>
      <x:c r="H408" s="39" t="str">
        <x:v>文化/传媒 &gt; 演员/主播 &gt; 模特</x:v>
      </x:c>
      <x:c r="I408" s="39" t="str">
        <x:v>2-09-04-01</x:v>
      </x:c>
      <x:c r="J408" s="39" t="str">
        <x:v>灯光师</x:v>
      </x:c>
      <x:c r="K408" s="39" t="str">
        <x:v>模特作为文化/传媒行业中不可或缺的一部分，不仅代表了品牌的形象，更是传递美学与潮流的重要媒介。通过其独特的表现力和魅力，模特能够吸引公众的注意力，进而促进品牌或产品的认知度和好感度。在各种时尚秀场、广告拍摄以及媒体活动中，模特以其专业的姿态和表现力，成为连接品牌与消费者之间的桥梁，对于提升品牌形象、扩大市场影响力具有重要作用。 模特的核心目标在于通过自身的形…</x:v>
      </x:c>
      <x:c r="L408" s="39" t="str">
        <x:v>1. 根据客户要求，参与各类商业活动、时装秀、广告摄影等项目，以最佳状态展示产品或品牌特色。 2. 与团队成员（如导演、摄影师、化妆师）保持良好沟通，确保拍摄效果符合预期标准。 3. 积极学习新技能，不断提升自身业务水平，以适应不同风格和类型的拍摄需求。 4. 维护良好的身体状况和个人形象，定期进行体能训练和皮肤护理，确保最佳上镜效果。 5. 参与品牌推广活…</x:v>
      </x:c>
    </x:row>
    <x:row r="409" ht="52" customHeight="1">
      <x:c r="A409" s="42" t="n">
        <x:v>170</x:v>
      </x:c>
      <x:c r="B409" s="39" t="str">
        <x:v>木工</x:v>
      </x:c>
      <x:c r="C409" s="39" t="str">
        <x:v>条件合并（先修分类）</x:v>
      </x:c>
      <x:c r="D409" s="39" t="str">
        <x:v>木工</x:v>
      </x:c>
      <x:c r="E409" s="42" t="n">
        <x:v>421</x:v>
      </x:c>
      <x:c r="F409" s="39" t="str">
        <x:v>IC-L3-572</x:v>
      </x:c>
      <x:c r="G409" s="42" t="n">
        <x:v>572</x:v>
      </x:c>
      <x:c r="H409" s="39" t="str">
        <x:v>建筑/房地产 &gt; 建筑/装修工人 &gt; 木工</x:v>
      </x:c>
      <x:c r="I409" s="39" t="str">
        <x:v>6-29-01-01</x:v>
      </x:c>
      <x:c r="J409" s="39" t="str">
        <x:v>砌筑工</x:v>
      </x:c>
      <x:c r="K409" s="39" t="str">
        <x:v>木工作为建筑与装修行业中不可或缺的角色，负责确保所有木质结构的精确制作与安装，是建筑项目中连接设计与实现的关键环节。通过精湛的手艺和专业的知识，木工不仅能够提升建筑物的功能性，还能增强其美观度，为客户提供高质量的生活或工作空间。此外，木工通常与其他工种如电工、水管工等紧密合作，共同推动项目的顺利进行，同时也有机会向高级木工、项目经理等职位发展，拥有广阔的职业…</x:v>
      </x:c>
      <x:c r="L409" s="39" t="str">
        <x:v>1. 根据设计方案和施工图纸，准确测量、切割并组装木材，确保符合安全标准及客户要求。 2. 负责现场木质材料的搬运、存储以及剩余物料的管理，保证施工现场整洁有序。 3. 完成门窗框架、楼梯扶手、地板铺设等木制构件的安装工作，确保结构稳固、接缝严密。 4. 对已完成的木制品进行打磨、上漆或涂装处理，达到表面光滑、色泽均匀的效果。 5. 协助解决施工过程中遇到的…</x:v>
      </x:c>
    </x:row>
    <x:row r="410" ht="52" customHeight="1">
      <x:c r="A410" s="42" t="n">
        <x:v>170</x:v>
      </x:c>
      <x:c r="B410" s="39" t="str">
        <x:v>木工</x:v>
      </x:c>
      <x:c r="C410" s="39" t="str">
        <x:v>条件合并（先修分类）</x:v>
      </x:c>
      <x:c r="D410" s="39" t="str">
        <x:v>木工</x:v>
      </x:c>
      <x:c r="E410" s="42" t="n">
        <x:v>667</x:v>
      </x:c>
      <x:c r="F410" s="39" t="str">
        <x:v>IC-L3-818</x:v>
      </x:c>
      <x:c r="G410" s="42" t="n">
        <x:v>818</x:v>
      </x:c>
      <x:c r="H410" s="39" t="str">
        <x:v>生产制造 &gt; 技工 &gt; 木工</x:v>
      </x:c>
      <x:c r="I410" s="39" t="str">
        <x:v>6-31-01-01</x:v>
      </x:c>
      <x:c r="J410" s="39" t="str">
        <x:v>设备点检员</x:v>
      </x:c>
      <x:c r="K410" s="39" t="str">
        <x:v>木工是生产制造行业中不可或缺的专业技能岗位，负责从原木到成品的加工过程，确保产品既美观又实用。这一角色不仅要求高超的手工技艺，还需要具备良好的机械操作能力，以适应现代制造业的发展需求。 木工的核心目标在于通过精准的切割、拼接等技术，将设计图纸转化为实际产品，同时保证产品的质量和生产效率。他们对于提升公司品牌形象及客户满意度具有重要作用，通过对细节的把控和创新…</x:v>
      </x:c>
      <x:c r="L410" s="39" t="str">
        <x:v>1. 根据设计图纸或样品要求，使用各类工具和机械设备进行木材加工，确保尺寸准确无误。 2. 负责检查原材料质量，及时发现并处理不合格材料，避免浪费和影响生产进度。 3. 完成半成品组装、表面处理等工作，确保最终产品符合质量标准。 4. 与设计团队沟通交流，提出合理化建议，优化生产工艺流程。 5. 维护保养所使用的设备和工具，确保其正常运行，延长使用寿命。</x:v>
      </x:c>
    </x:row>
    <x:row r="411" ht="52" customHeight="1">
      <x:c r="A411" s="42" t="n">
        <x:v>171</x:v>
      </x:c>
      <x:c r="B411" s="39" t="str">
        <x:v>幕墙设计</x:v>
      </x:c>
      <x:c r="C411" s="39" t="str">
        <x:v>条件合并（先修分类）</x:v>
      </x:c>
      <x:c r="D411" s="39" t="str">
        <x:v>幕墙设计</x:v>
      </x:c>
      <x:c r="E411" s="42" t="n">
        <x:v>463</x:v>
      </x:c>
      <x:c r="F411" s="39" t="str">
        <x:v>IC-L3-614</x:v>
      </x:c>
      <x:c r="G411" s="42" t="n">
        <x:v>614</x:v>
      </x:c>
      <x:c r="H411" s="39" t="str">
        <x:v>建筑/房地产 &gt; 建筑规划与设计 &gt; 幕墙设计</x:v>
      </x:c>
      <x:c r="I411" s="39" t="str">
        <x:v>2-02-18-01</x:v>
      </x:c>
      <x:c r="J411" s="39" t="str">
        <x:v>建筑和市政设计工程技术人员</x:v>
      </x:c>
      <x:c r="K411" s="39" t="str">
        <x:v>幕墙设计师是建筑规划与设计领域中不可或缺的专业人才，在整个建筑设计流程中扮演着至关重要的角色。他们不仅负责建筑外立面的设计工作，确保其美观性、实用性和安全性，而且还需要与建筑师、结构工程师等密切合作，确保设计方案的可行性。幕墙设计师通过创新性的设计，提升建筑物的整体品质，为公司赢得市场竞争力。此外，他们还能够参与项目从概念设计到施工图设计的全过程，与项目管理…</x:v>
      </x:c>
      <x:c r="L411" s="39" t="str">
        <x:v>1. 负责幕墙系统的设计工作，包括但不限于初步方案设计、深化设计以及施工图绘制，确保设计符合相关规范和标准。 2. 与客户、建筑师及其他工程团队成员进行有效沟通，准确理解项目需求，提供专业的技术咨询和支持。 3. 参与幕墙材料的选择与评估，考虑成本效益的同时保证材料性能满足设计要求。 4. 在项目执行阶段，定期现场检查，监督施工质量，及时解决施工过程中出现的…</x:v>
      </x:c>
    </x:row>
    <x:row r="412" ht="52" customHeight="1">
      <x:c r="A412" s="42" t="n">
        <x:v>171</x:v>
      </x:c>
      <x:c r="B412" s="39" t="str">
        <x:v>幕墙设计</x:v>
      </x:c>
      <x:c r="C412" s="39" t="str">
        <x:v>条件合并（先修分类）</x:v>
      </x:c>
      <x:c r="D412" s="39" t="str">
        <x:v>幕墙设计</x:v>
      </x:c>
      <x:c r="E412" s="42" t="n">
        <x:v>1003</x:v>
      </x:c>
      <x:c r="F412" s="39" t="str">
        <x:v>IC-L3-1154</x:v>
      </x:c>
      <x:c r="G412" s="42" t="n">
        <x:v>1154</x:v>
      </x:c>
      <x:c r="H412" s="39" t="str">
        <x:v>设计 &gt; 建筑/室内设计 &gt; 幕墙设计</x:v>
      </x:c>
      <x:c r="I412" s="39" t="str">
        <x:v>2-09-06-01</x:v>
      </x:c>
      <x:c r="J412" s="39" t="str">
        <x:v>视觉传达设计人员</x:v>
      </x:c>
      <x:c r="K412" s="39" t="str">
        <x:v>幕墙设计师是建筑设计与施工领域中不可或缺的专业人才，他们负责建筑物外部装饰的设计与实施，确保建筑物不仅外观美观而且结构安全。在项目中，幕墙设计师扮演着连接美学与技术的桥梁，通过创新的设计理念和专业的技术知识，为建筑增添独特的视觉效果，同时保证其符合安全标准和环保要求。 该职位的核心目标是结合客户的需求与项目的实际情况，设计出既满足功能需求又具有艺术美感的幕墙…</x:v>
      </x:c>
      <x:c r="L412" s="39" t="str">
        <x:v>1. 负责幕墙系统的设计工作，包括初步概念设计、深化设计及施工图绘制，确保设计方案符合项目要求和相关规范。 2. 与客户沟通交流，准确理解客户需求并将其转化为具体的设计方案，同时提供专业的建议以优化设计方案。 3. 协调幕墙供应商、承包商及其他相关方之间的关系，监督施工过程中的质量控制，确保幕墙安装符合设计图纸和技术要求。 4. 定期参与项目会议，汇报设计进…</x:v>
      </x:c>
    </x:row>
    <x:row r="413" ht="52" customHeight="1">
      <x:c r="A413" s="42" t="n">
        <x:v>172</x:v>
      </x:c>
      <x:c r="B413" s="39" t="str">
        <x:v>内科医生</x:v>
      </x:c>
      <x:c r="C413" s="39" t="str">
        <x:v>可直接合并</x:v>
      </x:c>
      <x:c r="D413" s="39" t="str">
        <x:v>内科医生</x:v>
      </x:c>
      <x:c r="E413" s="42" t="n">
        <x:v>168</x:v>
      </x:c>
      <x:c r="F413" s="39" t="str">
        <x:v>IC-L3-319</x:v>
      </x:c>
      <x:c r="G413" s="42" t="n">
        <x:v>319</x:v>
      </x:c>
      <x:c r="H413" s="39" t="str">
        <x:v>医药/医疗 &gt; 医生/医技 &gt; 内科医生</x:v>
      </x:c>
      <x:c r="I413" s="39" t="str">
        <x:v>2-05-01-19</x:v>
      </x:c>
      <x:c r="J413" s="39" t="str">
        <x:v>全科医师</x:v>
      </x:c>
      <x:c r="K413" s="39" t="str">
        <x:v>内科医生是医药/医疗行业中不可或缺的专业人才，他们通过专业知识和技术为患者提供高质量的医疗服务，确保患者的健康和安全。作为医疗团队的核心成员，内科医生不仅承担着诊断疾病、制定治疗方案的重要职责，还肩负着与患者沟通、提供心理支持的责任，在整个医疗体系中扮演着极其重要的角色。 内科医生的核心目标在于准确诊断并有效治疗内科常见病、多发病及疑难杂症，提高患者的生活质…</x:v>
      </x:c>
      <x:c r="L413" s="39" t="str">
        <x:v>1. 负责门诊或住院部内科患者的接诊工作，收集病史资料，进行体格检查，确保诊断结果的准确性。 2. 根据患者的具体病情，开具合理有效的治疗方案，指导患者正确用药，监测治疗效果，及时调整治疗计划。 3. 参与危重病人的抢救工作，与其他医护人员协同作战，保障患者生命安全。 4. 定期参加业务培训和继续教育课程，掌握最新的医学研究成果，不断提高自身的临床实践能力。…</x:v>
      </x:c>
    </x:row>
    <x:row r="414" ht="52" customHeight="1">
      <x:c r="A414" s="42" t="n">
        <x:v>172</x:v>
      </x:c>
      <x:c r="B414" s="39" t="str">
        <x:v>内科医生</x:v>
      </x:c>
      <x:c r="C414" s="39" t="str">
        <x:v>可直接合并</x:v>
      </x:c>
      <x:c r="D414" s="39" t="str">
        <x:v>内科医生</x:v>
      </x:c>
      <x:c r="E414" s="42" t="n">
        <x:v>218</x:v>
      </x:c>
      <x:c r="F414" s="39" t="str">
        <x:v>IC-L3-369</x:v>
      </x:c>
      <x:c r="G414" s="42" t="n">
        <x:v>369</x:v>
      </x:c>
      <x:c r="H414" s="39" t="str">
        <x:v>医药/医疗 &gt; 护理/护士 &gt; 内科医生</x:v>
      </x:c>
      <x:c r="I414" s="39" t="str">
        <x:v>2-05-01-19</x:v>
      </x:c>
      <x:c r="J414" s="39" t="str">
        <x:v>全科医师</x:v>
      </x:c>
      <x:c r="K414" s="39" t="str">
        <x:v>内科医生是专门从事成人疾病诊断与治疗的专业人员。该职位的核心目标是通过临床诊疗和健康管理，实现患者疾病的预防、治疗和康复。在日常工作中，需要进行病史采集、体格检查、诊断治疗、医嘱制定及与护理团队协作等工作。</x:v>
      </x:c>
      <x:c r="L414" s="39" t="str">
        <x:v>1. 诊断内科常见疾病 2. 制定患者治疗方案 3. 开具处方审核用药 4. 指导护士护理工作 5. 参与急危重症抢救 6. 开展健康教育工作</x:v>
      </x:c>
    </x:row>
    <x:row r="415" ht="52" customHeight="1">
      <x:c r="A415" s="42" t="n">
        <x:v>173</x:v>
      </x:c>
      <x:c r="B415" s="39" t="str">
        <x:v>内容审核</x:v>
      </x:c>
      <x:c r="C415" s="39" t="str">
        <x:v>可直接合并</x:v>
      </x:c>
      <x:c r="D415" s="39" t="str">
        <x:v>内容审核</x:v>
      </x:c>
      <x:c r="E415" s="42" t="n">
        <x:v>86</x:v>
      </x:c>
      <x:c r="F415" s="39" t="str">
        <x:v>IC-L3-237</x:v>
      </x:c>
      <x:c r="G415" s="42" t="n">
        <x:v>237</x:v>
      </x:c>
      <x:c r="H415" s="39" t="str">
        <x:v>互联网技术 &gt; 运维/技术支持 &gt; 内容审核</x:v>
      </x:c>
      <x:c r="I415" s="39" t="str">
        <x:v>4-04-05-01</x:v>
      </x:c>
      <x:c r="J415" s="39" t="str">
        <x:v>计算机程序设计员</x:v>
      </x:c>
      <x:c r="K415" s="39" t="str">
        <x:v>内容审核是专门从事数字内容安全管理的专业人员。该职位的核心目标是通过严格审核用户生成内容，确保平台合规运营并维护良好的网络环境。在日常工作中，需要进行内容筛查、违规处理、风险预警及审核流程优化等工作。</x:v>
      </x:c>
      <x:c r="L415" s="39" t="str">
        <x:v>1. 审核用户提交内容 2. 识别违规不良信息 3. 处理敏感数据内容 4. 维护内容安全标准 5. 记录审核异常情况 6. 优化审核流程效率</x:v>
      </x:c>
    </x:row>
    <x:row r="416" ht="52" customHeight="1">
      <x:c r="A416" s="42" t="n">
        <x:v>173</x:v>
      </x:c>
      <x:c r="B416" s="39" t="str">
        <x:v>内容审核</x:v>
      </x:c>
      <x:c r="C416" s="39" t="str">
        <x:v>可直接合并</x:v>
      </x:c>
      <x:c r="D416" s="39" t="str">
        <x:v>内容审核</x:v>
      </x:c>
      <x:c r="E416" s="42" t="n">
        <x:v>1095</x:v>
      </x:c>
      <x:c r="F416" s="39" t="str">
        <x:v>IC-L3-1246</x:v>
      </x:c>
      <x:c r="G416" s="42" t="n">
        <x:v>1246</x:v>
      </x:c>
      <x:c r="H416" s="39" t="str">
        <x:v>运营 &gt; 内容运营 &gt; 内容审核</x:v>
      </x:c>
      <x:c r="I416" s="39" t="str">
        <x:v>4-04-05-01</x:v>
      </x:c>
      <x:c r="J416" s="39" t="str">
        <x:v>计算机程序设计员</x:v>
      </x:c>
      <x:c r="K416" s="39" t="str">
        <x:v>内容审核作为内容运营方向的关键岗位，在确保平台内容质量与合规性方面扮演着至关重要的角色。通过精准高效地审查各类用户生成的内容，该职位不仅能够有效防止不良信息的传播，还能维护良好的社区氛围，提升用户体验，增强品牌形象。此外，内容审核专员将与编辑、技术等部门紧密合作，共同构建完善的内容管理体系，同时也有机会向高级审核管理或产品策略等方向发展，拥有广阔的职业成长空…</x:v>
      </x:c>
      <x:c r="L416" s="39" t="str">
        <x:v>1. 负责日常内容的审核工作，依据国家法律法规及公司政策标准，对图文、视频等多种形式的内容进行快速准确的判断与处理，确保所有发布的信息合法合规。 2. 及时发现并上报潜在的风险点，协助制定和完善内容安全规范，降低企业运营风险。 3. 定期参与业务培训，学习最新的行业动态和技术手段，提高个人专业技能水平。 4. 与相关部门沟通协调，优化内容审核流程，提高工作效…</x:v>
      </x:c>
    </x:row>
    <x:row r="417" ht="52" customHeight="1">
      <x:c r="A417" s="42" t="n">
        <x:v>174</x:v>
      </x:c>
      <x:c r="B417" s="39" t="str">
        <x:v>暖通设计</x:v>
      </x:c>
      <x:c r="C417" s="39" t="str">
        <x:v>条件合并（先修分类）</x:v>
      </x:c>
      <x:c r="D417" s="39" t="str">
        <x:v>暖通设计</x:v>
      </x:c>
      <x:c r="E417" s="42" t="n">
        <x:v>468</x:v>
      </x:c>
      <x:c r="F417" s="39" t="str">
        <x:v>IC-L3-619</x:v>
      </x:c>
      <x:c r="G417" s="42" t="n">
        <x:v>619</x:v>
      </x:c>
      <x:c r="H417" s="39" t="str">
        <x:v>建筑/房地产 &gt; 建筑规划与设计 &gt; 暖通设计</x:v>
      </x:c>
      <x:c r="I417" s="39" t="str">
        <x:v>2-02-18-01</x:v>
      </x:c>
      <x:c r="J417" s="39" t="str">
        <x:v>建筑和市政设计工程技术人员</x:v>
      </x:c>
      <x:c r="K417" s="39" t="str">
        <x:v>暖通设计是建筑规划与设计领域中不可或缺的一部分，它不仅确保了建筑物内部环境的舒适度，还对节能减排具有重要意义。作为暖通设计师，其工作涵盖了从初步概念设计到施工图设计的全过程，通过科学合理的设计方案，提高能源利用效率，降低运营成本，从而为企业创造更多价值。此外，暖通设计师需要与其他专业如电气、结构等紧密合作，共同完成项目任务；随着技术进步及市场需求变化，本职位…</x:v>
      </x:c>
      <x:c r="L417" s="39" t="str">
        <x:v>1. 负责项目中空调系统、通风系统以及供暖系统的方案设计与优化，确保设计方案符合国家相关标准及客户要求。 2. 根据项目进度安排，按时提交准确无误的施工图纸和技术文件，为现场施工提供技术支持。 3. 参与项目投标过程，编制暖通专业部分的技术标书，协助进行成本估算。 4. 与项目管理团队密切沟通，解决施工过程中出现的技术难题，保证工程质量。 5. 关注行业发展…</x:v>
      </x:c>
    </x:row>
    <x:row r="418" ht="52" customHeight="1">
      <x:c r="A418" s="42" t="n">
        <x:v>174</x:v>
      </x:c>
      <x:c r="B418" s="39" t="str">
        <x:v>暖通设计</x:v>
      </x:c>
      <x:c r="C418" s="39" t="str">
        <x:v>条件合并（先修分类）</x:v>
      </x:c>
      <x:c r="D418" s="39" t="str">
        <x:v>暖通设计</x:v>
      </x:c>
      <x:c r="E418" s="42" t="n">
        <x:v>1008</x:v>
      </x:c>
      <x:c r="F418" s="39" t="str">
        <x:v>IC-L3-1159</x:v>
      </x:c>
      <x:c r="G418" s="42" t="n">
        <x:v>1159</x:v>
      </x:c>
      <x:c r="H418" s="39" t="str">
        <x:v>设计 &gt; 建筑/室内设计 &gt; 暖通设计</x:v>
      </x:c>
      <x:c r="I418" s="39" t="str">
        <x:v>2-09-06-01</x:v>
      </x:c>
      <x:c r="J418" s="39" t="str">
        <x:v>视觉传达设计人员</x:v>
      </x:c>
      <x:c r="K418" s="39" t="str">
        <x:v>暖通设计是建筑设计与室内设计领域中不可或缺的一部分，其主要任务是在确保建筑物内部环境舒适度的同时，实现能源的有效利用。作为暖通设计师，您将负责评估建筑物的热负荷需求，选择合适的暖通空调系统，并进行精确的设计以满足这些需求。通过您的专业知识和技术能力，能够帮助公司提升项目的技术含量和市场竞争力，同时为客户提供更加节能高效的解决方案，从而增强客户满意度和忠诚度。…</x:v>
      </x:c>
      <x:c r="L418" s="39" t="str">
        <x:v>1. 负责建筑项目的暖通空调系统方案设计，确保系统性能符合国家规范及客户需求。 2. 对现有建筑或新开发项目进行热负荷计算，合理选择设备型号并优化系统配置。 3. 与结构工程师、电气工程师等跨部门人员密切配合，共同解决项目实施过程中出现的技术问题。 4. 定期参与施工现场的技术指导工作，监督安装过程的质量控制，确保最终成果达到预期效果。 5. 关注行业动态和…</x:v>
      </x:c>
    </x:row>
    <x:row r="419" ht="52" customHeight="1">
      <x:c r="A419" s="42" t="n">
        <x:v>175</x:v>
      </x:c>
      <x:c r="B419" s="39" t="str">
        <x:v>培训督导</x:v>
      </x:c>
      <x:c r="C419" s="39" t="str">
        <x:v>可直接合并</x:v>
      </x:c>
      <x:c r="D419" s="39" t="str">
        <x:v>培训督导</x:v>
      </x:c>
      <x:c r="E419" s="42" t="n">
        <x:v>869</x:v>
      </x:c>
      <x:c r="F419" s="39" t="str">
        <x:v>IC-L3-1020</x:v>
      </x:c>
      <x:c r="G419" s="42" t="n">
        <x:v>1020</x:v>
      </x:c>
      <x:c r="H419" s="39" t="str">
        <x:v>科研/教育/培训 &gt; 培训管理 &gt; 培训督导</x:v>
      </x:c>
      <x:c r="I419" s="39" t="str">
        <x:v>4-07-03-05</x:v>
      </x:c>
      <x:c r="J419" s="39" t="str">
        <x:v>职业培训师</x:v>
      </x:c>
      <x:c r="K419" s="39" t="str">
        <x:v>培训督导是专门从事培训质量监控与效果评估的专业人员。该职位的核心目标是通过监督培训实施过程，确保培训项目高效达成预期目标。在日常工作中，需要进行培训现场督导、教学质量评估、培训效果跟踪及改进建议反馈等工作。</x:v>
      </x:c>
      <x:c r="L419" s="39" t="str">
        <x:v>1. 制定培训计划 2. 监督培训实施 3. 评估培训效果 4. 优化培训流程 5. 指导讲师工作 6. 管理培训档案</x:v>
      </x:c>
    </x:row>
    <x:row r="420" ht="52" customHeight="1">
      <x:c r="A420" s="42" t="n">
        <x:v>175</x:v>
      </x:c>
      <x:c r="B420" s="39" t="str">
        <x:v>培训督导</x:v>
      </x:c>
      <x:c r="C420" s="39" t="str">
        <x:v>可直接合并</x:v>
      </x:c>
      <x:c r="D420" s="39" t="str">
        <x:v>培训督导</x:v>
      </x:c>
      <x:c r="E420" s="42" t="n">
        <x:v>910</x:v>
      </x:c>
      <x:c r="F420" s="39" t="str">
        <x:v>IC-L3-1061</x:v>
      </x:c>
      <x:c r="G420" s="42" t="n">
        <x:v>1061</x:v>
      </x:c>
      <x:c r="H420" s="39" t="str">
        <x:v>科研/教育/培训 &gt; 特长教育/培训 &gt; 培训督导</x:v>
      </x:c>
      <x:c r="I420" s="39" t="str">
        <x:v>4-07-03-05</x:v>
      </x:c>
      <x:c r="J420" s="39" t="str">
        <x:v>职业培训师</x:v>
      </x:c>
      <x:c r="K420" s="39" t="str">
        <x:v>培训督导是科研/教育/培训行业中一个至关重要的角色，主要负责监督和指导特长教育培训项目的实施过程，确保教学质量达到预期标准。作为连接管理层与一线教师之间的桥梁，该职位不仅能够促进内部沟通，还能有效推动教育理念的落地执行。 在公司层面，培训督导的核心目标在于通过优化教学流程、提升师资力量等方式，不断提高学生的学习体验和成果表现，从而增强品牌竞争力，实现企业可持…</x:v>
      </x:c>
      <x:c r="L420" s="39" t="str">
        <x:v>1. 负责制定并执行特长教育培训项目的质量监控计划，确保所有课程符合既定的教学目标和质量要求。 2. 定期组织教师培训活动，提高教师的专业技能和服务意识，激发其教学创新潜能。 3. 监督教学现场，及时发现并解决学员在学习过程中遇到的问题，保证良好的学习氛围。 4. 收集来自学生、家长及教师的反馈意见，进行综合分析后向相关部门汇报，协助改进课程设计和教学方法。…</x:v>
      </x:c>
    </x:row>
    <x:row r="421" ht="52" customHeight="1">
      <x:c r="A421" s="42" t="n">
        <x:v>176</x:v>
      </x:c>
      <x:c r="B421" s="39" t="str">
        <x:v>品牌专员</x:v>
      </x:c>
      <x:c r="C421" s="39" t="str">
        <x:v>条件合并（先修分类）</x:v>
      </x:c>
      <x:c r="D421" s="39" t="str">
        <x:v>品牌专员</x:v>
      </x:c>
      <x:c r="E421" s="42" t="n">
        <x:v>385</x:v>
      </x:c>
      <x:c r="F421" s="39" t="str">
        <x:v>IC-L3-536</x:v>
      </x:c>
      <x:c r="G421" s="42" t="n">
        <x:v>536</x:v>
      </x:c>
      <x:c r="H421" s="39" t="str">
        <x:v>市场/公关 &gt; 市场/营销 &gt; 品牌专员</x:v>
      </x:c>
      <x:c r="I421" s="39" t="str">
        <x:v>4-01-02-01</x:v>
      </x:c>
      <x:c r="J421" s="39" t="str">
        <x:v>营销员</x:v>
      </x:c>
      <x:c r="K421" s="39" t="str">
        <x:v>品牌专员是市场/公关行业中不可或缺的角色，他们通过精心策划的品牌策略和活动，确保品牌形象的一致性和正面性，从而增强品牌影响力和市场竞争力。作为公司与消费者之间的桥梁，品牌专员的核心目标在于建立并维护强大的品牌形象，这不仅能够提升消费者的品牌忠诚度，还能有效促进销售增长，为公司带来长期的价值。在日常工作中，品牌专员将与市场部、产品开发部等多个部门紧密合作，共同…</x:v>
      </x:c>
      <x:c r="L421" s="39" t="str">
        <x:v>1. 负责制定并执行品牌推广计划，包括但不限于线上线下活动策划、社交媒体运营等，以提高品牌的知名度和美誉度。 2. 定期分析市场趋势及竞争对手动态，结合公司业务特点，调整优化品牌策略，确保品牌定位准确无误。 3. 与内部各部门沟通协调，确保所有对外传播材料（如广告、新闻稿、宣传册等）符合品牌调性和标准，维护统一的品牌形象。 4. 监控品牌表现数据，如品牌提及…</x:v>
      </x:c>
    </x:row>
    <x:row r="422" ht="52" customHeight="1">
      <x:c r="A422" s="42" t="n">
        <x:v>176</x:v>
      </x:c>
      <x:c r="B422" s="39" t="str">
        <x:v>品牌专员</x:v>
      </x:c>
      <x:c r="C422" s="39" t="str">
        <x:v>条件合并（先修分类）</x:v>
      </x:c>
      <x:c r="D422" s="39" t="str">
        <x:v>品牌专员</x:v>
      </x:c>
      <x:c r="E422" s="42" t="n">
        <x:v>418</x:v>
      </x:c>
      <x:c r="F422" s="39" t="str">
        <x:v>IC-L3-569</x:v>
      </x:c>
      <x:c r="G422" s="42" t="n">
        <x:v>569</x:v>
      </x:c>
      <x:c r="H422" s="39" t="str">
        <x:v>市场/公关 &gt; 广告 &gt; 品牌专员</x:v>
      </x:c>
      <x:c r="I422" s="39" t="str">
        <x:v>2-09-06-01</x:v>
      </x:c>
      <x:c r="J422" s="39" t="str">
        <x:v>视觉传达设计人员</x:v>
      </x:c>
      <x:c r="K422" s="39" t="str">
        <x:v>品牌专员是专门从事品牌战略与传播的专业人员。该职位的核心目标是通过系统化的品牌管理，提升品牌价值与市场影响力。在日常工作中，需要进行品牌定位分析、营销活动策划、媒介投放协调及品牌资产维护等工作。</x:v>
      </x:c>
      <x:c r="L422" s="39" t="str">
        <x:v>1. 策划品牌推广方案 2. 执行广告投放计划 3. 维护品牌形象管理 4. 分析市场竞品动态 5. 协调创意设计工作 6. 评估品牌传播效果</x:v>
      </x:c>
    </x:row>
    <x:row r="423" ht="52" customHeight="1">
      <x:c r="A423" s="42" t="n">
        <x:v>177</x:v>
      </x:c>
      <x:c r="B423" s="39" t="str">
        <x:v>平面设计经理/主管</x:v>
      </x:c>
      <x:c r="C423" s="39" t="str">
        <x:v>条件合并（先修分类）</x:v>
      </x:c>
      <x:c r="D423" s="39" t="str">
        <x:v>平面设计经理/主管</x:v>
      </x:c>
      <x:c r="E423" s="42" t="n">
        <x:v>983</x:v>
      </x:c>
      <x:c r="F423" s="39" t="str">
        <x:v>IC-L3-1134</x:v>
      </x:c>
      <x:c r="G423" s="42" t="n">
        <x:v>1134</x:v>
      </x:c>
      <x:c r="H423" s="39" t="str">
        <x:v>设计 &gt; 平面设计 &gt; 平面设计经理/主管</x:v>
      </x:c>
      <x:c r="I423" s="39" t="str">
        <x:v>2-09-06-01</x:v>
      </x:c>
      <x:c r="J423" s="39" t="str">
        <x:v>视觉传达设计人员</x:v>
      </x:c>
      <x:c r="K423" s="39" t="str">
        <x:v>平面设计经理/主管是设计行业中不可或缺的角色，负责指导和管理团队完成高质量的设计项目。这一职位不仅需要具备出色的创意设计能力，还应拥有良好的团队管理和项目协调技巧，以确保每个设计项目都能按时、按质完成，满足客户的需求。 作为平面设计团队的领导者，核心目标在于提升品牌形象及市场竞争力，通过创新的设计方案促进产品销售增长和品牌知名度提升。同时，还需不断优化工作流…</x:v>
      </x:c>
      <x:c r="L423" s="39" t="str">
        <x:v>1. 负责平面设计项目的整体规划与执行，包括但不限于广告宣传、包装设计、品牌形象塑造等工作，确保所有设计作品均达到公司标准及客户需求。 2. 管理并培训设计团队成员，提供专业指导和支持，激发团队创造力，保证团队高效运作。 3. 与相关部门沟通协调，了解项目背景及目标，提出合理的设计建议，参与重要决策过程。 4. 定期评估团队表现及项目进展，及时调整策略，解决…</x:v>
      </x:c>
    </x:row>
    <x:row r="424" ht="52" customHeight="1">
      <x:c r="A424" s="42" t="n">
        <x:v>177</x:v>
      </x:c>
      <x:c r="B424" s="39" t="str">
        <x:v>平面设计经理/主管</x:v>
      </x:c>
      <x:c r="C424" s="39" t="str">
        <x:v>条件合并（先修分类）</x:v>
      </x:c>
      <x:c r="D424" s="39" t="str">
        <x:v>平面设计经理/主管</x:v>
      </x:c>
      <x:c r="E424" s="42" t="n">
        <x:v>1035</x:v>
      </x:c>
      <x:c r="F424" s="39" t="str">
        <x:v>IC-L3-1186</x:v>
      </x:c>
      <x:c r="G424" s="42" t="n">
        <x:v>1186</x:v>
      </x:c>
      <x:c r="H424" s="39" t="str">
        <x:v>设计 &gt; 高级设计管理 &gt; 平面设计经理/主管</x:v>
      </x:c>
      <x:c r="I424" s="39" t="str">
        <x:v>2-06-07-01</x:v>
      </x:c>
      <x:c r="J424" s="39" t="str">
        <x:v>国际商务专业人员</x:v>
      </x:c>
      <x:c r="K424" s="39" t="str">
        <x:v>平面设计经理/主管是设计行业中不可或缺的角色，负责领导和管理平面设计团队，确保项目从概念到成品的顺利实施。该职位不仅要求具备深厚的设计功底，还需拥有出色的项目管理和团队领导能力，以确保团队能够高效运作并达到预期目标。作为团队的核心成员，平面设计经理/主管将与营销、销售、产品开发等多个部门密切合作，共同推动品牌视觉形象的塑造与发展，为公司创造更多商业价值的同时…</x:v>
      </x:c>
      <x:c r="L424" s="39" t="str">
        <x:v>1. 负责制定并执行公司平面设计策略，确保所有视觉材料符合品牌形象及市场定位，提升品牌影响力。 2. 监督并指导团队完成各类平面设计任务，包括但不限于广告宣传册、包装设计、网站界面等，保证按时高质量交付。 3. 定期组织内部培训和技术交流活动，提高团队整体设计水平及创新能力，促进团队成员间的沟通与协作。 4. 与跨部门紧密合作，了解业务需求，提出创新性的设计…</x:v>
      </x:c>
    </x:row>
    <x:row r="425" ht="52" customHeight="1">
      <x:c r="A425" s="42" t="n">
        <x:v>178</x:v>
      </x:c>
      <x:c r="B425" s="39" t="str">
        <x:v>平面设计总监</x:v>
      </x:c>
      <x:c r="C425" s="39" t="str">
        <x:v>条件合并（先修分类）</x:v>
      </x:c>
      <x:c r="D425" s="39" t="str">
        <x:v>平面设计总监</x:v>
      </x:c>
      <x:c r="E425" s="42" t="n">
        <x:v>982</x:v>
      </x:c>
      <x:c r="F425" s="39" t="str">
        <x:v>IC-L3-1133</x:v>
      </x:c>
      <x:c r="G425" s="42" t="n">
        <x:v>1133</x:v>
      </x:c>
      <x:c r="H425" s="39" t="str">
        <x:v>设计 &gt; 平面设计 &gt; 平面设计总监</x:v>
      </x:c>
      <x:c r="I425" s="39" t="str">
        <x:v>2-09-06-01</x:v>
      </x:c>
      <x:c r="J425" s="39" t="str">
        <x:v>视觉传达设计人员</x:v>
      </x:c>
      <x:c r="K425" s="39" t="str">
        <x:v>平面设计总监是设计行业中至关重要的角色，负责引领公司创意设计的方向，确保品牌形象的一致性和创新性。作为设计团队的灵魂人物，平面设计总监不仅需要具备卓越的设计才能，还需拥有强大的领导力和项目管理能力，以确保所有设计项目能够高效、高质量地完成。 该职位的核心目标在于通过制定并执行创新的设计策略，提升品牌视觉效果，增强市场竞争力。平面设计总监将直接参与重要项目的策…</x:v>
      </x:c>
      <x:c r="L425" s="39" t="str">
        <x:v>1. 负责制定整体平面设计策略，指导并监督设计团队完成各类广告、宣传册、包装等平面设计工作，确保设计质量符合公司标准。 2. 与市场营销部门密切配合，分析市场动态，结合品牌定位，提出创新性的设计方案，有效支持销售活动。 3. 定期组织内部培训，分享最新的设计理论和技术知识，提升团队专业技能，激发团队创造力。 4. 管理预算和时间表，确保所有设计项目按时按质交…</x:v>
      </x:c>
    </x:row>
    <x:row r="426" ht="52" customHeight="1">
      <x:c r="A426" s="42" t="n">
        <x:v>178</x:v>
      </x:c>
      <x:c r="B426" s="39" t="str">
        <x:v>平面设计总监</x:v>
      </x:c>
      <x:c r="C426" s="39" t="str">
        <x:v>条件合并（先修分类）</x:v>
      </x:c>
      <x:c r="D426" s="39" t="str">
        <x:v>平面设计总监</x:v>
      </x:c>
      <x:c r="E426" s="42" t="n">
        <x:v>1034</x:v>
      </x:c>
      <x:c r="F426" s="39" t="str">
        <x:v>IC-L3-1185</x:v>
      </x:c>
      <x:c r="G426" s="42" t="n">
        <x:v>1185</x:v>
      </x:c>
      <x:c r="H426" s="39" t="str">
        <x:v>设计 &gt; 高级设计管理 &gt; 平面设计总监</x:v>
      </x:c>
      <x:c r="I426" s="39" t="str">
        <x:v>2-06-07-01</x:v>
      </x:c>
      <x:c r="J426" s="39" t="str">
        <x:v>国际商务专业人员</x:v>
      </x:c>
      <x:c r="K426" s="39" t="str">
        <x:v>平面设计总监是设计行业中不可或缺的关键角色，负责领导创意团队完成从概念到成品的设计工作。此职位不仅需要具备深厚的设计功底，还需要拥有良好的项目管理和人际沟通能力，以确保设计项目按时高质量地交付。作为公司的核心创意领导者，平面设计总监对于塑造品牌形象、提升市场竞争力具有不可替代的作用。他们通过指导团队成员实现创新性的设计方案，帮助企业更好地传达其品牌理念，从而…</x:v>
      </x:c>
      <x:c r="L426" s="39" t="str">
        <x:v>1. 负责制定并实施年度设计策略，确保所有视觉材料符合公司品牌形象及市场趋势，提高品牌识别度。 2. 领导并激励设计团队，监督日常设计工作的执行情况，定期组织团队培训和技术交流会，提升整体设计水平。 3. 与市场营销部门密切配合，参与重大营销活动的策划，提供专业的视觉支持，增强活动效果。 4. 对接外部合作伙伴，如广告代理机构、印刷厂等，确保第三方提供的服务…</x:v>
      </x:c>
    </x:row>
    <x:row r="427" ht="52" customHeight="1">
      <x:c r="A427" s="42" t="n">
        <x:v>179</x:v>
      </x:c>
      <x:c r="B427" s="39" t="str">
        <x:v>其他语种翻译</x:v>
      </x:c>
      <x:c r="C427" s="39" t="str">
        <x:v>条件合并（先修分类）</x:v>
      </x:c>
      <x:c r="D427" s="39" t="str">
        <x:v>其他语种翻译</x:v>
      </x:c>
      <x:c r="E427" s="42" t="n">
        <x:v>355</x:v>
      </x:c>
      <x:c r="F427" s="39" t="str">
        <x:v>IC-L3-506</x:v>
      </x:c>
      <x:c r="G427" s="42" t="n">
        <x:v>506</x:v>
      </x:c>
      <x:c r="H427" s="39" t="str">
        <x:v>咨询/法律/翻译 &gt; 翻译 &gt; 其他语种翻译</x:v>
      </x:c>
      <x:c r="I427" s="39" t="str">
        <x:v>2-10-05-00</x:v>
      </x:c>
      <x:c r="J427" s="39" t="str">
        <x:v>翻译</x:v>
      </x:c>
      <x:c r="K427" s="39" t="str">
        <x:v>在咨询、法律及翻译行业中，其他语种翻译作为沟通桥梁，起着至关重要的作用。他们不仅能够促进不同文化背景下的客户与企业之间的有效交流，还能够确保信息传递的准确无误，是推动国际合作与项目进展不可或缺的力量。通过提供高质量的语言服务，其他语种翻译有助于提升公司在国际市场的竞争力，增强品牌影响力，同时降低因语言障碍而产生的误解风险，为企业创造更多商业机会。此外，这一职…</x:v>
      </x:c>
      <x:c r="L427" s="39" t="str">
        <x:v>1. 负责将指定文件（包括但不限于合同、报告、宣传材料等）从源语言准确无误地翻译为目标语言，确保译文忠实原文并符合行业标准。 2. 与项目团队紧密合作，了解客户需求，及时反馈翻译过程中遇到的问题，提出合理化建议，优化翻译流程。 3. 参与专业术语库的建设和维护工作，保证术语的一致性和准确性，提高翻译效率和质量。 4. 定期参加内部培训和外部研讨会，持续学习相…</x:v>
      </x:c>
    </x:row>
    <x:row r="428" ht="52" customHeight="1">
      <x:c r="A428" s="42" t="n">
        <x:v>179</x:v>
      </x:c>
      <x:c r="B428" s="39" t="str">
        <x:v>其他语种翻译</x:v>
      </x:c>
      <x:c r="C428" s="39" t="str">
        <x:v>条件合并（先修分类）</x:v>
      </x:c>
      <x:c r="D428" s="39" t="str">
        <x:v>其他语种翻译</x:v>
      </x:c>
      <x:c r="E428" s="42" t="n">
        <x:v>914</x:v>
      </x:c>
      <x:c r="F428" s="39" t="str">
        <x:v>IC-L3-1065</x:v>
      </x:c>
      <x:c r="G428" s="42" t="n">
        <x:v>1065</x:v>
      </x:c>
      <x:c r="H428" s="39" t="str">
        <x:v>科研/教育/培训 &gt; 特长教育/培训 &gt; 其他语种翻译</x:v>
      </x:c>
      <x:c r="I428" s="39" t="str">
        <x:v>2-08-02-01</x:v>
      </x:c>
      <x:c r="J428" s="39" t="str">
        <x:v>高级中学教师</x:v>
      </x:c>
      <x:c r="K428" s="39" t="str">
        <x:v>其他语种翻译是专门从事多语言转换与跨文化沟通的专业人员。该职位的核心目标是通过精准的翻译服务，确保教育内容在不同语言文化背景下的准确传达。在日常工作中，需要进行教材翻译、教学辅助材料本地化、跨文化沟通协调等工作。</x:v>
      </x:c>
      <x:c r="L428" s="39" t="str">
        <x:v>1. 翻译教学资料 2. 本地化课程内容 3. 口译培训活动 4. 审核翻译质量 5. 整理术语库 6. 沟通文化差异</x:v>
      </x:c>
    </x:row>
    <x:row r="429" ht="52" customHeight="1">
      <x:c r="A429" s="42" t="n">
        <x:v>180</x:v>
      </x:c>
      <x:c r="B429" s="39" t="str">
        <x:v>汽车安全性能工程师</x:v>
      </x:c>
      <x:c r="C429" s="39" t="str">
        <x:v>可直接合并</x:v>
      </x:c>
      <x:c r="D429" s="39" t="str">
        <x:v>汽车安全性能工程师</x:v>
      </x:c>
      <x:c r="E429" s="42" t="n">
        <x:v>584</x:v>
      </x:c>
      <x:c r="F429" s="39" t="str">
        <x:v>IC-L3-735</x:v>
      </x:c>
      <x:c r="G429" s="42" t="n">
        <x:v>735</x:v>
      </x:c>
      <x:c r="H429" s="39" t="str">
        <x:v>汽车 &gt; 汽车研发设计 &gt; 汽车安全性能工程师</x:v>
      </x:c>
      <x:c r="I429" s="39" t="str">
        <x:v>2-02-07-11</x:v>
      </x:c>
      <x:c r="J429" s="39" t="str">
        <x:v>汽车工程技术人员</x:v>
      </x:c>
      <x:c r="K429" s="39" t="str">
        <x:v>汽车安全性能工程师是汽车行业中的关键角色，他们专注于提升车辆的安全标准，确保驾驶者和乘客的生命安全。随着消费者对汽车安全性的关注度不断提高，这一职位的重要性日益凸显，成为推动行业发展的重要力量。 作为汽车安全性能工程师，核心目标在于通过深入研究和创新技术来提高汽车的安全性能，减少交通事故的发生率及严重程度。这一过程不仅能够显著提升公司产品的市场竞争力，同时也…</x:v>
      </x:c>
      <x:c r="L429" s="39" t="str">
        <x:v>1. 负责汽车被动安全系统的设计优化，包括但不限于车身结构强度分析、碰撞模拟仿真等，以达到或超过国家相关法规要求。 2. 参与主动安全技术的研究开发，如自动驾驶辅助系统的功能验证，确保其有效性和可靠性。 3. 定期组织并参与内部及外部的安全性能测试活动，收集数据进行分析评估，提出改进建议。 4. 与供应商沟通协调，确保所采购的安全零部件符合项目需求，并监督生…</x:v>
      </x:c>
    </x:row>
    <x:row r="430" ht="52" customHeight="1">
      <x:c r="A430" s="42" t="n">
        <x:v>180</x:v>
      </x:c>
      <x:c r="B430" s="39" t="str">
        <x:v>汽车安全性能工程师</x:v>
      </x:c>
      <x:c r="C430" s="39" t="str">
        <x:v>可直接合并</x:v>
      </x:c>
      <x:c r="D430" s="39" t="str">
        <x:v>汽车安全性能工程师</x:v>
      </x:c>
      <x:c r="E430" s="42" t="n">
        <x:v>612</x:v>
      </x:c>
      <x:c r="F430" s="39" t="str">
        <x:v>IC-L3-763</x:v>
      </x:c>
      <x:c r="G430" s="42" t="n">
        <x:v>763</x:v>
      </x:c>
      <x:c r="H430" s="39" t="str">
        <x:v>汽车 &gt; 汽车销售与服务 &gt; 汽车安全性能工程师</x:v>
      </x:c>
      <x:c r="I430" s="39" t="str">
        <x:v>2-02-07-11</x:v>
      </x:c>
      <x:c r="J430" s="39" t="str">
        <x:v>汽车工程技术人员</x:v>
      </x:c>
      <x:c r="K430" s="39" t="str">
        <x:v>汽车安全性能工程师是专门从事车辆安全系统设计与优化的专业人员。该职位的核心目标是通过研发和测试安全技术，提升车辆被动与主动安全性能。在日常工作中，需要进行碰撞测试分析、安全系统调试、法规符合性验证以及客户安全诉求调研等工作。</x:v>
      </x:c>
      <x:c r="L430" s="39" t="str">
        <x:v>1. 设计安全性能测试方案 2. 评估车辆碰撞安全性能 3. 优化安全系统配置方案 4. 分析事故数据改进设计 5. 制定安全性能验收标准 6. 培训售后安全技术要点</x:v>
      </x:c>
    </x:row>
    <x:row r="431" ht="52" customHeight="1">
      <x:c r="A431" s="42" t="n">
        <x:v>181</x:v>
      </x:c>
      <x:c r="B431" s="39" t="str">
        <x:v>汽车标定工程师</x:v>
      </x:c>
      <x:c r="C431" s="39" t="str">
        <x:v>可直接合并</x:v>
      </x:c>
      <x:c r="D431" s="39" t="str">
        <x:v>汽车标定工程师</x:v>
      </x:c>
      <x:c r="E431" s="42" t="n">
        <x:v>568</x:v>
      </x:c>
      <x:c r="F431" s="39" t="str">
        <x:v>IC-L3-719</x:v>
      </x:c>
      <x:c r="G431" s="42" t="n">
        <x:v>719</x:v>
      </x:c>
      <x:c r="H431" s="39" t="str">
        <x:v>汽车 &gt; 汽车制造 &gt; 汽车标定工程师</x:v>
      </x:c>
      <x:c r="I431" s="39" t="str">
        <x:v>2-02-07-11</x:v>
      </x:c>
      <x:c r="J431" s="39" t="str">
        <x:v>汽车工程技术人员</x:v>
      </x:c>
      <x:c r="K431" s="39" t="str">
        <x:v>汽车标定工程师是专门从事汽车动力系统性能优化与参数调试的专业人员。该职位的核心目标是通过发动机、变速箱等关键系统的标定工作，实现车辆最佳性能与排放平衡。在日常工作中，需要进行标定参数测试、数据分析、标定方案制定及验证等工作。</x:v>
      </x:c>
      <x:c r="L431" s="39" t="str">
        <x:v>1. 负责发动机性能标定 2. 优化整车排放控制 3. 调试ECU控制参数 4. 开展台架测试验证 5. 编制标定技术文档 6. 解决标定相关问题</x:v>
      </x:c>
    </x:row>
    <x:row r="432" ht="52" customHeight="1">
      <x:c r="A432" s="42" t="n">
        <x:v>181</x:v>
      </x:c>
      <x:c r="B432" s="39" t="str">
        <x:v>汽车标定工程师</x:v>
      </x:c>
      <x:c r="C432" s="39" t="str">
        <x:v>可直接合并</x:v>
      </x:c>
      <x:c r="D432" s="39" t="str">
        <x:v>汽车标定工程师</x:v>
      </x:c>
      <x:c r="E432" s="42" t="n">
        <x:v>585</x:v>
      </x:c>
      <x:c r="F432" s="39" t="str">
        <x:v>IC-L3-736</x:v>
      </x:c>
      <x:c r="G432" s="42" t="n">
        <x:v>736</x:v>
      </x:c>
      <x:c r="H432" s="39" t="str">
        <x:v>汽车 &gt; 汽车研发设计 &gt; 汽车标定工程师</x:v>
      </x:c>
      <x:c r="I432" s="39" t="str">
        <x:v>2-02-07-11</x:v>
      </x:c>
      <x:c r="J432" s="39" t="str">
        <x:v>汽车工程技术人员</x:v>
      </x:c>
      <x:c r="K432" s="39" t="str">
        <x:v>汽车标定工程师是汽车行业研发设计中不可或缺的专业人才，他们负责车辆性能参数的设定与优化，确保汽车产品满足性能、安全及排放等多方面的要求。在汽车从概念设计到量产的过程中，标定工程师通过精确调整发动机、变速箱及其他关键系统的运行参数，使车辆能够达到最佳的性能表现，同时符合法规标准，从而提升品牌竞争力。此外，标定工程师还需要与其他部门如软件开发、硬件工程以及测试验…</x:v>
      </x:c>
      <x:c r="L432" s="39" t="str">
        <x:v>1. 负责整车动力系统（包括但不限于燃油车、混合动力车及电动车）的标定工作，确保车辆各项性能指标符合设计要求。 2. 与研发团队密切配合，参与新车型的前期标定策略制定，分析并解决标定过程中出现的技术问题。 3. 制定详细的试验计划，组织并实施各种工况下的性能测试，收集数据进行分析，不断优化标定方案。 4. 定期向项目组汇报工作进度及成果，撰写技术报告，为后续…</x:v>
      </x:c>
    </x:row>
    <x:row r="433" ht="52" customHeight="1">
      <x:c r="A433" s="42" t="n">
        <x:v>182</x:v>
      </x:c>
      <x:c r="B433" s="39" t="str">
        <x:v>汽车服务顾问</x:v>
      </x:c>
      <x:c r="C433" s="39" t="str">
        <x:v>可直接合并</x:v>
      </x:c>
      <x:c r="D433" s="39" t="str">
        <x:v>汽车服务顾问</x:v>
      </x:c>
      <x:c r="E433" s="42" t="n">
        <x:v>281</x:v>
      </x:c>
      <x:c r="F433" s="39" t="str">
        <x:v>IC-L3-432</x:v>
      </x:c>
      <x:c r="G433" s="42" t="n">
        <x:v>432</x:v>
      </x:c>
      <x:c r="H433" s="39" t="str">
        <x:v>销售/客服 &gt; 汽车销售 &gt; 汽车服务顾问</x:v>
      </x:c>
      <x:c r="I433" s="39" t="str">
        <x:v>2-02-07-11</x:v>
      </x:c>
      <x:c r="J433" s="39" t="str">
        <x:v>汽车工程技术人员</x:v>
      </x:c>
      <x:c r="K433" s="39" t="str">
        <x:v>汽车服务顾问是汽车销售行业中不可或缺的角色之一，他们不仅代表了公司的形象，还是连接客户与企业的桥梁。通过提供专业的咨询和服务，帮助顾客做出满意的购车决策，从而提升品牌形象和市场竞争力。作为汽车服务顾问，其核心目标在于建立并维护良好的客户关系，确保每一位顾客都能获得超越期望的服务体验，进而促进销售业绩的增长和客户忠诚度的提升。此外，汽车服务顾问还需与其他部门如…</x:v>
      </x:c>
      <x:c r="L433" s="39" t="str">
        <x:v>1. 为来访客户提供专业的产品介绍及咨询服务，解答客户关于车型、配置、价格等方面的问题，以促成交易。 2. 负责收集潜在客户的资料信息，定期跟进客户需求变化，制定个性化的营销方案，提高转化率。 3. 协助完成售前准备工作，包括但不限于预约试驾、安排交车仪式等，确保整个购车过程顺畅高效。 4. 收集并反馈客户意见，参与售后服务计划的制定与执行，协助解决客户遇到…</x:v>
      </x:c>
    </x:row>
    <x:row r="434" ht="52" customHeight="1">
      <x:c r="A434" s="42" t="n">
        <x:v>182</x:v>
      </x:c>
      <x:c r="B434" s="39" t="str">
        <x:v>汽车服务顾问</x:v>
      </x:c>
      <x:c r="C434" s="39" t="str">
        <x:v>可直接合并</x:v>
      </x:c>
      <x:c r="D434" s="39" t="str">
        <x:v>汽车服务顾问</x:v>
      </x:c>
      <x:c r="E434" s="42" t="n">
        <x:v>602</x:v>
      </x:c>
      <x:c r="F434" s="39" t="str">
        <x:v>IC-L3-753</x:v>
      </x:c>
      <x:c r="G434" s="42" t="n">
        <x:v>753</x:v>
      </x:c>
      <x:c r="H434" s="39" t="str">
        <x:v>汽车 &gt; 汽车销售与服务 &gt; 汽车服务顾问</x:v>
      </x:c>
      <x:c r="I434" s="39" t="str">
        <x:v>2-02-07-11</x:v>
      </x:c>
      <x:c r="J434" s="39" t="str">
        <x:v>汽车工程技术人员</x:v>
      </x:c>
      <x:c r="K434" s="39" t="str">
        <x:v>汽车服务顾问是汽车行业中不可或缺的角色，他们不仅负责维护现有客户的关系，还承担着吸引潜在客户的重要任务。作为连接客户与企业的桥梁，汽车服务顾问在提升品牌形象和客户满意度方面发挥着至关重要的作用。通过提供高质量的服务体验，帮助公司建立长期稳定的客户群体，促进品牌忠诚度的形成。 该职位的核心目标在于确保每位顾客都能获得超出期望的专业服务，从预约咨询到售后跟踪，全…</x:v>
      </x:c>
      <x:c r="L434" s="39" t="str">
        <x:v>1. 为客户提供专业的产品介绍及咨询服务，解答关于车辆性能、配置等方面的问题，旨在提高客户购车意愿。 2. 负责处理客户的售后服务请求，包括但不限于维修保养、配件更换等，确保客户满意度达到最高标准。 3. 定期跟进客户使用情况，收集反馈意见，及时向上级汇报并提出改进建议，以优化服务质量。 4. 组织并参与各类营销活动，协助销售团队完成销售目标，扩大市场份额。…</x:v>
      </x:c>
    </x:row>
    <x:row r="435" ht="52" customHeight="1">
      <x:c r="A435" s="42" t="n">
        <x:v>183</x:v>
      </x:c>
      <x:c r="B435" s="39" t="str">
        <x:v>汽车结构工程师</x:v>
      </x:c>
      <x:c r="C435" s="39" t="str">
        <x:v>可直接合并</x:v>
      </x:c>
      <x:c r="D435" s="39" t="str">
        <x:v>汽车结构工程师</x:v>
      </x:c>
      <x:c r="E435" s="42" t="n">
        <x:v>570</x:v>
      </x:c>
      <x:c r="F435" s="39" t="str">
        <x:v>IC-L3-721</x:v>
      </x:c>
      <x:c r="G435" s="42" t="n">
        <x:v>721</x:v>
      </x:c>
      <x:c r="H435" s="39" t="str">
        <x:v>汽车 &gt; 汽车制造 &gt; 汽车结构工程师</x:v>
      </x:c>
      <x:c r="I435" s="39" t="str">
        <x:v>2-02-07-11</x:v>
      </x:c>
      <x:c r="J435" s="39" t="str">
        <x:v>汽车工程技术人员</x:v>
      </x:c>
      <x:c r="K435" s="39" t="str">
        <x:v>汽车结构工程师是专门从事汽车车身和底盘结构设计与优化的专业人员。该职位的核心目标是通过创新设计和工程分析，确保车辆结构的安全性、轻量化和成本效益。在日常工作中，需要进行CAD建模、有限元分析、材料选型、结构测试及与制造部门协作等工作。</x:v>
      </x:c>
      <x:c r="L435" s="39" t="str">
        <x:v>1. 设计汽车结构方案 2. 优化车身强度性能 3. 分析零部件受力情况 4. 编制技术规范文件 5. 协调生产制造流程 6. 解决结构质量问题</x:v>
      </x:c>
    </x:row>
    <x:row r="436" ht="52" customHeight="1">
      <x:c r="A436" s="42" t="n">
        <x:v>183</x:v>
      </x:c>
      <x:c r="B436" s="39" t="str">
        <x:v>汽车结构工程师</x:v>
      </x:c>
      <x:c r="C436" s="39" t="str">
        <x:v>可直接合并</x:v>
      </x:c>
      <x:c r="D436" s="39" t="str">
        <x:v>汽车结构工程师</x:v>
      </x:c>
      <x:c r="E436" s="42" t="n">
        <x:v>587</x:v>
      </x:c>
      <x:c r="F436" s="39" t="str">
        <x:v>IC-L3-738</x:v>
      </x:c>
      <x:c r="G436" s="42" t="n">
        <x:v>738</x:v>
      </x:c>
      <x:c r="H436" s="39" t="str">
        <x:v>汽车 &gt; 汽车研发设计 &gt; 汽车结构工程师</x:v>
      </x:c>
      <x:c r="I436" s="39" t="str">
        <x:v>2-02-07-11</x:v>
      </x:c>
      <x:c r="J436" s="39" t="str">
        <x:v>汽车工程技术人员</x:v>
      </x:c>
      <x:c r="K436" s="39" t="str">
        <x:v>汽车结构工程师是汽车研发设计领域中不可或缺的专业人才，他们通过深入研究和创新设计，确保车辆的安全性、舒适性和耐用性，对于推动整个汽车行业的发展具有重要意义。作为汽车结构工程师，其核心目标在于通过优化车身及内部结构的设计，提升车辆的整体性能，减少材料成本，同时满足日益严格的环保标准，从而为公司创造更大的市场竞争力和经济效益。在工作中，汽车结构工程师不仅需要与设…</x:v>
      </x:c>
      <x:c r="L436" s="39" t="str">
        <x:v>1. 负责汽车零部件的结构设计与分析工作，确保产品符合力学性能要求和相关法规标准。 2. 参与新车型开发项目的前期策划，制定详细的结构设计方案，指导后续的生产和测试流程。 3. 与供应商沟通协调，确保外购件的质量满足设计要求，并及时解决生产过程中的技术问题。 4. 对现有车型进行持续改进，通过技术创新降低成本，提高产品的市场竞争力。 5. 定期参加行业交流活…</x:v>
      </x:c>
    </x:row>
    <x:row r="437" ht="52" customHeight="1">
      <x:c r="A437" s="42" t="n">
        <x:v>184</x:v>
      </x:c>
      <x:c r="B437" s="39" t="str">
        <x:v>汽车试验工程师</x:v>
      </x:c>
      <x:c r="C437" s="39" t="str">
        <x:v>可直接合并</x:v>
      </x:c>
      <x:c r="D437" s="39" t="str">
        <x:v>汽车试验工程师</x:v>
      </x:c>
      <x:c r="E437" s="42" t="n">
        <x:v>567</x:v>
      </x:c>
      <x:c r="F437" s="39" t="str">
        <x:v>IC-L3-718</x:v>
      </x:c>
      <x:c r="G437" s="42" t="n">
        <x:v>718</x:v>
      </x:c>
      <x:c r="H437" s="39" t="str">
        <x:v>汽车 &gt; 汽车制造 &gt; 汽车试验工程师</x:v>
      </x:c>
      <x:c r="I437" s="39" t="str">
        <x:v>2-02-07-11</x:v>
      </x:c>
      <x:c r="J437" s="39" t="str">
        <x:v>汽车工程技术人员</x:v>
      </x:c>
      <x:c r="K437" s="39" t="str">
        <x:v>汽车试验工程师是专门从事汽车产品测试与验证的专业人员。该职位的核心目标是通过系统化的试验方案，确保车辆性能与安全指标符合设计要求。在日常工作中，需要进行试验方案设计、测试数据采集与分析、试验报告编写等工作。</x:v>
      </x:c>
      <x:c r="L437" s="39" t="str">
        <x:v>1. 设计测试方案 2. 实施整车试验 3. 分析试验数据 4. 编写测试报告 5. 优化测试流程 6. 解决技术问题</x:v>
      </x:c>
    </x:row>
    <x:row r="438" ht="52" customHeight="1">
      <x:c r="A438" s="42" t="n">
        <x:v>184</x:v>
      </x:c>
      <x:c r="B438" s="39" t="str">
        <x:v>汽车试验工程师</x:v>
      </x:c>
      <x:c r="C438" s="39" t="str">
        <x:v>可直接合并</x:v>
      </x:c>
      <x:c r="D438" s="39" t="str">
        <x:v>汽车试验工程师</x:v>
      </x:c>
      <x:c r="E438" s="42" t="n">
        <x:v>589</x:v>
      </x:c>
      <x:c r="F438" s="39" t="str">
        <x:v>IC-L3-740</x:v>
      </x:c>
      <x:c r="G438" s="42" t="n">
        <x:v>740</x:v>
      </x:c>
      <x:c r="H438" s="39" t="str">
        <x:v>汽车 &gt; 汽车研发设计 &gt; 汽车试验工程师</x:v>
      </x:c>
      <x:c r="I438" s="39" t="str">
        <x:v>2-02-07-11</x:v>
      </x:c>
      <x:c r="J438" s="39" t="str">
        <x:v>汽车工程技术人员</x:v>
      </x:c>
      <x:c r="K438" s="39" t="str">
        <x:v>汽车试验工程师是汽车研发设计领域中不可或缺的专业技术人才，他们负责确保新车型从概念到量产的每一个环节都符合安全标准和性能要求，对于提升车辆品质、保障消费者权益以及推动行业发展具有重要意义。本职位通过制定并执行全面的测试计划，不仅能够及时发现并解决产品潜在问题，还能够为公司节约成本、提高效率，进而增强市场竞争力。此外，作为跨部门合作的重要一环，汽车试验工程师需…</x:v>
      </x:c>
      <x:c r="L438" s="39" t="str">
        <x:v>1. 负责整车及零部件的性能测试工作，包括但不限于动力性、经济性、排放性等方面的实验，确保各项指标达到国家法规和企业标准。 2. 设计并实施各类专项试验方案，如耐久性测试、环境适应性测试等，以验证产品在不同工况下的可靠性和稳定性。 3. 对测试数据进行分析处理，撰写详细的试验报告，为后续的产品优化提供科学依据。 4. 协调内外部资源，解决试验过程中遇到的技术…</x:v>
      </x:c>
    </x:row>
    <x:row r="439" ht="52" customHeight="1">
      <x:c r="A439" s="42" t="n">
        <x:v>185</x:v>
      </x:c>
      <x:c r="B439" s="39" t="str">
        <x:v>汽车项目管理</x:v>
      </x:c>
      <x:c r="C439" s="39" t="str">
        <x:v>可直接合并</x:v>
      </x:c>
      <x:c r="D439" s="39" t="str">
        <x:v>汽车项目管理</x:v>
      </x:c>
      <x:c r="E439" s="42" t="n">
        <x:v>590</x:v>
      </x:c>
      <x:c r="F439" s="39" t="str">
        <x:v>IC-L3-741</x:v>
      </x:c>
      <x:c r="G439" s="42" t="n">
        <x:v>741</x:v>
      </x:c>
      <x:c r="H439" s="39" t="str">
        <x:v>汽车 &gt; 汽车研发设计 &gt; 汽车项目管理</x:v>
      </x:c>
      <x:c r="I439" s="39" t="str">
        <x:v>2-02-07-11</x:v>
      </x:c>
      <x:c r="J439" s="39" t="str">
        <x:v>汽车工程技术人员</x:v>
      </x:c>
      <x:c r="K439" s="39" t="str">
        <x:v>汽车项目管理是汽车研发设计领域中至关重要的角色之一，负责确保从概念阶段到最终产品发布的每一个环节都按计划顺利进行。此职位不仅需要具备深厚的技术背景，还需拥有卓越的组织协调能力和项目管理经验，以应对复杂多变的项目挑战。 作为公司核心竞争力的重要组成部分，汽车项目经理的核心目标在于优化资源配置，提高项目执行效率，保证产品质量与技术创新并重，从而增强企业在市场上的…</x:v>
      </x:c>
      <x:c r="L439" s="39" t="str">
        <x:v>1. 制定详细的项目计划，包括时间表、预算、资源分配等，确保项目按时完成并达到预期目标。 2. 协调内外部资源，解决项目实施过程中遇到的问题，维护良好的客户关系，确保项目顺利推进。 3. 跟踪项目进度，定期向高层管理者汇报项目状态，及时发现潜在风险并采取预防措施。 4. 组织跨部门会议，促进团队成员之间的沟通与合作，营造积极向上的工作氛围。 5. 对项目成果…</x:v>
      </x:c>
    </x:row>
    <x:row r="440" ht="52" customHeight="1">
      <x:c r="A440" s="42" t="n">
        <x:v>185</x:v>
      </x:c>
      <x:c r="B440" s="39" t="str">
        <x:v>汽车项目管理</x:v>
      </x:c>
      <x:c r="C440" s="39" t="str">
        <x:v>可直接合并</x:v>
      </x:c>
      <x:c r="D440" s="39" t="str">
        <x:v>汽车项目管理</x:v>
      </x:c>
      <x:c r="E440" s="42" t="n">
        <x:v>1323</x:v>
      </x:c>
      <x:c r="F440" s="39" t="str">
        <x:v>IC-L3-1474</x:v>
      </x:c>
      <x:c r="G440" s="42" t="n">
        <x:v>1474</x:v>
      </x:c>
      <x:c r="H440" s="39" t="str">
        <x:v>项目经理/管理 &gt; 项目经理/管理 &gt; 汽车项目管理</x:v>
      </x:c>
      <x:c r="I440" s="39" t="str">
        <x:v>2-02-07-11</x:v>
      </x:c>
      <x:c r="J440" s="39" t="str">
        <x:v>汽车工程技术人员</x:v>
      </x:c>
      <x:c r="K440" s="39" t="str">
        <x:v>汽车项目管理是汽车行业中的关键角色，负责确保从概念设计到最终交付的整个过程高效、顺利地进行。项目经理不仅需要具备强大的组织能力和技术背景，还需要有良好的沟通技巧，以协调各个部门之间的合作，确保项目按时按质完成。 该职位的核心目标在于通过有效的资源管理和时间控制，优化项目流程，减少成本并提高产品质量，从而为公司创造更大的经济价值和社会影响力。同时，项目经理还需…</x:v>
      </x:c>
      <x:c r="L440" s="39" t="str">
        <x:v>1. 负责制定详细的项目计划，包括但不限于项目目标、里程碑、预算和资源配置等，并确保所有参与者都清楚了解自己的任务。 2. 监控项目进度，定期评估项目状态，及时发现并解决潜在问题，确保项目按照既定的时间表和质量标准推进。 3. 与内外部客户保持密切联系，收集反馈意见，调整项目方案以更好地满足客户需求。 4. 组织召开项目会议，汇总并传达重要信息，确保团队成员…</x:v>
      </x:c>
    </x:row>
    <x:row r="441" ht="52" customHeight="1">
      <x:c r="A441" s="42" t="n">
        <x:v>186</x:v>
      </x:c>
      <x:c r="B441" s="39" t="str">
        <x:v>汽车销售/经纪人</x:v>
      </x:c>
      <x:c r="C441" s="39" t="str">
        <x:v>可直接合并</x:v>
      </x:c>
      <x:c r="D441" s="39" t="str">
        <x:v>汽车销售/经纪人</x:v>
      </x:c>
      <x:c r="E441" s="42" t="n">
        <x:v>282</x:v>
      </x:c>
      <x:c r="F441" s="39" t="str">
        <x:v>IC-L3-433</x:v>
      </x:c>
      <x:c r="G441" s="42" t="n">
        <x:v>433</x:v>
      </x:c>
      <x:c r="H441" s="39" t="str">
        <x:v>销售/客服 &gt; 汽车销售 &gt; 汽车销售/经纪人</x:v>
      </x:c>
      <x:c r="I441" s="39" t="str">
        <x:v>2-02-07-11</x:v>
      </x:c>
      <x:c r="J441" s="39" t="str">
        <x:v>汽车工程技术人员</x:v>
      </x:c>
      <x:c r="K441" s="39" t="str">
        <x:v>汽车销售/经纪人在汽车行业扮演着至关重要的角色，他们不仅是连接客户与企业的桥梁，还负责将公司的产品和服务以最有效的方式传达给潜在买家。通过精准的市场分析和高效的沟通技巧，该职位致力于提升客户满意度和品牌忠诚度，是推动公司业绩增长的关键力量。此外，汽车销售/经纪人还需与其他部门紧密合作，如市场部、售后服务部等，共同为客户提供全方位的服务体验，其职业道路广阔，从…</x:v>
      </x:c>
      <x:c r="L441" s="39" t="str">
        <x:v>1. 主动寻找并接触潜在客户，了解客户需求，提供专业的购车咨询及建议，目标是提高客户转化率。 2. 熟练掌握公司旗下所有车型的特点与优势，准确无误地向顾客介绍产品信息，确保顾客能够全面理解所选车辆的性能。 3. 协助客户完成购车流程，包括但不限于贷款审批、保险购买、上牌服务等，力求使每位顾客享受到便捷高效的一站式服务。 4. 定期跟进已购车客户的使用情况，收…</x:v>
      </x:c>
    </x:row>
    <x:row r="442" ht="52" customHeight="1">
      <x:c r="A442" s="42" t="n">
        <x:v>186</x:v>
      </x:c>
      <x:c r="B442" s="39" t="str">
        <x:v>汽车销售/经纪人</x:v>
      </x:c>
      <x:c r="C442" s="39" t="str">
        <x:v>可直接合并</x:v>
      </x:c>
      <x:c r="D442" s="39" t="str">
        <x:v>汽车销售/经纪人</x:v>
      </x:c>
      <x:c r="E442" s="42" t="n">
        <x:v>609</x:v>
      </x:c>
      <x:c r="F442" s="39" t="str">
        <x:v>IC-L3-760</x:v>
      </x:c>
      <x:c r="G442" s="42" t="n">
        <x:v>760</x:v>
      </x:c>
      <x:c r="H442" s="39" t="str">
        <x:v>汽车 &gt; 汽车销售与服务 &gt; 汽车销售/经纪人</x:v>
      </x:c>
      <x:c r="I442" s="39" t="str">
        <x:v>2-02-07-11</x:v>
      </x:c>
      <x:c r="J442" s="39" t="str">
        <x:v>汽车工程技术人员</x:v>
      </x:c>
      <x:c r="K442" s="39" t="str">
        <x:v>汽车销售/经纪人在汽车行业扮演着至关重要的角色，他们是连接客户与制造商之间的桥梁，不仅负责推广和销售汽车产品，还承担着提升品牌形象和服务质量的任务。该职位的核心目标是通过深入了解客户需求并提供个性化解决方案来促进汽车销售，同时确保客户满意度，从而为公司带来长期稳定的收益增长。此外，汽车销售/经纪人还需与其他部门紧密合作，如市场部、售后服务中心等，共同优化客户…</x:v>
      </x:c>
      <x:c r="L442" s="39" t="str">
        <x:v>1. 通过电话、网络及面对面交流等方式主动开发潜在客户，了解其购车需求，并推荐合适的车型。 2. 定期参加产品知识培训，掌握最新汽车技术和市场动态，以便向客户提供准确的信息咨询。 3. 协助客户完成购车手续，包括但不限于贷款申请、保险购买等，确保整个交易过程顺畅无误。 4. 对已售出车辆进行跟踪服务，收集反馈意见，及时解决客户遇到的问题，提高售后服务水平。 …</x:v>
      </x:c>
    </x:row>
    <x:row r="443" ht="52" customHeight="1">
      <x:c r="A443" s="42" t="n">
        <x:v>187</x:v>
      </x:c>
      <x:c r="B443" s="39" t="str">
        <x:v>汽车质量工程师</x:v>
      </x:c>
      <x:c r="C443" s="39" t="str">
        <x:v>可直接合并</x:v>
      </x:c>
      <x:c r="D443" s="39" t="str">
        <x:v>汽车质量工程师</x:v>
      </x:c>
      <x:c r="E443" s="42" t="n">
        <x:v>563</x:v>
      </x:c>
      <x:c r="F443" s="39" t="str">
        <x:v>IC-L3-714</x:v>
      </x:c>
      <x:c r="G443" s="42" t="n">
        <x:v>714</x:v>
      </x:c>
      <x:c r="H443" s="39" t="str">
        <x:v>汽车 &gt; 汽车制造 &gt; 汽车质量工程师</x:v>
      </x:c>
      <x:c r="I443" s="39" t="str">
        <x:v>2-02-07-11</x:v>
      </x:c>
      <x:c r="J443" s="39" t="str">
        <x:v>汽车工程技术人员</x:v>
      </x:c>
      <x:c r="K443" s="39" t="str">
        <x:v>汽车质量工程师是汽车制造业中不可或缺的专业人才，他们负责确保生产过程中的每一个环节都符合严格的质量标准，从而保障最终产品的性能和安全性。作为连接研发与生产的桥梁，质量工程师通过持续改进产品质量，不仅提升了客户满意度，还为公司树立了良好的品牌形象，增强了市场竞争力。此外，该职位需要与设计、生产、采购等多个部门紧密合作，共同解决质量问题，促进跨部门沟通与协调；随…</x:v>
      </x:c>
      <x:c r="L443" s="39" t="str">
        <x:v>1. 负责制定并实施全面的质量控制计划，确保所有生产流程及产品均达到国家法规和企业内部的标准要求。 2. 对生产线上的各种异常情况进行分析，找出问题根源，提出有效的预防措施，降低不良品率。 3. 定期组织质量审核活动，检查供应商提供的原材料和零部件是否合格，维护供应链的整体质量水平。 4. 与研发团队密切配合，参与新车型开发阶段的质量风险评估工作，确保新产品…</x:v>
      </x:c>
    </x:row>
    <x:row r="444" ht="52" customHeight="1">
      <x:c r="A444" s="42" t="n">
        <x:v>187</x:v>
      </x:c>
      <x:c r="B444" s="39" t="str">
        <x:v>汽车质量工程师</x:v>
      </x:c>
      <x:c r="C444" s="39" t="str">
        <x:v>可直接合并</x:v>
      </x:c>
      <x:c r="D444" s="39" t="str">
        <x:v>汽车质量工程师</x:v>
      </x:c>
      <x:c r="E444" s="42" t="n">
        <x:v>742</x:v>
      </x:c>
      <x:c r="F444" s="39" t="str">
        <x:v>IC-L3-893</x:v>
      </x:c>
      <x:c r="G444" s="42" t="n">
        <x:v>893</x:v>
      </x:c>
      <x:c r="H444" s="39" t="str">
        <x:v>生产制造 &gt; 质量管理 &gt; 汽车质量工程师</x:v>
      </x:c>
      <x:c r="I444" s="39" t="str">
        <x:v>2-02-07-11</x:v>
      </x:c>
      <x:c r="J444" s="39" t="str">
        <x:v>汽车工程技术人员</x:v>
      </x:c>
      <x:c r="K444" s="39" t="str">
        <x:v>汽车质量工程师是生产制造行业中不可或缺的专业人才，负责确保汽车产品的质量和可靠性，其工作直接关系到消费者的安全与满意度。通过制定和实施严格的质量控制标准，汽车质量工程师能够帮助企业减少缺陷率，提高生产效率，增强市场竞争力，从而实现企业长期稳定的发展。此外，该职位还涉及到与其他部门如研发、采购、生产等紧密合作，共同解决质量问题，推动产品改进，同时也为个人提供了…</x:v>
      </x:c>
      <x:c r="L444" s="39" t="str">
        <x:v>1. 负责制定并执行全面的质量管理体系，确保所有生产环节符合国家及国际相关法规要求。 2. 定期进行产品质量检测，分析潜在风险点，提出预防措施，持续优化生产工艺流程，降低不良品率。 3. 协调供应商管理，评估其提供的原材料或零部件质量，建立稳定的供应链关系。 4. 对客户反馈的问题进行调查处理，及时调整质量策略，维护品牌形象。 5. 组织内部培训，提升员工质…</x:v>
      </x:c>
    </x:row>
    <x:row r="445" ht="52" customHeight="1">
      <x:c r="A445" s="42" t="n">
        <x:v>188</x:v>
      </x:c>
      <x:c r="B445" s="39" t="str">
        <x:v>汽车装配工艺工程师</x:v>
      </x:c>
      <x:c r="C445" s="39" t="str">
        <x:v>可直接合并</x:v>
      </x:c>
      <x:c r="D445" s="39" t="str">
        <x:v>汽车装配工艺工程师</x:v>
      </x:c>
      <x:c r="E445" s="42" t="n">
        <x:v>562</x:v>
      </x:c>
      <x:c r="F445" s="39" t="str">
        <x:v>IC-L3-713</x:v>
      </x:c>
      <x:c r="G445" s="42" t="n">
        <x:v>713</x:v>
      </x:c>
      <x:c r="H445" s="39" t="str">
        <x:v>汽车 &gt; 汽车制造 &gt; 汽车装配工艺工程师</x:v>
      </x:c>
      <x:c r="I445" s="39" t="str">
        <x:v>2-02-07-11</x:v>
      </x:c>
      <x:c r="J445" s="39" t="str">
        <x:v>汽车工程技术人员</x:v>
      </x:c>
      <x:c r="K445" s="39" t="str">
        <x:v>汽车装配工艺工程师是汽车制造行业中至关重要的技术岗位，负责确保车辆从设计图纸到生产线上的顺利转化。该职位不仅需要深厚的机械工程知识，还需要具备良好的项目管理和团队合作能力，以支持企业实现高效、高质量的生产目标。通过与研发、采购、质量控制等多个部门紧密合作，汽车装配工艺工程师能够不断优化生产工艺流程，提高生产效率，降低成本，同时为个人职业发展提供了广阔的空间，…</x:v>
      </x:c>
      <x:c r="L445" s="39" t="str">
        <x:v>1. 负责制定和完善汽车装配线的工艺流程，确保产品符合设计要求及质量标准。 2. 对现有生产线进行定期评估，识别并解决生产过程中的瓶颈问题，持续改进作业方法，提升整体产能。 3. 与设计团队密切配合，参与新车型的研发工作，提前规划新产品的装配方案，确保新产品顺利投产。 4. 组织培训一线员工，传授最新的技术和操作规范，保证所有操作人员都能熟练掌握相关技能。 …</x:v>
      </x:c>
    </x:row>
    <x:row r="446" ht="52" customHeight="1">
      <x:c r="A446" s="42" t="n">
        <x:v>188</x:v>
      </x:c>
      <x:c r="B446" s="39" t="str">
        <x:v>汽车装配工艺工程师</x:v>
      </x:c>
      <x:c r="C446" s="39" t="str">
        <x:v>可直接合并</x:v>
      </x:c>
      <x:c r="D446" s="39" t="str">
        <x:v>汽车装配工艺工程师</x:v>
      </x:c>
      <x:c r="E446" s="42" t="n">
        <x:v>613</x:v>
      </x:c>
      <x:c r="F446" s="39" t="str">
        <x:v>IC-L3-764</x:v>
      </x:c>
      <x:c r="G446" s="42" t="n">
        <x:v>764</x:v>
      </x:c>
      <x:c r="H446" s="39" t="str">
        <x:v>汽车 &gt; 汽车销售与服务 &gt; 汽车装配工艺工程师</x:v>
      </x:c>
      <x:c r="I446" s="39" t="str">
        <x:v>2-02-07-11</x:v>
      </x:c>
      <x:c r="J446" s="39" t="str">
        <x:v>汽车工程技术人员</x:v>
      </x:c>
      <x:c r="K446" s="39" t="str">
        <x:v>汽车装配工艺工程师是专门从事汽车生产制造工艺设计与优化的专业人员。该职位的核心目标是通过改进装配工艺流程，提升生产效率和产品质量。在日常工作中，需要进行工艺方案制定、装配线优化、工装夹具设计以及生产问题分析解决等工作。</x:v>
      </x:c>
      <x:c r="L446" s="39" t="str">
        <x:v>1. 设计装配工艺流程 2. 优化生产线效率 3. 制定工艺标准文件 4. 解决生产现场问题 5. 培训装配操作人员 6. 评估工艺改进效果</x:v>
      </x:c>
    </x:row>
    <x:row r="447" ht="52" customHeight="1">
      <x:c r="A447" s="42" t="n">
        <x:v>189</x:v>
      </x:c>
      <x:c r="B447" s="39" t="str">
        <x:v>签证专员</x:v>
      </x:c>
      <x:c r="C447" s="39" t="str">
        <x:v>可直接合并</x:v>
      </x:c>
      <x:c r="D447" s="39" t="str">
        <x:v>签证专员</x:v>
      </x:c>
      <x:c r="E447" s="42" t="n">
        <x:v>815</x:v>
      </x:c>
      <x:c r="F447" s="39" t="str">
        <x:v>IC-L3-966</x:v>
      </x:c>
      <x:c r="G447" s="42" t="n">
        <x:v>966</x:v>
      </x:c>
      <x:c r="H447" s="39" t="str">
        <x:v>生活服务/零售 &gt; 服务员 &gt; 签证专员</x:v>
      </x:c>
      <x:c r="I447" s="39" t="str">
        <x:v>2-06-07-12</x:v>
      </x:c>
      <x:c r="J447" s="39" t="str">
        <x:v>报关人员</x:v>
      </x:c>
      <x:c r="K447" s="39" t="str">
        <x:v>签证专员是专门从事出入境签证事务办理的专业人员。该职位的核心目标是通过高效精准的签证服务，保障企业外派服务人员的顺利出入境。在日常工作中，需要进行签证政策解读、材料审核、申请递交、进度跟踪以及领事馆沟通协调等工作。</x:v>
      </x:c>
      <x:c r="L447" s="39" t="str">
        <x:v>1. 收集签证申请材料 2. 审核签证文件完整性 3. 指导填写申请表格 4. 跟进签证办理进度 5. 协调使馆沟通事宜 6. 处理突发签证问题</x:v>
      </x:c>
    </x:row>
    <x:row r="448" ht="52" customHeight="1">
      <x:c r="A448" s="42" t="n">
        <x:v>189</x:v>
      </x:c>
      <x:c r="B448" s="39" t="str">
        <x:v>签证专员</x:v>
      </x:c>
      <x:c r="C448" s="39" t="str">
        <x:v>可直接合并</x:v>
      </x:c>
      <x:c r="D448" s="39" t="str">
        <x:v>签证专员</x:v>
      </x:c>
      <x:c r="E448" s="42" t="n">
        <x:v>1220</x:v>
      </x:c>
      <x:c r="F448" s="39" t="str">
        <x:v>IC-L3-1371</x:v>
      </x:c>
      <x:c r="G448" s="42" t="n">
        <x:v>1371</x:v>
      </x:c>
      <x:c r="H448" s="39" t="str">
        <x:v>酒店/旅游 &gt; 旅游 &gt; 签证专员</x:v>
      </x:c>
      <x:c r="I448" s="39" t="str">
        <x:v>2-06-07-12</x:v>
      </x:c>
      <x:c r="J448" s="39" t="str">
        <x:v>报关人员</x:v>
      </x:c>
      <x:c r="K448" s="39" t="str">
        <x:v>签证专员是酒店与旅游业中不可或缺的专业角色，负责处理客户出国旅行所需的各类签证事务，确保客户的出行计划顺利进行。通过高效准确地完成签证申请流程，该职位不仅能够提升客户体验，还直接关系到旅行社或酒店的品牌形象和服务质量。签证专员需要与销售、客户服务等部门紧密合作，共同为客户制定个性化的旅行方案，同时，随着国际旅游市场的不断拓展，这一职位的职业发展路径也十分广阔…</x:v>
      </x:c>
      <x:c r="L448" s="39" t="str">
        <x:v>1. 为客户提供专业的签证咨询服务，包括但不限于签证类型选择、所需材料清单提供以及申请流程指导，确保客户充分了解并准备齐全所有必要文件。 2. 审核客户提交的签证申请材料，检查其完整性和准确性，及时发现并纠正问题，以避免因资料不全导致的拒签风险。 3. 代表公司与各国使领馆沟通协调，跟踪签证进度，解决过程中出现的问题，保证签证审批工作的顺利推进。 4. 根据…</x:v>
      </x:c>
    </x:row>
    <x:row r="449" ht="52" customHeight="1">
      <x:c r="A449" s="42" t="n">
        <x:v>190</x:v>
      </x:c>
      <x:c r="B449" s="39" t="str">
        <x:v>前期质量工程师</x:v>
      </x:c>
      <x:c r="C449" s="39" t="str">
        <x:v>可直接合并</x:v>
      </x:c>
      <x:c r="D449" s="39" t="str">
        <x:v>前期质量工程师</x:v>
      </x:c>
      <x:c r="E449" s="42" t="n">
        <x:v>559</x:v>
      </x:c>
      <x:c r="F449" s="39" t="str">
        <x:v>IC-L3-710</x:v>
      </x:c>
      <x:c r="G449" s="42" t="n">
        <x:v>710</x:v>
      </x:c>
      <x:c r="H449" s="39" t="str">
        <x:v>汽车 &gt; 汽车制造 &gt; 前期质量工程师</x:v>
      </x:c>
      <x:c r="I449" s="39" t="str">
        <x:v>2-02-29-03</x:v>
      </x:c>
      <x:c r="J449" s="39" t="str">
        <x:v>质量管理工程技术人员</x:v>
      </x:c>
      <x:c r="K449" s="39" t="str">
        <x:v>前期质量工程师是汽车制造业中不可或缺的关键角色，负责确保产品从设计到生产各阶段的质量标准，对提升企业竞争力有着至关重要的作用。该职位的主要任务是在项目早期识别潜在的质量风险点并制定预防措施，通过持续改进流程来降低不良率，从而提高客户满意度与市场占有率；同时，前期质量工程师需要与其他部门如研发、采购及生产等紧密合作，共同推动产品质量的优化升级。随着公司业务的发…</x:v>
      </x:c>
      <x:c r="L449" s="39" t="str">
        <x:v>1. 负责新车型或改款车型在开发初期的质量策划工作，包括但不限于制定质量目标、编写质量计划书以及确定关键控制点。 2. 对供应商提供的零部件进行严格的质量审核，确保其符合公司的技术规范要求，对于不合格品要及时反馈并督促整改。 3. 协调内部各部门资源，组织召开质量问题分析会议，针对发现的问题提出有效的解决方案，并跟踪实施效果直至问题彻底解决。 4. 定期收集…</x:v>
      </x:c>
    </x:row>
    <x:row r="450" ht="52" customHeight="1">
      <x:c r="A450" s="42" t="n">
        <x:v>190</x:v>
      </x:c>
      <x:c r="B450" s="39" t="str">
        <x:v>前期质量工程师</x:v>
      </x:c>
      <x:c r="C450" s="39" t="str">
        <x:v>可直接合并</x:v>
      </x:c>
      <x:c r="D450" s="39" t="str">
        <x:v>前期质量工程师</x:v>
      </x:c>
      <x:c r="E450" s="42" t="n">
        <x:v>735</x:v>
      </x:c>
      <x:c r="F450" s="39" t="str">
        <x:v>IC-L3-886</x:v>
      </x:c>
      <x:c r="G450" s="42" t="n">
        <x:v>886</x:v>
      </x:c>
      <x:c r="H450" s="39" t="str">
        <x:v>生产制造 &gt; 质量管理 &gt; 前期质量工程师</x:v>
      </x:c>
      <x:c r="I450" s="39" t="str">
        <x:v>2-02-29-03</x:v>
      </x:c>
      <x:c r="J450" s="39" t="str">
        <x:v>质量管理工程技术人员</x:v>
      </x:c>
      <x:c r="K450" s="39" t="str">
        <x:v>前期质量工程师是生产制造行业中不可或缺的角色，主要负责从产品设计到生产的早期阶段的质量控制工作。通过确保每个环节都符合高标准的质量要求，该职位对于提升整体产品质量、降低后期返工成本以及增强客户满意度具有重要意义。 在公司内部，前期质量工程师的核心目标是预防质量问题的发生，而不是事后解决。他们通过对新产品的设计评审、工艺流程分析以及供应商选择等环节进行严格把关…</x:v>
      </x:c>
      <x:c r="L450" s="39" t="str">
        <x:v>1. 参与新产品开发过程中的质量策划，制定详细的检验标准和测试计划，确保设计满足质量要求。 2. 对生产过程中的关键工序进行监控，及时发现并纠正可能影响产品质量的问题，保障生产顺利进行。 3. 与供应商建立良好的沟通机制，定期评估其提供的原材料和服务的质量，推动供应链优化。 4. 收集内外部客户的反馈意见，分析质量问题的根本原因，提出有效的改进措施并跟踪执行…</x:v>
      </x:c>
    </x:row>
    <x:row r="451" ht="52" customHeight="1">
      <x:c r="A451" s="42" t="n">
        <x:v>191</x:v>
      </x:c>
      <x:c r="B451" s="39" t="str">
        <x:v>前台接待/总机/接待生</x:v>
      </x:c>
      <x:c r="C451" s="39" t="str">
        <x:v>条件合并（先修分类）</x:v>
      </x:c>
      <x:c r="D451" s="39" t="str">
        <x:v>前台接待/总机/接待生</x:v>
      </x:c>
      <x:c r="E451" s="42" t="n">
        <x:v>149</x:v>
      </x:c>
      <x:c r="F451" s="39" t="str">
        <x:v>IC-L3-300</x:v>
      </x:c>
      <x:c r="G451" s="42" t="n">
        <x:v>300</x:v>
      </x:c>
      <x:c r="H451" s="39" t="str">
        <x:v>人事/行政 &gt; 行政/后勤 &gt; 前台接待/总机/接待生</x:v>
      </x:c>
      <x:c r="I451" s="39" t="str">
        <x:v>3-01-02-01</x:v>
      </x:c>
      <x:c r="J451" s="39" t="str">
        <x:v>机要员</x:v>
      </x:c>
      <x:c r="K451" s="39" t="str">
        <x:v>前台接待/总机/接待生是公司形象的第一窗口，对于营造良好的企业氛围起着至关重要的作用。该职位不仅是来访者的第一印象，也是员工日常工作的起点，因此要求具备优秀的沟通能力和细致的服务意识。通过热情周到的服务，不仅能够提升公司的整体形象，还能增强客户及合作伙伴的信任度与满意度，为公司的长远发展奠定坚实的基础。此外，前台接待人员还将与其他部门密切合作，如行政部、人力…</x:v>
      </x:c>
      <x:c r="L451" s="39" t="str">
        <x:v>1. 负责接听电话并准确转接至相关部门或个人，确保信息传递无误，提高工作效率。 2. 热情迎接每一位来访客人，登记来访信息，指引其前往相应地点，展现公司良好形象。 3. 定期检查办公区域内的公共设施（如饮水机、打印机等）是否正常运行，及时报告维修需求，保证办公环境的整洁舒适。 4. 协助处理日常行政事务，例如文件归档、会议安排等，支持其他同事顺利完成工作。 …</x:v>
      </x:c>
    </x:row>
    <x:row r="452" ht="52" customHeight="1">
      <x:c r="A452" s="42" t="n">
        <x:v>191</x:v>
      </x:c>
      <x:c r="B452" s="39" t="str">
        <x:v>前台接待/总机/接待生</x:v>
      </x:c>
      <x:c r="C452" s="39" t="str">
        <x:v>条件合并（先修分类）</x:v>
      </x:c>
      <x:c r="D452" s="39" t="str">
        <x:v>前台接待/总机/接待生</x:v>
      </x:c>
      <x:c r="E452" s="42" t="n">
        <x:v>318</x:v>
      </x:c>
      <x:c r="F452" s="39" t="str">
        <x:v>IC-L3-469</x:v>
      </x:c>
      <x:c r="G452" s="42" t="n">
        <x:v>469</x:v>
      </x:c>
      <x:c r="H452" s="39" t="str">
        <x:v>销售/客服 &gt; 销售行政及商务 &gt; 前台接待/总机/接待生</x:v>
      </x:c>
      <x:c r="I452" s="39" t="str">
        <x:v>3-01-02-02</x:v>
      </x:c>
      <x:c r="J452" s="39" t="str">
        <x:v>秘书</x:v>
      </x:c>
      <x:c r="K452" s="39" t="str">
        <x:v>前台接待/总机/接待生是专门从事客户接待与行政支持的专业人员。该职位的核心目标是通过提供优质的前台服务，塑造企业专业形象并提升客户满意度。在日常工作中，需要进行来访接待、电话转接、信息登记、会议协调及基础行政支持等工作。</x:v>
      </x:c>
      <x:c r="L452" s="39" t="str">
        <x:v>1. 接待来访客户 2. 接听转接电话 3. 登记访客信息 4. 收发快递文件 5. 维护前台整洁 6. 协助行政事务</x:v>
      </x:c>
    </x:row>
    <x:row r="453" ht="52" customHeight="1">
      <x:c r="A453" s="42" t="n">
        <x:v>192</x:v>
      </x:c>
      <x:c r="B453" s="39" t="str">
        <x:v>钳工</x:v>
      </x:c>
      <x:c r="C453" s="39" t="str">
        <x:v>可直接合并</x:v>
      </x:c>
      <x:c r="D453" s="39" t="str">
        <x:v>钳工</x:v>
      </x:c>
      <x:c r="E453" s="42" t="n">
        <x:v>672</x:v>
      </x:c>
      <x:c r="F453" s="39" t="str">
        <x:v>IC-L3-823</x:v>
      </x:c>
      <x:c r="G453" s="42" t="n">
        <x:v>823</x:v>
      </x:c>
      <x:c r="H453" s="39" t="str">
        <x:v>生产制造 &gt; 技工 &gt; 钳工</x:v>
      </x:c>
      <x:c r="I453" s="39" t="str">
        <x:v>6-31-01-01</x:v>
      </x:c>
      <x:c r="J453" s="39" t="str">
        <x:v>设备点检员</x:v>
      </x:c>
      <x:c r="K453" s="39" t="str">
        <x:v>钳工是专门从事机械零部件加工与装配的专业技术人员。该职位的核心目标是通过精密加工和装配工艺，确保机械设备的高效运行。在日常工作中，需要进行零部件测量与修配、机械设备组装调试、工装夹具维护等工作。</x:v>
      </x:c>
      <x:c r="L453" s="39" t="str">
        <x:v>1. 操作维修机械设备 2. 安装调试工装夹具 3. 进行金属切削加工 4. 检测零部件精度 5. 维护保养工具设备 6. 遵守安全操作规程</x:v>
      </x:c>
    </x:row>
    <x:row r="454" ht="52" customHeight="1">
      <x:c r="A454" s="42" t="n">
        <x:v>192</x:v>
      </x:c>
      <x:c r="B454" s="39" t="str">
        <x:v>钳工</x:v>
      </x:c>
      <x:c r="C454" s="39" t="str">
        <x:v>可直接合并</x:v>
      </x:c>
      <x:c r="D454" s="39" t="str">
        <x:v>钳工</x:v>
      </x:c>
      <x:c r="E454" s="42" t="n">
        <x:v>707</x:v>
      </x:c>
      <x:c r="F454" s="39" t="str">
        <x:v>IC-L3-858</x:v>
      </x:c>
      <x:c r="G454" s="42" t="n">
        <x:v>858</x:v>
      </x:c>
      <x:c r="H454" s="39" t="str">
        <x:v>生产制造 &gt; 机械加工 &gt; 钳工</x:v>
      </x:c>
      <x:c r="I454" s="39" t="str">
        <x:v>6-31-01-01</x:v>
      </x:c>
      <x:c r="J454" s="39" t="str">
        <x:v>设备点检员</x:v>
      </x:c>
      <x:c r="K454" s="39" t="str">
        <x:v>钳工是生产制造行业中不可或缺的技术岗位之一，尤其在机械加工领域，其专业技能对于确保产品质量和生产效率至关重要。作为一线操作人员，钳工通过精确的零件加工和组装，不仅能够直接提升产品的性能，还能有效降低生产成本，增强企业在市场上的竞争力。此外，钳工还需要与设计、质量控制等部门密切合作，共同解决生产过程中遇到的技术难题，随着经验的积累，具备优秀技术能力的钳工将有机…</x:v>
      </x:c>
      <x:c r="L454" s="39" t="str">
        <x:v>1. 负责按照图纸和技术要求进行金属材料的切割、钻孔、锉削等加工工作，确保尺寸精度和表面质量符合标准。 2. 完成零部件的装配调试任务，及时发现并处理装配过程中的问题，保证设备运行正常。 3. 对所使用的工具、量具进行日常维护保养，定期检查设备状态，预防故障发生。 4. 积极参与新工艺、新材料的研究与应用，不断优化加工流程，提高工作效率。 5. 严格遵守安全…</x:v>
      </x:c>
    </x:row>
    <x:row r="455" ht="52" customHeight="1">
      <x:c r="A455" s="42" t="n">
        <x:v>193</x:v>
      </x:c>
      <x:c r="B455" s="39" t="str">
        <x:v>嵌入式硬件开发</x:v>
      </x:c>
      <x:c r="C455" s="39" t="str">
        <x:v>可直接合并</x:v>
      </x:c>
      <x:c r="D455" s="39" t="str">
        <x:v>嵌入式硬件开发</x:v>
      </x:c>
      <x:c r="E455" s="42" t="n">
        <x:v>1153</x:v>
      </x:c>
      <x:c r="F455" s="39" t="str">
        <x:v>IC-L3-1304</x:v>
      </x:c>
      <x:c r="G455" s="42" t="n">
        <x:v>1304</x:v>
      </x:c>
      <x:c r="H455" s="39" t="str">
        <x:v>通信/电子 &gt; 电子/电器/仪器仪表 &gt; 嵌入式硬件开发</x:v>
      </x:c>
      <x:c r="I455" s="39" t="str">
        <x:v>2-02-10-03</x:v>
      </x:c>
      <x:c r="J455" s="39" t="str">
        <x:v>计算机软件工程技术人员</x:v>
      </x:c>
      <x:c r="K455" s="39" t="str">
        <x:v>嵌入式硬件开发工程师是通信/电子行业中不可或缺的专业人才，他们负责设计和实现各种电子设备的硬件系统，确保产品的性能和可靠性达到预期标准。作为连接软件与物理世界的桥梁，他们的工作直接关系到产品能否顺利进入市场并获得成功。 在公司内部，嵌入式硬件开发工程师的主要任务是根据项目需求完成新产品的电路设计、元器件选型及PCB布局等工作，同时对现有产品进行持续优化升级。…</x:v>
      </x:c>
      <x:c r="L455" s="39" t="str">
        <x:v>1. 负责新产品开发过程中的硬件方案设计、原理图绘制及PCB布线，确保设计方案满足功能要求和技术规范。 2. 进行关键元器件的选型评估，编写详细的选型报告，保证所选材料符合成本控制和质量标准。 3. 协助软件团队完成系统联调，解决调试过程中出现的技术问题，确保产品能够按时交付。 4. 对已投产的产品进行定期维护和技术支持，收集用户反馈，不断改进产品性能。 5…</x:v>
      </x:c>
    </x:row>
    <x:row r="456" ht="52" customHeight="1">
      <x:c r="A456" s="42" t="n">
        <x:v>193</x:v>
      </x:c>
      <x:c r="B456" s="39" t="str">
        <x:v>嵌入式硬件开发</x:v>
      </x:c>
      <x:c r="C456" s="39" t="str">
        <x:v>可直接合并</x:v>
      </x:c>
      <x:c r="D456" s="39" t="str">
        <x:v>嵌入式硬件开发</x:v>
      </x:c>
      <x:c r="E456" s="42" t="n">
        <x:v>1181</x:v>
      </x:c>
      <x:c r="F456" s="39" t="str">
        <x:v>IC-L3-1332</x:v>
      </x:c>
      <x:c r="G456" s="42" t="n">
        <x:v>1332</x:v>
      </x:c>
      <x:c r="H456" s="39" t="str">
        <x:v>通信/电子 &gt; 硬件开发 &gt; 嵌入式硬件开发</x:v>
      </x:c>
      <x:c r="I456" s="39" t="str">
        <x:v>2-02-10-03</x:v>
      </x:c>
      <x:c r="J456" s="39" t="str">
        <x:v>计算机软件工程技术人员</x:v>
      </x:c>
      <x:c r="K456" s="39" t="str">
        <x:v>嵌入式硬件开发工程师是通信/电子行业中不可或缺的角色，他们负责设计和实现复杂的硬件系统，这些系统广泛应用于各种智能设备中，从智能手机到工业自动化控制，确保产品能够高效、稳定地运行。作为公司技术团队的核心成员，嵌入式硬件开发工程师的主要目标是开发高质量、高可靠性的硬件解决方案，以满足市场对新产品不断增长的需求，通过技术创新推动企业竞争力的提升。此外，该职位需要…</x:v>
      </x:c>
      <x:c r="L456" s="39" t="str">
        <x:v>1. 负责嵌入式系统的硬件架构设计及关键模块的电路设计，确保设计方案符合产品性能要求。 2. 编写详细的硬件设计文档和技术规范书，为后续生产制造提供准确指导。 3. 参与新产品样机的调试工作，解决研发过程中出现的技术难题，保证产品质量。 4. 协助软件团队进行联合调试，优化软硬件接口，提高系统整体性能。 5. 关注行业动态和技术趋势，持续学习最新知识，推动公…</x:v>
      </x:c>
    </x:row>
    <x:row r="457" ht="52" customHeight="1">
      <x:c r="A457" s="42" t="n">
        <x:v>194</x:v>
      </x:c>
      <x:c r="B457" s="39" t="str">
        <x:v>区域销售经理</x:v>
      </x:c>
      <x:c r="C457" s="39" t="str">
        <x:v>可直接合并</x:v>
      </x:c>
      <x:c r="D457" s="39" t="str">
        <x:v>区域销售经理</x:v>
      </x:c>
      <x:c r="E457" s="42" t="n">
        <x:v>297</x:v>
      </x:c>
      <x:c r="F457" s="39" t="str">
        <x:v>IC-L3-448</x:v>
      </x:c>
      <x:c r="G457" s="42" t="n">
        <x:v>448</x:v>
      </x:c>
      <x:c r="H457" s="39" t="str">
        <x:v>销售/客服 &gt; 销售人员 &gt; 区域销售经理</x:v>
      </x:c>
      <x:c r="I457" s="39" t="str">
        <x:v>4-01-02-01</x:v>
      </x:c>
      <x:c r="J457" s="39" t="str">
        <x:v>营销员</x:v>
      </x:c>
      <x:c r="K457" s="39" t="str">
        <x:v>区域销售经理是专门负责特定区域市场开发与管理的专业销售人员。该职位的核心目标是通过制定区域销售策略，实现销售目标并扩大市场份额。在日常工作中，需要进行客户开发与维护、销售团队管理、市场数据分析以及销售业绩跟踪等工作。</x:v>
      </x:c>
      <x:c r="L457" s="39" t="str">
        <x:v>1. 制定销售目标 2. 开拓区域市场 3. 维护客户关系 4. 管理销售团队 5. 分析市场数据 6. 完成业绩指标</x:v>
      </x:c>
    </x:row>
    <x:row r="458" ht="52" customHeight="1">
      <x:c r="A458" s="42" t="n">
        <x:v>194</x:v>
      </x:c>
      <x:c r="B458" s="39" t="str">
        <x:v>区域销售经理</x:v>
      </x:c>
      <x:c r="C458" s="39" t="str">
        <x:v>可直接合并</x:v>
      </x:c>
      <x:c r="D458" s="39" t="str">
        <x:v>区域销售经理</x:v>
      </x:c>
      <x:c r="E458" s="42" t="n">
        <x:v>323</x:v>
      </x:c>
      <x:c r="F458" s="39" t="str">
        <x:v>IC-L3-474</x:v>
      </x:c>
      <x:c r="G458" s="42" t="n">
        <x:v>474</x:v>
      </x:c>
      <x:c r="H458" s="39" t="str">
        <x:v>销售/客服 &gt; 销售高级管理 &gt; 区域销售经理</x:v>
      </x:c>
      <x:c r="I458" s="39" t="str">
        <x:v>4-01-02-01</x:v>
      </x:c>
      <x:c r="J458" s="39" t="str">
        <x:v>营销员</x:v>
      </x:c>
      <x:c r="K458" s="39" t="str">
        <x:v>区域销售经理是销售/客服行业中极为重要的角色，主要负责特定区域内的销售业绩提升及客户关系维护。作为连接公司与市场的关键桥梁，他们不仅需要具备出色的销售技巧，还应拥有敏锐的市场洞察力，能够及时捕捉市场动态，为公司制定有效的销售策略提供依据。 该职位的核心目标在于推动区域内销售额持续增长，确保完成乃至超越既定销售指标。通过优化销售流程、培训销售人员、拓展新客户等…</x:v>
      </x:c>
      <x:c r="L458" s="39" t="str">
        <x:v>1. 制定并执行所辖区域的年度销售计划，确保团队成员明确任务要求，按时保质完成各项销售指标。 2. 负责区域内重点客户的开发与维护，建立稳定的合作关系，提高客户满意度和忠诚度。 3. 定期组织销售培训会议，分享行业最新资讯，指导团队成员掌握先进销售技巧，提升整体业务水平。 4. 分析市场数据，识别潜在商机，提出针对性的市场推广方案，增强品牌影响力。 5. 与…</x:v>
      </x:c>
    </x:row>
    <x:row r="459" ht="52" customHeight="1">
      <x:c r="A459" s="42" t="n">
        <x:v>195</x:v>
      </x:c>
      <x:c r="B459" s="39" t="str">
        <x:v>全栈工程师</x:v>
      </x:c>
      <x:c r="C459" s="39" t="str">
        <x:v>条件合并（先修分类）</x:v>
      </x:c>
      <x:c r="D459" s="39" t="str">
        <x:v>全栈工程师</x:v>
      </x:c>
      <x:c r="E459" s="42" t="n">
        <x:v>24</x:v>
      </x:c>
      <x:c r="F459" s="39" t="str">
        <x:v>IC-L3-175</x:v>
      </x:c>
      <x:c r="G459" s="42" t="n">
        <x:v>175</x:v>
      </x:c>
      <x:c r="H459" s="39" t="str">
        <x:v>互联网技术 &gt; 后端开发 &gt; 全栈工程师</x:v>
      </x:c>
      <x:c r="I459" s="39" t="str">
        <x:v>2-02-10-03</x:v>
      </x:c>
      <x:c r="J459" s="39" t="str">
        <x:v>计算机软件工程技术人员</x:v>
      </x:c>
      <x:c r="K459" s="39" t="str">
        <x:v>全栈工程师是互联网技术行业中不可或缺的角色，他们不仅掌握了前端与后端的技术，还能够全面理解整个软件开发流程，从概念设计到最终部署，确保产品从头到尾的质量和性能。作为全栈工程师，其核心目标在于通过高效地实现功能模块，优化系统架构，提升用户体验，从而为公司创造更大的商业价值和技术优势；同时，还需要持续关注最新的技术动态，引入创新解决方案，以适应快速变化的市场环境…</x:v>
      </x:c>
      <x:c r="L459" s="39" t="str">
        <x:v>1. 负责Web应用的前后端开发工作，确保代码质量及系统稳定性。 2. 参与需求分析、系统设计、编码实现等全流程，推动产品迭代升级。 3. 对现有业务进行性能调优，提高系统的响应速度和并发处理能力。 4. 与跨职能团队沟通协作，解决项目实施过程中遇到的各种技术问题。 5. 关注前沿技术趋势，评估新技术方案的可行性并应用于实际项目中。</x:v>
      </x:c>
    </x:row>
    <x:row r="460" ht="52" customHeight="1">
      <x:c r="A460" s="42" t="n">
        <x:v>195</x:v>
      </x:c>
      <x:c r="B460" s="39" t="str">
        <x:v>全栈工程师</x:v>
      </x:c>
      <x:c r="C460" s="39" t="str">
        <x:v>条件合并（先修分类）</x:v>
      </x:c>
      <x:c r="D460" s="39" t="str">
        <x:v>全栈工程师</x:v>
      </x:c>
      <x:c r="E460" s="42" t="n">
        <x:v>1188</x:v>
      </x:c>
      <x:c r="F460" s="39" t="str">
        <x:v>IC-L3-1339</x:v>
      </x:c>
      <x:c r="G460" s="42" t="n">
        <x:v>1339</x:v>
      </x:c>
      <x:c r="H460" s="39" t="str">
        <x:v>通信/电子 &gt; 硬件开发 &gt; 全栈工程师</x:v>
      </x:c>
      <x:c r="I460" s="39" t="str">
        <x:v>2-02-09-02</x:v>
      </x:c>
      <x:c r="J460" s="39" t="str">
        <x:v>电子元器件工程技术人员</x:v>
      </x:c>
      <x:c r="K460" s="39" t="str">
        <x:v>全栈工程师是精通前后端开发及系统集成的复合型专业人员。该职位的核心目标是通过构建高效可靠的软件系统，支持硬件产品的智能化开发与运维。在日常工作中，需要进行嵌入式系统开发、Web应用架构设计、API接口开发及硬件软件联调等工作。</x:v>
      </x:c>
      <x:c r="L460" s="39" t="str">
        <x:v>1. 开发前后端应用 2. 设计系统架构方案 3. 编写硬件接口代码 4. 优化系统性能指标 5. 维护产品软件部分 6. 解决技术难题</x:v>
      </x:c>
    </x:row>
    <x:row r="461" ht="52" customHeight="1">
      <x:c r="A461" s="42" t="n">
        <x:v>196</x:v>
      </x:c>
      <x:c r="B461" s="39" t="str">
        <x:v>热能工程师</x:v>
      </x:c>
      <x:c r="C461" s="39" t="str">
        <x:v>条件合并（先修分类）</x:v>
      </x:c>
      <x:c r="D461" s="39" t="str">
        <x:v>热能工程师</x:v>
      </x:c>
      <x:c r="E461" s="42" t="n">
        <x:v>648</x:v>
      </x:c>
      <x:c r="F461" s="39" t="str">
        <x:v>IC-L3-799</x:v>
      </x:c>
      <x:c r="G461" s="42" t="n">
        <x:v>799</x:v>
      </x:c>
      <x:c r="H461" s="39" t="str">
        <x:v>生产制造 &gt; 工程/机械 &gt; 热能工程师</x:v>
      </x:c>
      <x:c r="I461" s="39" t="str">
        <x:v>2-02-07-01</x:v>
      </x:c>
      <x:c r="J461" s="39" t="str">
        <x:v>机械设计工程技术人员</x:v>
      </x:c>
      <x:c r="K461" s="39" t="str">
        <x:v>热能工程师是生产制造行业中不可或缺的专业人才，他们负责确保能源的有效利用与管理，通过技术创新和优化流程来提高能源效率，降低生产成本，从而为企业创造更大的经济价值和社会效益。作为热能领域的专家，热能工程师的主要任务是设计、安装和维护各种热能系统，如锅炉、换热器等设备，以满足企业生产过程中的能源需求；同时，他们还需要定期进行系统性能评估，识别并解决潜在问题，确保…</x:v>
      </x:c>
      <x:c r="L461" s="39" t="str">
        <x:v>1. 负责热能系统的设计与优化工作，确保其符合安全标准和环保要求，达到最佳能效比。 2. 对现有热能设施进行全面检查与维护，及时发现故障并采取有效措施予以修复，保障生产活动正常进行。 3. 开展热能转换效率研究，探索节能减排新技术，提出改进建议，促进企业绿色可持续发展。 4. 与供应商沟通协调，选择性价比高的原材料及零部件，控制项目成本，提高经济效益。 5.…</x:v>
      </x:c>
    </x:row>
    <x:row r="462" ht="52" customHeight="1">
      <x:c r="A462" s="42" t="n">
        <x:v>196</x:v>
      </x:c>
      <x:c r="B462" s="39" t="str">
        <x:v>热能工程师</x:v>
      </x:c>
      <x:c r="C462" s="39" t="str">
        <x:v>条件合并（先修分类）</x:v>
      </x:c>
      <x:c r="D462" s="39" t="str">
        <x:v>热能工程师</x:v>
      </x:c>
      <x:c r="E462" s="42" t="n">
        <x:v>950</x:v>
      </x:c>
      <x:c r="F462" s="39" t="str">
        <x:v>IC-L3-1101</x:v>
      </x:c>
      <x:c r="G462" s="42" t="n">
        <x:v>1101</x:v>
      </x:c>
      <x:c r="H462" s="39" t="str">
        <x:v>能源/环保/化工 &gt; 能源 &gt; 热能工程师</x:v>
      </x:c>
      <x:c r="I462" s="39" t="str">
        <x:v>2-02-38-05</x:v>
      </x:c>
      <x:c r="J462" s="39" t="str">
        <x:v>智能制造工程技术人员</x:v>
      </x:c>
      <x:c r="K462" s="39" t="str">
        <x:v>热能工程师是专门从事热能系统设计与优化的专业人员。该职位的核心目标是通过开发和改进热能转换技术，提高能源利用效率。在日常工作中，需要进行热能系统设计、性能分析、设备选型以及节能方案制定等工作。</x:v>
      </x:c>
      <x:c r="L462" s="39" t="str">
        <x:v>1. 设计热力系统方案 2. 优化能源利用效率 3. 分析热力设备性能 4. 解决热能技术问题 5. 监督工程安装调试 6. 编写技术规范报告</x:v>
      </x:c>
    </x:row>
    <x:row r="463" ht="52" customHeight="1">
      <x:c r="A463" s="42" t="n">
        <x:v>197</x:v>
      </x:c>
      <x:c r="B463" s="39" t="str">
        <x:v>认证工程师</x:v>
      </x:c>
      <x:c r="C463" s="39" t="str">
        <x:v>可直接合并</x:v>
      </x:c>
      <x:c r="D463" s="39" t="str">
        <x:v>认证工程师</x:v>
      </x:c>
      <x:c r="E463" s="42" t="n">
        <x:v>745</x:v>
      </x:c>
      <x:c r="F463" s="39" t="str">
        <x:v>IC-L3-896</x:v>
      </x:c>
      <x:c r="G463" s="42" t="n">
        <x:v>896</x:v>
      </x:c>
      <x:c r="H463" s="39" t="str">
        <x:v>生产制造 &gt; 质量管理 &gt; 认证工程师</x:v>
      </x:c>
      <x:c r="I463" s="39" t="str">
        <x:v>2-02-29-04</x:v>
      </x:c>
      <x:c r="J463" s="39" t="str">
        <x:v>质量认证认可工程技术人员</x:v>
      </x:c>
      <x:c r="K463" s="39" t="str">
        <x:v>认证工程师是生产制造行业中不可或缺的专业人才，负责确保公司产品符合国家及国际标准要求。通过严谨的质量管理体系审核与产品测试，他们帮助企业在激烈的市场竞争中树立良好的品牌形象和信誉度，同时降低潜在的风险成本。此外，认证工程师还需与其他部门紧密合作，如研发、生产等，共同推动产品质量持续改进；其职业发展路径宽广，可向高级管理岗位或专家型技术人才方向发展。</x:v>
      </x:c>
      <x:c r="L463" s="39" t="str">
        <x:v>1. 负责制定并实施企业内部质量控制体系，确保所有产品和服务达到或超过相关法律法规及客户要求的标准。 2. 对新产品进行系统化的认证流程规划，包括但不限于CE、UL、FCC等国内外认证，确保按时完成认证工作并获得相应的证书。 3. 定期组织内部培训，提高员工对于质量管理和法规知识的理解与应用能力，促进全员参与质量提升活动。 4. 协调外部检测机构和认证机构的…</x:v>
      </x:c>
    </x:row>
    <x:row r="464" ht="52" customHeight="1">
      <x:c r="A464" s="42" t="n">
        <x:v>197</x:v>
      </x:c>
      <x:c r="B464" s="39" t="str">
        <x:v>认证工程师</x:v>
      </x:c>
      <x:c r="C464" s="39" t="str">
        <x:v>可直接合并</x:v>
      </x:c>
      <x:c r="D464" s="39" t="str">
        <x:v>认证工程师</x:v>
      </x:c>
      <x:c r="E464" s="42" t="n">
        <x:v>835</x:v>
      </x:c>
      <x:c r="F464" s="39" t="str">
        <x:v>IC-L3-986</x:v>
      </x:c>
      <x:c r="G464" s="42" t="n">
        <x:v>986</x:v>
      </x:c>
      <x:c r="H464" s="39" t="str">
        <x:v>生活服务/零售 &gt; 服务员 &gt; 认证工程师</x:v>
      </x:c>
      <x:c r="I464" s="39" t="str">
        <x:v>2-02-29-04</x:v>
      </x:c>
      <x:c r="J464" s="39" t="str">
        <x:v>质量认证认可工程技术人员</x:v>
      </x:c>
      <x:c r="K464" s="39" t="str">
        <x:v>认证工程师是专门从事服务行业质量认证的专业人员。该职位的核心目标是通过制定和实施认证标准，提升服务质量和客户满意度。在日常工作中，需要进行服务流程审核、员工技能评估、认证文件编制及质量改进跟踪等工作。</x:v>
      </x:c>
      <x:c r="L464" s="39" t="str">
        <x:v>1. 制定认证标准 2. 审核服务流程 3. 评估服务质量 4. 培训服务技能 5. 监督认证执行 6. 优化认证体系</x:v>
      </x:c>
    </x:row>
    <x:row r="465" ht="52" customHeight="1">
      <x:c r="A465" s="42" t="n">
        <x:v>198</x:v>
      </x:c>
      <x:c r="B465" s="39" t="str">
        <x:v>日语翻译</x:v>
      </x:c>
      <x:c r="C465" s="39" t="str">
        <x:v>条件合并（先修分类）</x:v>
      </x:c>
      <x:c r="D465" s="39" t="str">
        <x:v>日语翻译</x:v>
      </x:c>
      <x:c r="E465" s="42" t="n">
        <x:v>359</x:v>
      </x:c>
      <x:c r="F465" s="39" t="str">
        <x:v>IC-L3-510</x:v>
      </x:c>
      <x:c r="G465" s="42" t="n">
        <x:v>510</x:v>
      </x:c>
      <x:c r="H465" s="39" t="str">
        <x:v>咨询/法律/翻译 &gt; 翻译 &gt; 日语翻译</x:v>
      </x:c>
      <x:c r="I465" s="39" t="str">
        <x:v>2-10-05-00</x:v>
      </x:c>
      <x:c r="J465" s="39" t="str">
        <x:v>翻译</x:v>
      </x:c>
      <x:c r="K465" s="39" t="str">
        <x:v>日语翻译是咨询/法律/翻译行业中不可或缺的角色，他们不仅是语言的桥梁，更是文化的传递者。通过精准的语言转换，日语翻译能够帮助企业在国际交流中准确传达信息，消除文化差异带来的障碍，促进双方的合作与理解。作为公司与日本客户或合作伙伴之间沟通的重要纽带，日语翻译的核心目标在于确保所有文档资料、会议对话等信息的准确无误，为公司的业务拓展提供强有力的支持，同时维护公司…</x:v>
      </x:c>
      <x:c r="L465" s="39" t="str">
        <x:v>1. 负责公司内部文件及对外资料的日文翻译工作，确保翻译内容的专业性和准确性。 2. 在各类商务活动中担任口译员，如电话会议、视频会议、现场谈判等场合，保证沟通顺畅高效。 3. 协助处理与日本客户的日常联络事务，包括但不限于邮件往来、预约安排等，以促进双方关系的良好发展。 4. 定期参加相关培训，持续提高自身语言技能和行业知识，以适应不断变化的工作需求。 5…</x:v>
      </x:c>
    </x:row>
    <x:row r="466" ht="52" customHeight="1">
      <x:c r="A466" s="42" t="n">
        <x:v>198</x:v>
      </x:c>
      <x:c r="B466" s="39" t="str">
        <x:v>日语翻译</x:v>
      </x:c>
      <x:c r="C466" s="39" t="str">
        <x:v>条件合并（先修分类）</x:v>
      </x:c>
      <x:c r="D466" s="39" t="str">
        <x:v>日语翻译</x:v>
      </x:c>
      <x:c r="E466" s="42" t="n">
        <x:v>913</x:v>
      </x:c>
      <x:c r="F466" s="39" t="str">
        <x:v>IC-L3-1064</x:v>
      </x:c>
      <x:c r="G466" s="42" t="n">
        <x:v>1064</x:v>
      </x:c>
      <x:c r="H466" s="39" t="str">
        <x:v>科研/教育/培训 &gt; 特长教育/培训 &gt; 日语翻译</x:v>
      </x:c>
      <x:c r="I466" s="39" t="str">
        <x:v>2-08-02-01</x:v>
      </x:c>
      <x:c r="J466" s="39" t="str">
        <x:v>高级中学教师</x:v>
      </x:c>
      <x:c r="K466" s="39" t="str">
        <x:v>日语翻译是专门从事日语与中文互译的专业人员。该职位的核心目标是通过精准的语言转换，实现中日教育内容的无缝对接。在日常工作中，需要进行教材翻译、课程资料本地化、实时口译及跨文化沟通协调等工作。</x:v>
      </x:c>
      <x:c r="L466" s="39" t="str">
        <x:v>1. 翻译日语教学资料 2. 校对课程翻译内容 3. 协助制定日语课程 4. 参与教材本地化 5. 翻译学员沟通内容 6. 维护术语一致性</x:v>
      </x:c>
    </x:row>
    <x:row r="467" ht="52" customHeight="1">
      <x:c r="A467" s="42" t="n">
        <x:v>199</x:v>
      </x:c>
      <x:c r="B467" s="39" t="str">
        <x:v>软件测试</x:v>
      </x:c>
      <x:c r="C467" s="39" t="str">
        <x:v>条件合并（先修分类）</x:v>
      </x:c>
      <x:c r="D467" s="39" t="str">
        <x:v>软件测试</x:v>
      </x:c>
      <x:c r="E467" s="42" t="n">
        <x:v>64</x:v>
      </x:c>
      <x:c r="F467" s="39" t="str">
        <x:v>IC-L3-215</x:v>
      </x:c>
      <x:c r="G467" s="42" t="n">
        <x:v>215</x:v>
      </x:c>
      <x:c r="H467" s="39" t="str">
        <x:v>互联网技术 &gt; 测试 &gt; 软件测试</x:v>
      </x:c>
      <x:c r="I467" s="39" t="str">
        <x:v>4-04-05-02</x:v>
      </x:c>
      <x:c r="J467" s="39" t="str">
        <x:v>计算机软件测试员</x:v>
      </x:c>
      <x:c r="K467" s="39" t="str">
        <x:v>软件测试工程师是互联网技术行业中不可或缺的角色，他们通过严谨的测试流程确保产品的高质量与稳定性，为用户带来流畅安全的体验。软件测试工程师的核心目标在于发现并解决产品中存在的缺陷与问题，从而提升产品质量，减少上线后的维护成本，提高客户满意度，增强公司的市场竞争力。在日常工作中，软件测试工程师需要与产品经理、开发人员等多部门紧密合作，共同推动项目的顺利进行；同时…</x:v>
      </x:c>
      <x:c r="L467" s="39" t="str">
        <x:v>1. 设计并执行详细的测试计划，覆盖功能、性能、安全等多个方面，确保软件产品的全面测试。 2. 使用自动化工具编写和维护测试脚本，提高测试效率，降低重复劳动，实现持续集成。 3. 对发现的问题进行记录、分类、跟踪直至关闭，及时反馈给相关团队成员，促进问题快速解决。 4. 参与需求评审会议，从测试角度提出意见和建议，预防潜在风险，优化产品设计。 5. 定期总结…</x:v>
      </x:c>
    </x:row>
    <x:row r="468" ht="52" customHeight="1">
      <x:c r="A468" s="42" t="n">
        <x:v>199</x:v>
      </x:c>
      <x:c r="B468" s="39" t="str">
        <x:v>软件测试</x:v>
      </x:c>
      <x:c r="C468" s="39" t="str">
        <x:v>条件合并（先修分类）</x:v>
      </x:c>
      <x:c r="D468" s="39" t="str">
        <x:v>软件测试</x:v>
      </x:c>
      <x:c r="E468" s="42" t="n">
        <x:v>82</x:v>
      </x:c>
      <x:c r="F468" s="39" t="str">
        <x:v>IC-L3-233</x:v>
      </x:c>
      <x:c r="G468" s="42" t="n">
        <x:v>233</x:v>
      </x:c>
      <x:c r="H468" s="39" t="str">
        <x:v>互联网技术 &gt; 运维/技术支持 &gt; 软件测试</x:v>
      </x:c>
      <x:c r="I468" s="39" t="str">
        <x:v>4-04-05-01</x:v>
      </x:c>
      <x:c r="J468" s="39" t="str">
        <x:v>计算机程序设计员</x:v>
      </x:c>
      <x:c r="K468" s="39" t="str">
        <x:v>软件测试是专门从事软件质量保障的专业人员。该职位的核心目标是通过系统化测试流程，确保软件系统的稳定性和可靠性。在日常工作中，需要进行测试用例设计、缺陷跟踪、自动化脚本编写以及测试报告分析等工作。</x:v>
      </x:c>
      <x:c r="L468" s="39" t="str">
        <x:v>1. 编写测试用例 2. 执行功能测试 3. 发现系统缺陷 4. 提交测试报告 5. 跟踪问题修复 6. 优化测试流程</x:v>
      </x:c>
    </x:row>
    <x:row r="469" ht="52" customHeight="1">
      <x:c r="A469" s="42" t="n">
        <x:v>200</x:v>
      </x:c>
      <x:c r="B469" s="39" t="str">
        <x:v>软装设计</x:v>
      </x:c>
      <x:c r="C469" s="39" t="str">
        <x:v>条件合并（先修分类）</x:v>
      </x:c>
      <x:c r="D469" s="39" t="str">
        <x:v>软装设计</x:v>
      </x:c>
      <x:c r="E469" s="42" t="n">
        <x:v>471</x:v>
      </x:c>
      <x:c r="F469" s="39" t="str">
        <x:v>IC-L3-622</x:v>
      </x:c>
      <x:c r="G469" s="42" t="n">
        <x:v>622</x:v>
      </x:c>
      <x:c r="H469" s="39" t="str">
        <x:v>建筑/房地产 &gt; 建筑规划与设计 &gt; 软装设计</x:v>
      </x:c>
      <x:c r="I469" s="39" t="str">
        <x:v>2-02-18-01</x:v>
      </x:c>
      <x:c r="J469" s="39" t="str">
        <x:v>建筑和市政设计工程技术人员</x:v>
      </x:c>
      <x:c r="K469" s="39" t="str">
        <x:v>软装设计师在建筑与房地产行业中扮演着至关重要的角色，他们是空间美学与功能性的完美结合者。通过精心挑选家具、布艺、装饰品等元素，软装设计师能够将一个空旷的空间转变为温馨舒适的居住或办公环境，极大地提升用户的体验感和满意度。此外，他们还负责把握当前流行趋势，确保设计方案既符合客户的需求又具备时代感。 该职位的核心目标在于创造出既美观又实用的室内环境，不仅满足客户…</x:v>
      </x:c>
      <x:c r="L469" s="39" t="str">
        <x:v>软装设计师的主要职责包括：根据项目需求进行空间分析与规划，制定软装配饰方案；负责软装材料的选择、采购及成本控制；与客户沟通，确保设计方案符合客户需求；参与项目现场的软装配饰实施，监督施工质量；协调与其他设计团队的合作，确保项目按时完成；定期进行市场调研，了解行业动态及流行趋势，提升个人设计能力。</x:v>
      </x:c>
    </x:row>
    <x:row r="470" ht="52" customHeight="1">
      <x:c r="A470" s="42" t="n">
        <x:v>200</x:v>
      </x:c>
      <x:c r="B470" s="39" t="str">
        <x:v>软装设计</x:v>
      </x:c>
      <x:c r="C470" s="39" t="str">
        <x:v>条件合并（先修分类）</x:v>
      </x:c>
      <x:c r="D470" s="39" t="str">
        <x:v>软装设计</x:v>
      </x:c>
      <x:c r="E470" s="42" t="n">
        <x:v>1012</x:v>
      </x:c>
      <x:c r="F470" s="39" t="str">
        <x:v>IC-L3-1163</x:v>
      </x:c>
      <x:c r="G470" s="42" t="n">
        <x:v>1163</x:v>
      </x:c>
      <x:c r="H470" s="39" t="str">
        <x:v>设计 &gt; 建筑/室内设计 &gt; 软装设计</x:v>
      </x:c>
      <x:c r="I470" s="39" t="str">
        <x:v>2-09-06-01</x:v>
      </x:c>
      <x:c r="J470" s="39" t="str">
        <x:v>视觉传达设计人员</x:v>
      </x:c>
      <x:c r="K470" s="39" t="str">
        <x:v>软装设计师是建筑设计与室内装饰领域中不可或缺的角色，他们通过精心挑选家具、布艺、艺术品等元素来创造和谐、舒适的生活或工作环境，从而提升空间的整体美感和功能。作为连接创意与实际应用的桥梁，软装设计师不仅能够深刻理解客户的需求，还能准确把握市场趋势，为项目带来独特的视觉效果和文化内涵，对于提升公司品牌形象及市场竞争力具有重要意义。此外，软装设计师通常会与其他专业…</x:v>
      </x:c>
      <x:c r="L470" s="39" t="str">
        <x:v>软装设计师的主要职责包括：根据项目需求进行空间分析与规划，制定软装配饰方案；负责软装材料的选择、采购及成本控制；与客户沟通，确保设计方案符合客户需求；参与项目现场的软装配饰实施，监督施工质量；协调与其他设计团队的合作，确保项目按时完成；定期进行市场调研，了解行业动态及流行趋势，提升个人设计能力。</x:v>
      </x:c>
    </x:row>
    <x:row r="471" ht="52" customHeight="1">
      <x:c r="A471" s="42" t="n">
        <x:v>201</x:v>
      </x:c>
      <x:c r="B471" s="39" t="str">
        <x:v>奢侈品业务</x:v>
      </x:c>
      <x:c r="C471" s="39" t="str">
        <x:v>可直接合并</x:v>
      </x:c>
      <x:c r="D471" s="39" t="str">
        <x:v>奢侈品业务</x:v>
      </x:c>
      <x:c r="E471" s="42" t="n">
        <x:v>276</x:v>
      </x:c>
      <x:c r="F471" s="39" t="str">
        <x:v>IC-L3-427</x:v>
      </x:c>
      <x:c r="G471" s="42" t="n">
        <x:v>427</x:v>
      </x:c>
      <x:c r="H471" s="39" t="str">
        <x:v>销售/客服 &gt; 服务业销售 &gt; 奢侈品业务</x:v>
      </x:c>
      <x:c r="I471" s="39" t="str">
        <x:v>4-01-02-01</x:v>
      </x:c>
      <x:c r="J471" s="39" t="str">
        <x:v>营销员</x:v>
      </x:c>
      <x:c r="K471" s="39" t="str">
        <x:v>在销售与客服行业中，奢侈品业务代表扮演着至关重要的角色。作为品牌与高端客户之间的桥梁，他们不仅负责维护现有客户的忠诚度，还需不断吸引新客户加入，通过提供卓越的服务体验来巩固品牌形象。这一职位是企业实现长期增长和市场扩张的关键驱动力之一。 奢侈品业务的核心目标在于通过精准营销策略及个性化服务方案，提升产品销量与市场份额。代表需深入了解客户需求，制定并执行有效的…</x:v>
      </x:c>
      <x:c r="L471" s="39" t="str">
        <x:v>1. 识别潜在高净值客户群体，运用专业技巧进行有效跟进与转化，确保年度销售额达到预定目标。 2. 定期拜访重要客户，建立稳固关系，定期举办专属活动以加深情感联系，从而提高客户粘性与复购率。 3. 分析销售数据，识别市场趋势与竞争态势，据此调整销售策略，确保品牌在目标市场的领先地位。 4. 参与新产品发布会、展览等活动，向目标客户群展示最新商品特点，激发购买兴…</x:v>
      </x:c>
    </x:row>
    <x:row r="472" ht="52" customHeight="1">
      <x:c r="A472" s="42" t="n">
        <x:v>201</x:v>
      </x:c>
      <x:c r="B472" s="39" t="str">
        <x:v>奢侈品业务</x:v>
      </x:c>
      <x:c r="C472" s="39" t="str">
        <x:v>可直接合并</x:v>
      </x:c>
      <x:c r="D472" s="39" t="str">
        <x:v>奢侈品业务</x:v>
      </x:c>
      <x:c r="E472" s="42" t="n">
        <x:v>855</x:v>
      </x:c>
      <x:c r="F472" s="39" t="str">
        <x:v>IC-L3-1006</x:v>
      </x:c>
      <x:c r="G472" s="42" t="n">
        <x:v>1006</x:v>
      </x:c>
      <x:c r="H472" s="39" t="str">
        <x:v>生活服务/零售 &gt; 零售 &gt; 奢侈品业务</x:v>
      </x:c>
      <x:c r="I472" s="39" t="str">
        <x:v>4-01-02-01</x:v>
      </x:c>
      <x:c r="J472" s="39" t="str">
        <x:v>营销员</x:v>
      </x:c>
      <x:c r="K472" s="39" t="str">
        <x:v>奢侈品业务职位在生活服务与零售行业中扮演着至关重要的角色，它不仅连接了高端品牌与消费者之间的桥梁，还负责塑造品牌形象，提升顾客体验。通过精准把握市场趋势和客户需求，该职位致力于推动公司旗下奢侈品业务的增长，确保产品和服务能够满足甚至超越客户的期望，从而提高品牌忠诚度和市场份额。此外，奢侈品业务专员将与销售、营销、客户服务等多个部门紧密合作，共同制定并执行有效…</x:v>
      </x:c>
      <x:c r="L472" s="39" t="str">
        <x:v>1. 负责维护和发展与主要奢侈品牌的合作伙伴关系，定期沟通交流以获取最新资讯，确保产品线的更新和优化。 2. 分析市场动态及竞品情况，结合公司战略规划，提出针对性的产品引进、推广建议，扩大品牌影响力。 3. 监控库存水平，合理调配资源，保证商品供应充足同时避免积压，提高资金周转率。 4. 组织策划各类线上线下活动，如新品发布会、主题展览等，增强客户互动，促进…</x:v>
      </x:c>
    </x:row>
    <x:row r="473" ht="52" customHeight="1">
      <x:c r="A473" s="42" t="n">
        <x:v>202</x:v>
      </x:c>
      <x:c r="B473" s="39" t="str">
        <x:v>施工员</x:v>
      </x:c>
      <x:c r="C473" s="39" t="str">
        <x:v>条件合并（先修分类）</x:v>
      </x:c>
      <x:c r="D473" s="39" t="str">
        <x:v>施工员</x:v>
      </x:c>
      <x:c r="E473" s="42" t="n">
        <x:v>423</x:v>
      </x:c>
      <x:c r="F473" s="39" t="str">
        <x:v>IC-L3-574</x:v>
      </x:c>
      <x:c r="G473" s="42" t="n">
        <x:v>574</x:v>
      </x:c>
      <x:c r="H473" s="39" t="str">
        <x:v>建筑/房地产 &gt; 建筑/装修工人 &gt; 施工员</x:v>
      </x:c>
      <x:c r="I473" s="39" t="str">
        <x:v>6-29-01-01</x:v>
      </x:c>
      <x:c r="J473" s="39" t="str">
        <x:v>砌筑工</x:v>
      </x:c>
      <x:c r="K473" s="39" t="str">
        <x:v>施工员是专门从事建筑工程现场施工管理的专业人员。该职位的核心目标是通过有效组织施工活动，确保工程质量和进度达标。在日常工作中，需要进行现场测量放线、施工技术交底、质量检查验收以及施工进度跟踪等工作。</x:v>
      </x:c>
      <x:c r="L473" s="39" t="str">
        <x:v>1. 落实施工图纸要求 2. 组织现场施工管理 3. 监督施工质量安全 4. 协调各工种配合 5. 记录工程进度情况 6. 处理现场突发问题</x:v>
      </x:c>
    </x:row>
    <x:row r="474" ht="52" customHeight="1">
      <x:c r="A474" s="42" t="n">
        <x:v>202</x:v>
      </x:c>
      <x:c r="B474" s="39" t="str">
        <x:v>施工员</x:v>
      </x:c>
      <x:c r="C474" s="39" t="str">
        <x:v>条件合并（先修分类）</x:v>
      </x:c>
      <x:c r="D474" s="39" t="str">
        <x:v>施工员</x:v>
      </x:c>
      <x:c r="E474" s="42" t="n">
        <x:v>442</x:v>
      </x:c>
      <x:c r="F474" s="39" t="str">
        <x:v>IC-L3-593</x:v>
      </x:c>
      <x:c r="G474" s="42" t="n">
        <x:v>593</x:v>
      </x:c>
      <x:c r="H474" s="39" t="str">
        <x:v>建筑/房地产 &gt; 建筑工程 &gt; 施工员</x:v>
      </x:c>
      <x:c r="I474" s="39" t="str">
        <x:v>2-02-18-01</x:v>
      </x:c>
      <x:c r="J474" s="39" t="str">
        <x:v>建筑和市政设计工程技术人员</x:v>
      </x:c>
      <x:c r="K474" s="39" t="str">
        <x:v>施工员是建筑行业中不可或缺的角色，主要负责现场施工的具体执行与管理。在建筑工程中，施工员不仅需要确保工程按设计图纸和规范要求顺利进行，还要在保证质量和安全的前提下控制成本，是连接设计意图与实际操作的关键桥梁。 施工员的核心目标是确保项目按时完成，达到或超过预期的质量标准。通过对施工现场的有效管理和监督，施工员能够及时发现并解决问题，减少延误和浪费，从而为公司…</x:v>
      </x:c>
      <x:c r="L474" s="39" t="str">
        <x:v>1. 负责施工前的准备工作，包括材料准备、机械设备调配以及现场布置，确保施工活动能够按时开始。 2. 在施工过程中严格执行国家及地方相关法规标准，监督工人遵守安全生产规定，预防事故发生。 3. 定期检查施工质量，发现问题立即整改，确保工程符合设计要求和验收标准。 4. 与设计、监理等单位保持良好沟通，解决施工中出现的技术问题，优化施工方案。 5. 记录每日施…</x:v>
      </x:c>
    </x:row>
    <x:row r="475" ht="52" customHeight="1">
      <x:c r="A475" s="42" t="n">
        <x:v>203</x:v>
      </x:c>
      <x:c r="B475" s="39" t="str">
        <x:v>室内设计</x:v>
      </x:c>
      <x:c r="C475" s="39" t="str">
        <x:v>条件合并（先修分类）</x:v>
      </x:c>
      <x:c r="D475" s="39" t="str">
        <x:v>室内设计</x:v>
      </x:c>
      <x:c r="E475" s="42" t="n">
        <x:v>458</x:v>
      </x:c>
      <x:c r="F475" s="39" t="str">
        <x:v>IC-L3-609</x:v>
      </x:c>
      <x:c r="G475" s="42" t="n">
        <x:v>609</x:v>
      </x:c>
      <x:c r="H475" s="39" t="str">
        <x:v>建筑/房地产 &gt; 建筑规划与设计 &gt; 室内设计</x:v>
      </x:c>
      <x:c r="I475" s="39" t="str">
        <x:v>2-02-18-01</x:v>
      </x:c>
      <x:c r="J475" s="39" t="str">
        <x:v>建筑和市政设计工程技术人员</x:v>
      </x:c>
      <x:c r="K475" s="39" t="str">
        <x:v>室内设计师在建筑与房地产行业中扮演着至关重要的角色，他们不仅负责创造美观、实用的空间环境，还承担着提升项目品质、满足客户个性化需求的重要任务。通过将美学原理与功能布局相结合，室内设计师能够为住宅、商业及公共空间提供全方位的设计解决方案，从而增强建筑物的整体吸引力和市场竞争力。此外，作为团队合作的一员，室内设计师需与其他专业人士密切配合，确保设计方案从概念到实…</x:v>
      </x:c>
      <x:c r="L475" s="39" t="str">
        <x:v>1. 根据客户需求进行初步方案构思，绘制平面布置图、立面图等，确保设计符合人体工程学原则及安全标准。 2. 选择合适的材料、色彩搭配方案，编制详细的材料清单，与供应商沟通协调以获取最优价格和服务。 3. 在项目施工阶段，定期现场监督施工质量，解决出现的技术问题，保证最终效果与设计图纸一致。 4. 完成项目后，收集用户反馈意见，持续优化设计流程，提高客户满意度…</x:v>
      </x:c>
    </x:row>
    <x:row r="476" ht="52" customHeight="1">
      <x:c r="A476" s="42" t="n">
        <x:v>203</x:v>
      </x:c>
      <x:c r="B476" s="39" t="str">
        <x:v>室内设计</x:v>
      </x:c>
      <x:c r="C476" s="39" t="str">
        <x:v>条件合并（先修分类）</x:v>
      </x:c>
      <x:c r="D476" s="39" t="str">
        <x:v>室内设计</x:v>
      </x:c>
      <x:c r="E476" s="42" t="n">
        <x:v>997</x:v>
      </x:c>
      <x:c r="F476" s="39" t="str">
        <x:v>IC-L3-1148</x:v>
      </x:c>
      <x:c r="G476" s="42" t="n">
        <x:v>1148</x:v>
      </x:c>
      <x:c r="H476" s="39" t="str">
        <x:v>设计 &gt; 建筑/室内设计 &gt; 室内设计</x:v>
      </x:c>
      <x:c r="I476" s="39" t="str">
        <x:v>2-09-06-01</x:v>
      </x:c>
      <x:c r="J476" s="39" t="str">
        <x:v>视觉传达设计人员</x:v>
      </x:c>
      <x:c r="K476" s="39" t="str">
        <x:v>室内设计师是设计领域中不可或缺的角色，他们负责将空间美学与功能需求完美结合，创造出既实用又美观的生活或工作环境。在建筑设计与室内设计行业中，室内设计师不仅承担着提升空间品质的任务，也是客户愿景实现的关键桥梁。通过深入了解客户需求，设计师能够提供定制化的解决方案，从而增强公司品牌影响力并促进业务增长。此外，室内设计师通常与其他专业人士（如建筑师、工程师等）紧密…</x:v>
      </x:c>
      <x:c r="L476" s="39" t="str">
        <x:v>1. 与客户进行沟通交流，准确把握其需求和偏好，制定初步设计方案。 2. 根据预算限制及项目时间表，选择合适的材料、家具和装饰品，完成最终设计稿。 3. 协调施工队伍，监督现场作业流程，确保设计方案得到精准实施。 4. 定期参与行业培训与学习，掌握最新设计理念和技术趋势，不断提升个人专业水平。 5. 负责项目的后期评估工作，收集反馈意见，持续优化服务流程。</x:v>
      </x:c>
    </x:row>
    <x:row r="477" ht="52" customHeight="1">
      <x:c r="A477" s="42" t="n">
        <x:v>204</x:v>
      </x:c>
      <x:c r="B477" s="39" t="str">
        <x:v>室内设计师助理</x:v>
      </x:c>
      <x:c r="C477" s="39" t="str">
        <x:v>条件合并（先修分类）</x:v>
      </x:c>
      <x:c r="D477" s="39" t="str">
        <x:v>室内设计师助理</x:v>
      </x:c>
      <x:c r="E477" s="42" t="n">
        <x:v>459</x:v>
      </x:c>
      <x:c r="F477" s="39" t="str">
        <x:v>IC-L3-610</x:v>
      </x:c>
      <x:c r="G477" s="42" t="n">
        <x:v>610</x:v>
      </x:c>
      <x:c r="H477" s="39" t="str">
        <x:v>建筑/房地产 &gt; 建筑规划与设计 &gt; 室内设计师助理</x:v>
      </x:c>
      <x:c r="I477" s="39" t="str">
        <x:v>2-02-18-01</x:v>
      </x:c>
      <x:c r="J477" s="39" t="str">
        <x:v>建筑和市政设计工程技术人员</x:v>
      </x:c>
      <x:c r="K477" s="39" t="str">
        <x:v>室内设计师助理是建筑与房地产行业中不可或缺的角色，主要负责协助资深设计师完成项目的设计工作，确保设计方案能够满足客户的需求并实现空间的最大化利用。作为连接创意与实践的桥梁，室内设计师助理通过其专业技能和创新思维，不仅促进了项目的顺利实施，还提升了公司整体设计水平和服务质量，增强了公司在市场上的竞争力。 在日常工作中，室内设计师助理需紧密配合设计团队，参与从初…</x:v>
      </x:c>
      <x:c r="L477" s="39" t="str">
        <x:v>1. 协助主设计师进行空间规划、平面布置及效果图制作，确保设计方案符合客户需求及行业标准。 2. 参与项目现场测量，收集相关数据资料，为设计提供准确依据。 3. 与客户沟通交流，了解其需求偏好，及时反馈至设计团队，优化设计方案。 4. 负责整理归档设计文件，维护设计资料库，保证信息更新及时准确。 5. 配合项目经理完成材料采购、成本预算等工作，确保项目成本控…</x:v>
      </x:c>
    </x:row>
    <x:row r="478" ht="52" customHeight="1">
      <x:c r="A478" s="42" t="n">
        <x:v>204</x:v>
      </x:c>
      <x:c r="B478" s="39" t="str">
        <x:v>室内设计师助理</x:v>
      </x:c>
      <x:c r="C478" s="39" t="str">
        <x:v>条件合并（先修分类）</x:v>
      </x:c>
      <x:c r="D478" s="39" t="str">
        <x:v>室内设计师助理</x:v>
      </x:c>
      <x:c r="E478" s="42" t="n">
        <x:v>998</x:v>
      </x:c>
      <x:c r="F478" s="39" t="str">
        <x:v>IC-L3-1149</x:v>
      </x:c>
      <x:c r="G478" s="42" t="n">
        <x:v>1149</x:v>
      </x:c>
      <x:c r="H478" s="39" t="str">
        <x:v>设计 &gt; 建筑/室内设计 &gt; 室内设计师助理</x:v>
      </x:c>
      <x:c r="I478" s="39" t="str">
        <x:v>2-09-06-01</x:v>
      </x:c>
      <x:c r="J478" s="39" t="str">
        <x:v>视觉传达设计人员</x:v>
      </x:c>
      <x:c r="K478" s="39" t="str">
        <x:v>室内设计师助理是建筑设计与室内设计领域中不可或缺的角色，他们协助资深设计师完成从概念设计到项目实施的全过程，确保设计方案既美观又实用，同时满足客户的特定需求。作为团队中的重要一员，助理设计师的主要目标是在预算范围内按时交付高质量的设计作品，通过细致入微的设计提升空间的功能性和艺术美感，为公司赢得良好口碑和更多业务机会。此外，助理设计师将有机会与项目经理、施工…</x:v>
      </x:c>
      <x:c r="L478" s="39" t="str">
        <x:v>1. 协助主设计师进行市场调研及客户沟通，准确把握项目需求，制定初步设计方案。 2. 负责绘制施工图纸，包括平面布局图、立面图、节点详图等，确保图纸清晰规范，符合国家相关标准。 3. 参与材料选择和色彩搭配工作，提出创新性的建议以增强设计的独特性和吸引力。 4. 在项目执行阶段，定期前往施工现场监督施工进度，及时解决现场出现的问题，保证最终效果与设计意图一致…</x:v>
      </x:c>
    </x:row>
    <x:row r="479" ht="52" customHeight="1">
      <x:c r="A479" s="42" t="n">
        <x:v>205</x:v>
      </x:c>
      <x:c r="B479" s="39" t="str">
        <x:v>首席产品官CPO</x:v>
      </x:c>
      <x:c r="C479" s="39" t="str">
        <x:v>条件合并（先修分类）</x:v>
      </x:c>
      <x:c r="D479" s="39" t="str">
        <x:v>首席产品官CPO</x:v>
      </x:c>
      <x:c r="E479" s="42" t="n">
        <x:v>128</x:v>
      </x:c>
      <x:c r="F479" s="39" t="str">
        <x:v>IC-L3-279</x:v>
      </x:c>
      <x:c r="G479" s="42" t="n">
        <x:v>279</x:v>
      </x:c>
      <x:c r="H479" s="39" t="str">
        <x:v>产品 &gt; 高级产品管理 &gt; 首席产品官CPO</x:v>
      </x:c>
      <x:c r="I479" s="39" t="str">
        <x:v>2-06-07-03</x:v>
      </x:c>
      <x:c r="J479" s="39" t="str">
        <x:v>商务策划专业人员</x:v>
      </x:c>
      <x:c r="K479" s="39" t="str">
        <x:v>首席产品官（CPO）是产品领域的核心领导角色，在现代企业中占据着至关重要的地位。作为公司产品战略的制定者与执行者，CPO不仅负责指导产品从概念到市场的全过程，还承担着推动产品创新、确保产品质量以及优化用户体验的关键任务。CPO的成功与否直接影响企业的市场竞争力和长期发展。 CPO的核心目标在于通过深入理解市场需求和技术趋势，制定并实施高效的产品策略，以实现公…</x:v>
      </x:c>
      <x:c r="L479" s="39" t="str">
        <x:v>1. 负责制定全面的产品战略规划，包括市场调研、竞品分析及用户需求挖掘，确保产品发展方向符合公司愿景。 2. 领导跨职能团队完成新产品开发流程，从概念设计到上市推广，确保按时按质交付高质量的产品。 3. 监控产品性能指标，定期评估现有产品的市场表现，及时调整策略以应对市场变化。 4. 与技术团队密切配合，探索新技术应用的可能性，促进产品创新和技术升级。 5.…</x:v>
      </x:c>
    </x:row>
    <x:row r="480" ht="52" customHeight="1">
      <x:c r="A480" s="42" t="n">
        <x:v>205</x:v>
      </x:c>
      <x:c r="B480" s="39" t="str">
        <x:v>首席产品官CPO</x:v>
      </x:c>
      <x:c r="C480" s="39" t="str">
        <x:v>条件合并（先修分类）</x:v>
      </x:c>
      <x:c r="D480" s="39" t="str">
        <x:v>首席产品官CPO</x:v>
      </x:c>
      <x:c r="E480" s="42" t="n">
        <x:v>1352</x:v>
      </x:c>
      <x:c r="F480" s="39" t="str">
        <x:v>IC-L3-1503</x:v>
      </x:c>
      <x:c r="G480" s="42" t="n">
        <x:v>1503</x:v>
      </x:c>
      <x:c r="H480" s="39" t="str">
        <x:v>高级管理 &gt; 高级管理 &gt; 首席产品官CPO</x:v>
      </x:c>
      <x:c r="I480" s="39" t="str">
        <x:v>1-06-01-01</x:v>
      </x:c>
      <x:c r="J480" s="39" t="str">
        <x:v>企业董事</x:v>
      </x:c>
      <x:c r="K480" s="39" t="str">
        <x:v>首席产品官（Chief Product Officer, CPO）是企业中至关重要的高级管理职位，主要负责指导公司产品的整体战略和执行。作为连接市场、技术和用户需求的关键桥梁，CPO确保公司的产品不仅满足当前市场需求，还能预见并引领未来趋势，从而为企业创造长期的竞争优势。 CPO的核心目标在于通过持续的产品创新与优化，提升用户体验，增强品牌影响力，实现市场份…</x:v>
      </x:c>
      <x:c r="L480" s="39" t="str">
        <x:v>1. 负责制定公司产品发展战略，包括但不限于新产品规划、现有产品改进及生命周期管理，以确保产品组合符合市场需求和公司长远目标。 2. 领导产品团队进行市场调研与分析，识别潜在的机会点和风险因素，为决策提供数据支持，确保产品设计和开发过程科学合理。 3. 与技术团队紧密配合，监督产品从概念到上市的全过程，确保按时按质完成各项任务，同时关注用户体验反馈，及时调整…</x:v>
      </x:c>
    </x:row>
    <x:row r="481" ht="52" customHeight="1">
      <x:c r="A481" s="42" t="n">
        <x:v>206</x:v>
      </x:c>
      <x:c r="B481" s="39" t="str">
        <x:v>首席运营官COO</x:v>
      </x:c>
      <x:c r="C481" s="39" t="str">
        <x:v>条件合并（先修分类）</x:v>
      </x:c>
      <x:c r="D481" s="39" t="str">
        <x:v>首席运营官COO</x:v>
      </x:c>
      <x:c r="E481" s="42" t="n">
        <x:v>1112</x:v>
      </x:c>
      <x:c r="F481" s="39" t="str">
        <x:v>IC-L3-1263</x:v>
      </x:c>
      <x:c r="G481" s="42" t="n">
        <x:v>1263</x:v>
      </x:c>
      <x:c r="H481" s="39" t="str">
        <x:v>运营 &gt; 高级运营管理 &gt; 首席运营官COO</x:v>
      </x:c>
      <x:c r="I481" s="39" t="str">
        <x:v>2-06-07-01</x:v>
      </x:c>
      <x:c r="J481" s="39" t="str">
        <x:v>国际商务专业人员</x:v>
      </x:c>
      <x:c r="K481" s="39" t="str">
        <x:v>首席运营官（COO）是公司运营领域的最高管理者，在企业中占据核心地位。作为运营领域的领军人物，COO负责制定和实施高效的运营策略，确保公司内部流程顺畅，提高工作效率和盈利能力，同时保证服务质量，为企业的可持续发展提供坚实保障。通过优化资源配置、提升管理水平和推动技术创新，COO能够帮助公司在激烈的市场竞争中保持领先地位。 COO的主要任务是确保公司运营活动高…</x:v>
      </x:c>
      <x:c r="L481" s="39" t="str">
        <x:v>1. 制定全面的运营策略，指导各部门优化工作流程，以达到提高效率、降低成本的目标。 2. 监控日常运营状况，定期分析关键绩效指标(KPIs)，及时调整计划以应对内外部环境的变化。 3. 与CEO及董事会沟通，提出改善建议，协助制定长期发展规划。 4. 领导跨职能团队，解决复杂问题，确保各环节协调一致，有效支持前线业务需求。 5. 负责培养和管理运营团队，激发…</x:v>
      </x:c>
    </x:row>
    <x:row r="482" ht="52" customHeight="1">
      <x:c r="A482" s="42" t="n">
        <x:v>206</x:v>
      </x:c>
      <x:c r="B482" s="39" t="str">
        <x:v>首席运营官COO</x:v>
      </x:c>
      <x:c r="C482" s="39" t="str">
        <x:v>条件合并（先修分类）</x:v>
      </x:c>
      <x:c r="D482" s="39" t="str">
        <x:v>首席运营官COO</x:v>
      </x:c>
      <x:c r="E482" s="42" t="n">
        <x:v>1357</x:v>
      </x:c>
      <x:c r="F482" s="39" t="str">
        <x:v>IC-L3-1508</x:v>
      </x:c>
      <x:c r="G482" s="42" t="n">
        <x:v>1508</x:v>
      </x:c>
      <x:c r="H482" s="39" t="str">
        <x:v>高级管理 &gt; 高级管理 &gt; 首席运营官COO</x:v>
      </x:c>
      <x:c r="I482" s="39" t="str">
        <x:v>1-06-01-01</x:v>
      </x:c>
      <x:c r="J482" s="39" t="str">
        <x:v>企业董事</x:v>
      </x:c>
      <x:c r="K482" s="39" t="str">
        <x:v>首席运营官（COO）是企业高级管理层中极为重要的角色之一，主要负责监督公司的日常运营活动，确保业务流程的高效运行。作为企业决策层的核心成员，COO不仅需要具备卓越的领导力和战略眼光，还需拥有强大的执行力与创新思维，以适应快速变化的市场环境。 在公司内部，COO的核心目标在于优化资源配置，提升运营效率，降低成本开支，从而推动企业利润增长及可持续发展。通过制定并…</x:v>
      </x:c>
      <x:c r="L482" s="39" t="str">
        <x:v>1. 制定并实施全面的运营战略计划，指导各业务单元达成年度经营目标，确保公司整体运营效率持续提升。 2. 负责建立和完善公司内部管理制度与流程体系，提高工作效率，降低运营成本，确保各项业务活动顺利进行。 3. 监控关键业务指标，定期分析运营数据，及时发现潜在问题并提出解决方案，确保公司运营目标的实现。 4. 协调各职能部门之间的沟通与合作，解决运营过程中出现…</x:v>
      </x:c>
    </x:row>
    <x:row r="483" ht="52" customHeight="1">
      <x:c r="A483" s="42" t="n">
        <x:v>207</x:v>
      </x:c>
      <x:c r="B483" s="39" t="str">
        <x:v>售后服务/客户服务</x:v>
      </x:c>
      <x:c r="C483" s="39" t="str">
        <x:v>条件合并（先修分类）</x:v>
      </x:c>
      <x:c r="D483" s="39" t="str">
        <x:v>售后服务/客户服务</x:v>
      </x:c>
      <x:c r="E483" s="42" t="n">
        <x:v>599</x:v>
      </x:c>
      <x:c r="F483" s="39" t="str">
        <x:v>IC-L3-750</x:v>
      </x:c>
      <x:c r="G483" s="42" t="n">
        <x:v>750</x:v>
      </x:c>
      <x:c r="H483" s="39" t="str">
        <x:v>汽车 &gt; 汽车销售与服务 &gt; 售后服务/客户服务</x:v>
      </x:c>
      <x:c r="I483" s="39" t="str">
        <x:v>4-02-02-01</x:v>
      </x:c>
      <x:c r="J483" s="39" t="str">
        <x:v>客运车辆驾驶员</x:v>
      </x:c>
      <x:c r="K483" s="39" t="str">
        <x:v>在汽车行业，售后服务/客户服务质量是企业品牌形象的重要组成部分，也是吸引并保留客户的关键因素之一。该职位不仅直接关系到客户的满意度和忠诚度，还对公司长期发展有着不可忽视的影响。 作为售后服务/客户服务专员，其核心目标在于确保每一位客户都能享受到高效、专业的服务体验，通过解决客户的疑问和问题，建立良好的客户关系，从而提升品牌美誉度和市场竞争力。此外，及时收集并…</x:v>
      </x:c>
      <x:c r="L483" s="39" t="str">
        <x:v>1. 主动接待来访客户，耐心倾听客户需求，提供专业咨询解答及解决方案，确保客户满意。 2. 负责处理客户投诉，快速响应并妥善解决问题，维护公司良好声誉。 3. 定期跟踪回访已解决问题的客户，了解其后续使用情况，持续改进服务质量。 4. 记录并整理客户信息和反馈，定期向上级汇报工作进展，为管理层决策提供依据。 5. 协助组织各类客户服务活动，增强客户粘性，促进…</x:v>
      </x:c>
    </x:row>
    <x:row r="484" ht="52" customHeight="1">
      <x:c r="A484" s="42" t="n">
        <x:v>207</x:v>
      </x:c>
      <x:c r="B484" s="39" t="str">
        <x:v>售后服务/客户服务</x:v>
      </x:c>
      <x:c r="C484" s="39" t="str">
        <x:v>条件合并（先修分类）</x:v>
      </x:c>
      <x:c r="D484" s="39" t="str">
        <x:v>售后服务/客户服务</x:v>
      </x:c>
      <x:c r="E484" s="42" t="n">
        <x:v>790</x:v>
      </x:c>
      <x:c r="F484" s="39" t="str">
        <x:v>IC-L3-941</x:v>
      </x:c>
      <x:c r="G484" s="42" t="n">
        <x:v>941</x:v>
      </x:c>
      <x:c r="H484" s="39" t="str">
        <x:v>生活服务/零售 &gt; 交通运输服务 &gt; 售后服务/客户服务</x:v>
      </x:c>
      <x:c r="I484" s="39" t="str">
        <x:v>4-02-04-01</x:v>
      </x:c>
      <x:c r="J484" s="39" t="str">
        <x:v>民航乘务员</x:v>
      </x:c>
      <x:c r="K484" s="39" t="str">
        <x:v>售后服务/客户服务是专门从事客户关系维护与售后问题解决的专业人员。该职位的核心目标是通过高效响应客户需求，提升客户满意度和品牌忠诚度。在日常工作中，需要进行客户咨询解答、投诉处理、运输异常跟进以及客户满意度回访等工作。</x:v>
      </x:c>
      <x:c r="L484" s="39" t="str">
        <x:v>1. 处理客户投诉建议 2. 跟进运输服务问题 3. 提供售后咨询解答 4. 维护客户关系档案 5. 协调异常情况处理 6. 收集客户反馈意见</x:v>
      </x:c>
    </x:row>
    <x:row r="485" ht="52" customHeight="1">
      <x:c r="A485" s="42" t="n">
        <x:v>208</x:v>
      </x:c>
      <x:c r="B485" s="39" t="str">
        <x:v>售后技术支持工程师</x:v>
      </x:c>
      <x:c r="C485" s="39" t="str">
        <x:v>可直接合并</x:v>
      </x:c>
      <x:c r="D485" s="39" t="str">
        <x:v>售后技术支持工程师</x:v>
      </x:c>
      <x:c r="E485" s="42" t="n">
        <x:v>93</x:v>
      </x:c>
      <x:c r="F485" s="39" t="str">
        <x:v>IC-L3-244</x:v>
      </x:c>
      <x:c r="G485" s="42" t="n">
        <x:v>244</x:v>
      </x:c>
      <x:c r="H485" s="39" t="str">
        <x:v>互联网技术 &gt; 销售技术支持 &gt; 售后技术支持工程师</x:v>
      </x:c>
      <x:c r="I485" s="39" t="str">
        <x:v>4-04-05-01</x:v>
      </x:c>
      <x:c r="J485" s="39" t="str">
        <x:v>计算机程序设计员</x:v>
      </x:c>
      <x:c r="K485" s="39" t="str">
        <x:v>售后技术支持工程师是互联网技术行业中不可或缺的角色，负责解决客户在使用产品或服务过程中遇到的技术问题，确保客户能够顺畅地使用公司提供的解决方案。这一职位不仅直接关系到客户满意度和忠诚度的提升，还是公司品牌形象和技术实力的重要体现。作为售后技术支持工程师，您将与销售、产品开发等多部门紧密合作，共同推动客户服务体验的持续优化。此外，随着个人技能和经验的积累，该职…</x:v>
      </x:c>
      <x:c r="L485" s="39" t="str">
        <x:v>1. 为客户提供高效、专业的技术咨询与支持，确保客户问题得到及时准确的解答，提高客户满意度。 2. 对接内部研发团队，反馈并跟踪客户提出的软件缺陷或功能需求，促进产品质量的不断改进。 3. 定期整理分析售后服务数据，撰写技术报告，为产品迭代提供决策依据。 4. 参与新产品的测试工作，从用户角度出发提出改进建议，协助完成产品上市前的各项准备工作。 5. 组织开…</x:v>
      </x:c>
    </x:row>
    <x:row r="486" ht="52" customHeight="1">
      <x:c r="A486" s="42" t="n">
        <x:v>208</x:v>
      </x:c>
      <x:c r="B486" s="39" t="str">
        <x:v>售后技术支持工程师</x:v>
      </x:c>
      <x:c r="C486" s="39" t="str">
        <x:v>可直接合并</x:v>
      </x:c>
      <x:c r="D486" s="39" t="str">
        <x:v>售后技术支持工程师</x:v>
      </x:c>
      <x:c r="E486" s="42" t="n">
        <x:v>303</x:v>
      </x:c>
      <x:c r="F486" s="39" t="str">
        <x:v>IC-L3-454</x:v>
      </x:c>
      <x:c r="G486" s="42" t="n">
        <x:v>454</x:v>
      </x:c>
      <x:c r="H486" s="39" t="str">
        <x:v>销售/客服 &gt; 销售支持 &gt; 售后技术支持工程师</x:v>
      </x:c>
      <x:c r="I486" s="39" t="str">
        <x:v>4-04-05-01</x:v>
      </x:c>
      <x:c r="J486" s="39" t="str">
        <x:v>计算机程序设计员</x:v>
      </x:c>
      <x:c r="K486" s="39" t="str">
        <x:v>售后技术支持工程师是销售/客服行业中不可或缺的角色，他们通过提供专业的技术支持服务，确保客户能够顺利使用公司产品或服务，从而提高客户满意度和忠诚度。在企业中，售后技术支持工程师的主要目标是解决客户在使用过程中遇到的技术问题，这不仅有助于维护公司的品牌形象，还能促进客户的长期合作，为企业带来持续的业务增长。此外，售后技术支持工程师还需要与销售、研发等多个部门紧…</x:v>
      </x:c>
      <x:c r="L486" s="39" t="str">
        <x:v>1. 负责解答客户关于产品功能、操作方法等方面的技术咨询，确保客户获得及时有效的解决方案，提升客户体验。 2. 对客户反馈的产品故障进行远程诊断或现场排查，快速定位问题原因并实施修复措施，缩短故障处理时间。 3. 定期收集并分析客户意见及建议，向产品研发团队提出改进建议，参与新版本测试工作，确保产品质量符合市场需求。 4. 为销售人员提供必要的技术支持，协助…</x:v>
      </x:c>
    </x:row>
    <x:row r="487" ht="52" customHeight="1">
      <x:c r="A487" s="42" t="n">
        <x:v>209</x:v>
      </x:c>
      <x:c r="B487" s="39" t="str">
        <x:v>售前技术支持工程师</x:v>
      </x:c>
      <x:c r="C487" s="39" t="str">
        <x:v>可直接合并</x:v>
      </x:c>
      <x:c r="D487" s="39" t="str">
        <x:v>售前技术支持工程师</x:v>
      </x:c>
      <x:c r="E487" s="42" t="n">
        <x:v>91</x:v>
      </x:c>
      <x:c r="F487" s="39" t="str">
        <x:v>IC-L3-242</x:v>
      </x:c>
      <x:c r="G487" s="42" t="n">
        <x:v>242</x:v>
      </x:c>
      <x:c r="H487" s="39" t="str">
        <x:v>互联网技术 &gt; 销售技术支持 &gt; 售前技术支持工程师</x:v>
      </x:c>
      <x:c r="I487" s="39" t="str">
        <x:v>4-04-05-01</x:v>
      </x:c>
      <x:c r="J487" s="39" t="str">
        <x:v>计算机程序设计员</x:v>
      </x:c>
      <x:c r="K487" s="39" t="str">
        <x:v>售前技术支持工程师是互联网技术行业中不可或缺的专业角色，主要负责在销售过程中提供技术咨询和支持，确保客户能够充分理解并信任公司产品或解决方案的技术优势。该职位不仅是连接销售与技术部门的关键桥梁，还直接关系到项目的成功签约及后续实施。 该职位的核心目标在于通过专业的技术讲解和演示，帮助潜在客户准确把握产品的性能特点及适用场景，从而促进销售转化率的提升。此外，售…</x:v>
      </x:c>
      <x:c r="L487" s="39" t="str">
        <x:v>1. 与销售团队密切合作，参与客户拜访和技术交流活动，解答客户关于产品技术方面的问题，建立良好的客户关系。 2. 根据客户需求，制定详细的产品配置方案和技术支持计划，确保满足客户的特定要求。 3. 负责编写技术文档，包括但不限于项目建议书、技术方案报告等，以支持销售过程中的提案工作。 4. 协助处理项目实施阶段遇到的技术难题，提供必要的现场支持和服务指导，保…</x:v>
      </x:c>
    </x:row>
    <x:row r="488" ht="52" customHeight="1">
      <x:c r="A488" s="42" t="n">
        <x:v>209</x:v>
      </x:c>
      <x:c r="B488" s="39" t="str">
        <x:v>售前技术支持工程师</x:v>
      </x:c>
      <x:c r="C488" s="39" t="str">
        <x:v>可直接合并</x:v>
      </x:c>
      <x:c r="D488" s="39" t="str">
        <x:v>售前技术支持工程师</x:v>
      </x:c>
      <x:c r="E488" s="42" t="n">
        <x:v>301</x:v>
      </x:c>
      <x:c r="F488" s="39" t="str">
        <x:v>IC-L3-452</x:v>
      </x:c>
      <x:c r="G488" s="42" t="n">
        <x:v>452</x:v>
      </x:c>
      <x:c r="H488" s="39" t="str">
        <x:v>销售/客服 &gt; 销售支持 &gt; 售前技术支持工程师</x:v>
      </x:c>
      <x:c r="I488" s="39" t="str">
        <x:v>4-04-05-01</x:v>
      </x:c>
      <x:c r="J488" s="39" t="str">
        <x:v>计算机程序设计员</x:v>
      </x:c>
      <x:c r="K488" s="39" t="str">
        <x:v>售前技术支持工程师是销售/客服行业中不可或缺的角色，主要负责在销售过程中提供技术层面的支持与服务，确保客户获得准确的产品信息和技术解决方案。这一职位不仅要求具备扎实的技术背景，还需要拥有良好的沟通技巧和项目管理能力，以便能够有效地协助销售团队完成交易。 作为公司与客户之间沟通的桥梁，售前技术支持工程师的核心目标在于深入了解客户需求，结合公司产品特点制定出最优…</x:v>
      </x:c>
      <x:c r="L488" s="39" t="str">
        <x:v>1. 负责收集并分析潜在客户的业务需求，评估其技术可行性，提供专业的技术咨询和服务。 2. 协助销售团队准备技术文档、提案及报价单，确保资料的准确性与完整性。 3. 参与客户现场交流会议，展示公司产品或解决方案的优势，解答客户的疑问。 4. 与内部相关部门（如研发、生产）保持良好沟通，协调资源以满足客户特定需求。 5. 定期跟踪项目进展，及时反馈客户意见，协…</x:v>
      </x:c>
    </x:row>
    <x:row r="489" ht="52" customHeight="1">
      <x:c r="A489" s="42" t="n">
        <x:v>210</x:v>
      </x:c>
      <x:c r="B489" s="39" t="str">
        <x:v>售前技术支持经理/主管</x:v>
      </x:c>
      <x:c r="C489" s="39" t="str">
        <x:v>可直接合并</x:v>
      </x:c>
      <x:c r="D489" s="39" t="str">
        <x:v>售前技术支持经理/主管</x:v>
      </x:c>
      <x:c r="E489" s="42" t="n">
        <x:v>92</x:v>
      </x:c>
      <x:c r="F489" s="39" t="str">
        <x:v>IC-L3-243</x:v>
      </x:c>
      <x:c r="G489" s="42" t="n">
        <x:v>243</x:v>
      </x:c>
      <x:c r="H489" s="39" t="str">
        <x:v>互联网技术 &gt; 销售技术支持 &gt; 售前技术支持经理/主管</x:v>
      </x:c>
      <x:c r="I489" s="39" t="str">
        <x:v>4-04-05-01</x:v>
      </x:c>
      <x:c r="J489" s="39" t="str">
        <x:v>计算机程序设计员</x:v>
      </x:c>
      <x:c r="K489" s="39" t="str">
        <x:v>售前技术支持经理/主管是互联网技术行业中不可或缺的角色，负责在销售过程中提供专业的技术支持，确保客户获得最优化的技术解决方案。通过与客户的深入沟通，了解其业务需求和技术要求，帮助销售团队准确把握客户需求，从而提高销售成功率和客户满意度。作为连接技术与市场的桥梁，售前技术支持经理/主管不仅能够促进项目顺利进行，还能为公司带来长期稳定的收益；同时，该职位还肩负着…</x:v>
      </x:c>
      <x:c r="L489" s="39" t="str">
        <x:v>1. 负责参与售前项目投标工作，包括但不限于方案设计、标书制作、技术交流等环节，以满足客户的技术需求并促成交易。 2. 与销售团队密切配合，协助完成技术咨询、演示、培训等工作，提高客户对产品的认知度和信任度，最终实现销售目标。 3. 对现有产品进行持续改进，收集市场反馈信息，提出改进建议，以适应不断变化的市场需求。 4. 组织内部技术培训，提升团队成员的专业…</x:v>
      </x:c>
    </x:row>
    <x:row r="490" ht="52" customHeight="1">
      <x:c r="A490" s="42" t="n">
        <x:v>210</x:v>
      </x:c>
      <x:c r="B490" s="39" t="str">
        <x:v>售前技术支持经理/主管</x:v>
      </x:c>
      <x:c r="C490" s="39" t="str">
        <x:v>可直接合并</x:v>
      </x:c>
      <x:c r="D490" s="39" t="str">
        <x:v>售前技术支持经理/主管</x:v>
      </x:c>
      <x:c r="E490" s="42" t="n">
        <x:v>302</x:v>
      </x:c>
      <x:c r="F490" s="39" t="str">
        <x:v>IC-L3-453</x:v>
      </x:c>
      <x:c r="G490" s="42" t="n">
        <x:v>453</x:v>
      </x:c>
      <x:c r="H490" s="39" t="str">
        <x:v>销售/客服 &gt; 销售支持 &gt; 售前技术支持经理/主管</x:v>
      </x:c>
      <x:c r="I490" s="39" t="str">
        <x:v>4-04-05-01</x:v>
      </x:c>
      <x:c r="J490" s="39" t="str">
        <x:v>计算机程序设计员</x:v>
      </x:c>
      <x:c r="K490" s="39" t="str">
        <x:v>售前技术支持经理/主管是销售与技术之间的桥梁，在销售/客服行业中扮演着至关重要的角色。通过将复杂的技术概念转化为易于理解的信息，帮助客户做出明智的决策，从而促进销售过程。这一职位不仅能够提升客户的满意度，还能显著提高销售效率和成交率。 售前技术支持经理/主管的核心目标是确保公司在售前阶段向潜在客户提供准确、及时的技术支持和服务。通过对产品特性的深入了解以及市…</x:v>
      </x:c>
      <x:c r="L490" s="39" t="str">
        <x:v>1. 与销售团队密切配合，参与客户沟通会议，了解客户需求并提供专业的技术咨询，以支持销售活动的顺利开展。 2. 根据客户需求制定详细的技术解决方案，包括但不限于产品选型建议、系统架构设计等，确保方案的可行性及竞争力。 3. 协助销售团队准备投标文件和技术文档，确保所有材料准确无误地反映了公司产品优势。 4. 定期组织内部培训，分享最新技术和市场动态，提高整个…</x:v>
      </x:c>
    </x:row>
    <x:row r="491" ht="52" customHeight="1">
      <x:c r="A491" s="42" t="n">
        <x:v>211</x:v>
      </x:c>
      <x:c r="B491" s="39" t="str">
        <x:v>数据产品经理</x:v>
      </x:c>
      <x:c r="C491" s="39" t="str">
        <x:v>可直接合并</x:v>
      </x:c>
      <x:c r="D491" s="39" t="str">
        <x:v>数据产品经理</x:v>
      </x:c>
      <x:c r="E491" s="42" t="n">
        <x:v>102</x:v>
      </x:c>
      <x:c r="F491" s="39" t="str">
        <x:v>IC-L3-253</x:v>
      </x:c>
      <x:c r="G491" s="42" t="n">
        <x:v>253</x:v>
      </x:c>
      <x:c r="H491" s="39" t="str">
        <x:v>产品 &gt; 互联网产品经理 &gt; 数据产品经理</x:v>
      </x:c>
      <x:c r="I491" s="39" t="str">
        <x:v>2-02-10-03</x:v>
      </x:c>
      <x:c r="J491" s="39" t="str">
        <x:v>计算机软件工程技术人员</x:v>
      </x:c>
      <x:c r="K491" s="39" t="str">
        <x:v>数据产品经理是互联网行业中不可或缺的角色之一，通过将复杂的数据转化为易于理解的产品决策依据，帮助公司实现更精准的市场定位和用户需求分析。该职位不仅要求候选人具备扎实的数据分析能力，还需要有良好的产品思维和创新能力，以确保能够从海量数据中挖掘出有价值的信息，指导产品的迭代优化。此外，数据产品经理还需与研发、设计、市场等多个部门紧密合作，共同推动产品的持续发展，…</x:v>
      </x:c>
      <x:c r="L491" s="39" t="str">
        <x:v>1. 负责收集并分析用户行为数据，识别关键指标，为产品功能的优化提供科学依据，提升用户体验。 2. 与技术团队密切配合，制定数据采集方案，确保数据质量，支持产品迭代过程中的快速验证与调整。 3. 定期出具数据分析报告，向管理层汇报产品表现及市场趋势，辅助公司战略决策。 4. 深入研究竞争对手的产品动态，结合自身业务特点，提出差异化的产品策略建议。 5. 参与…</x:v>
      </x:c>
    </x:row>
    <x:row r="492" ht="52" customHeight="1">
      <x:c r="A492" s="42" t="n">
        <x:v>211</x:v>
      </x:c>
      <x:c r="B492" s="39" t="str">
        <x:v>数据产品经理</x:v>
      </x:c>
      <x:c r="C492" s="39" t="str">
        <x:v>可直接合并</x:v>
      </x:c>
      <x:c r="D492" s="39" t="str">
        <x:v>数据产品经理</x:v>
      </x:c>
      <x:c r="E492" s="42" t="n">
        <x:v>114</x:v>
      </x:c>
      <x:c r="F492" s="39" t="str">
        <x:v>IC-L3-265</x:v>
      </x:c>
      <x:c r="G492" s="42" t="n">
        <x:v>265</x:v>
      </x:c>
      <x:c r="H492" s="39" t="str">
        <x:v>产品 &gt; 其他产品经理 &gt; 数据产品经理</x:v>
      </x:c>
      <x:c r="I492" s="39" t="str">
        <x:v>2-02-10-03</x:v>
      </x:c>
      <x:c r="J492" s="39" t="str">
        <x:v>计算机软件工程技术人员</x:v>
      </x:c>
      <x:c r="K492" s="39" t="str">
        <x:v>数据产品经理是专注于数据驱动型产品设计与管理的专业人员。该职位的核心目标是通过挖掘数据价值，打造高效的数据产品解决方案，推动业务增长。在日常工作中，需要进行需求分析、数据产品规划、跨部门协作及产品全生命周期管理等工作。</x:v>
      </x:c>
      <x:c r="L492" s="39" t="str">
        <x:v>1. 规划数据产品路线 2. 设计数据产品功能 3. 协调数据开发资源 4. 分析用户数据需求 5. 监控数据产品指标 6. 优化数据产品体验</x:v>
      </x:c>
    </x:row>
    <x:row r="493" ht="52" customHeight="1">
      <x:c r="A493" s="42" t="n">
        <x:v>212</x:v>
      </x:c>
      <x:c r="B493" s="39" t="str">
        <x:v>数据分析师</x:v>
      </x:c>
      <x:c r="C493" s="39" t="str">
        <x:v>可直接合并</x:v>
      </x:c>
      <x:c r="D493" s="39" t="str">
        <x:v>数据分析师</x:v>
      </x:c>
      <x:c r="E493" s="42" t="n">
        <x:v>987</x:v>
      </x:c>
      <x:c r="F493" s="39" t="str">
        <x:v>IC-L3-1138</x:v>
      </x:c>
      <x:c r="G493" s="42" t="n">
        <x:v>1138</x:v>
      </x:c>
      <x:c r="H493" s="39" t="str">
        <x:v>设计 &gt; 平面设计 &gt; 数据分析师</x:v>
      </x:c>
      <x:c r="I493" s="39" t="str">
        <x:v>2-02-10-03</x:v>
      </x:c>
      <x:c r="J493" s="39" t="str">
        <x:v>计算机软件工程技术人员</x:v>
      </x:c>
      <x:c r="K493" s="39" t="str">
        <x:v>数据分析师是专门从事设计行业数据挖掘与分析的专业人员。该职位的核心目标是通过收集和分析用户行为数据与市场趋势，为平面设计决策提供数据支持。在日常工作中，需要进行设计效果追踪、用户偏好分析、竞品数据对比及可视化报告制作等工作。</x:v>
      </x:c>
      <x:c r="L493" s="39" t="str">
        <x:v>1. 收集设计数据需求 2. 分析设计趋势数据 3. 优化设计流程效率 4. 制作数据可视化报告 5. 评估设计项目效果 6. 提供设计决策建议</x:v>
      </x:c>
    </x:row>
    <x:row r="494" ht="52" customHeight="1">
      <x:c r="A494" s="42" t="n">
        <x:v>212</x:v>
      </x:c>
      <x:c r="B494" s="39" t="str">
        <x:v>数据分析师</x:v>
      </x:c>
      <x:c r="C494" s="39" t="str">
        <x:v>可直接合并</x:v>
      </x:c>
      <x:c r="D494" s="39" t="str">
        <x:v>数据分析师</x:v>
      </x:c>
      <x:c r="E494" s="42" t="n">
        <x:v>1196</x:v>
      </x:c>
      <x:c r="F494" s="39" t="str">
        <x:v>IC-L3-1347</x:v>
      </x:c>
      <x:c r="G494" s="42" t="n">
        <x:v>1347</x:v>
      </x:c>
      <x:c r="H494" s="39" t="str">
        <x:v>通信/电子 &gt; 硬件开发 &gt; 数据分析师</x:v>
      </x:c>
      <x:c r="I494" s="39" t="str">
        <x:v>2-02-10-03</x:v>
      </x:c>
      <x:c r="J494" s="39" t="str">
        <x:v>计算机软件工程技术人员</x:v>
      </x:c>
      <x:c r="K494" s="39" t="str">
        <x:v>数据分析师是专门从事硬件数据挖掘与商业智能分析的专业人员。该职位的核心目标是通过收集、处理和分析硬件产品全生命周期数据，为研发优化和市场决策提供数据支撑。在日常工作中，需要进行硬件性能数据分析、用户行为建模、测试数据可视化及商业智能报告撰写等工作。</x:v>
      </x:c>
      <x:c r="L494" s="39" t="str">
        <x:v>1. 收集硬件测试数据 2. 分析产品性能指标 3. 建立数据预测模型 4. 优化生产流程效率 5. 编写数据分析报告 6. 支持产品迭代决策</x:v>
      </x:c>
    </x:row>
    <x:row r="495" ht="52" customHeight="1">
      <x:c r="A495" s="42" t="n">
        <x:v>213</x:v>
      </x:c>
      <x:c r="B495" s="39" t="str">
        <x:v>数据通信工程师</x:v>
      </x:c>
      <x:c r="C495" s="39" t="str">
        <x:v>可直接合并</x:v>
      </x:c>
      <x:c r="D495" s="39" t="str">
        <x:v>数据通信工程师</x:v>
      </x:c>
      <x:c r="E495" s="42" t="n">
        <x:v>1194</x:v>
      </x:c>
      <x:c r="F495" s="39" t="str">
        <x:v>IC-L3-1345</x:v>
      </x:c>
      <x:c r="G495" s="42" t="n">
        <x:v>1345</x:v>
      </x:c>
      <x:c r="H495" s="39" t="str">
        <x:v>通信/电子 &gt; 硬件开发 &gt; 数据通信工程师</x:v>
      </x:c>
      <x:c r="I495" s="39" t="str">
        <x:v>2-02-10-03</x:v>
      </x:c>
      <x:c r="J495" s="39" t="str">
        <x:v>计算机软件工程技术人员</x:v>
      </x:c>
      <x:c r="K495" s="39" t="str">
        <x:v>数据通信工程师是专门从事网络通信硬件研发与优化的专业人员。该职位的核心目标是通过设计、测试和维护数据通信设备，确保高效稳定的数据传输。在日常工作中，需要进行通信协议开发、硬件调试、性能优化及故障排查等工作。</x:v>
      </x:c>
      <x:c r="L495" s="39" t="str">
        <x:v>1. 设计通信硬件方案 2. 调试数据通信设备 3. 优化网络传输性能 4. 编写通信协议文档 5. 测试硬件兼容性能 6. 解决技术故障问题</x:v>
      </x:c>
    </x:row>
    <x:row r="496" ht="52" customHeight="1">
      <x:c r="A496" s="42" t="n">
        <x:v>213</x:v>
      </x:c>
      <x:c r="B496" s="39" t="str">
        <x:v>数据通信工程师</x:v>
      </x:c>
      <x:c r="C496" s="39" t="str">
        <x:v>可直接合并</x:v>
      </x:c>
      <x:c r="D496" s="39" t="str">
        <x:v>数据通信工程师</x:v>
      </x:c>
      <x:c r="E496" s="42" t="n">
        <x:v>1206</x:v>
      </x:c>
      <x:c r="F496" s="39" t="str">
        <x:v>IC-L3-1357</x:v>
      </x:c>
      <x:c r="G496" s="42" t="n">
        <x:v>1357</x:v>
      </x:c>
      <x:c r="H496" s="39" t="str">
        <x:v>通信/电子 &gt; 通信技术开发与应用 &gt; 数据通信工程师</x:v>
      </x:c>
      <x:c r="I496" s="39" t="str">
        <x:v>2-02-10-03</x:v>
      </x:c>
      <x:c r="J496" s="39" t="str">
        <x:v>计算机软件工程技术人员</x:v>
      </x:c>
      <x:c r="K496" s="39" t="str">
        <x:v>数据通信工程师是通信/电子行业中至关重要的技术角色，他们专注于设计、实施和维护高效的数据通信系统，确保信息能够快速、安全地传输。这一职位不仅在推动技术创新方面发挥着关键作用，而且对于提高企业竞争力和服务质量至关重要。 作为数据通信工程师，核心目标是通过优化网络架构和协议，提升数据传输效率与安全性，减少延迟和错误率，从而为企业创造更大的商业价值。此外，还需持续…</x:v>
      </x:c>
      <x:c r="L496" s="39" t="str">
        <x:v>1. 设计和部署高效、稳定的数据通信网络，确保满足业务需求并符合相关标准。 2. 对现有通信系统进行定期评估，识别潜在风险点，提出改进建议并实施优化方案。 3. 负责处理网络故障，快速响应并解决各类紧急情况，保障服务连续性和用户满意度。 4. 与跨职能团队沟通协作，参与项目规划和技术讨论，提供专业的通信技术支持。 5. 关注行业动态和技术前沿，研究新型通信技…</x:v>
      </x:c>
    </x:row>
    <x:row r="497" ht="52" customHeight="1">
      <x:c r="A497" s="42" t="n">
        <x:v>214</x:v>
      </x:c>
      <x:c r="B497" s="39" t="str">
        <x:v>数据运营</x:v>
      </x:c>
      <x:c r="C497" s="39" t="str">
        <x:v>可直接合并</x:v>
      </x:c>
      <x:c r="D497" s="39" t="str">
        <x:v>数据运营</x:v>
      </x:c>
      <x:c r="E497" s="42" t="n">
        <x:v>54</x:v>
      </x:c>
      <x:c r="F497" s="39" t="str">
        <x:v>IC-L3-205</x:v>
      </x:c>
      <x:c r="G497" s="42" t="n">
        <x:v>205</x:v>
      </x:c>
      <x:c r="H497" s="39" t="str">
        <x:v>互联网技术 &gt; 数据 &gt; 数据运营</x:v>
      </x:c>
      <x:c r="I497" s="39" t="str">
        <x:v>2-02-10-03</x:v>
      </x:c>
      <x:c r="J497" s="39" t="str">
        <x:v>计算机软件工程技术人员</x:v>
      </x:c>
      <x:c r="K497" s="39" t="str">
        <x:v>数据运营是专门从事数据资产价值挖掘的专业人员。该职位的核心目标是通过数据收集、分析和应用，实现业务增长和运营效率提升。在日常工作中，需要进行数据监控、报表制作、业务分析、数据可视化及运营策略优化等工作。</x:v>
      </x:c>
      <x:c r="L497" s="39" t="str">
        <x:v>1. 收集整理数据 2. 分析业务指标 3. 搭建数据看板 4. 优化数据流程 5. 输出分析报告 6. 支持业务决策</x:v>
      </x:c>
    </x:row>
    <x:row r="498" ht="52" customHeight="1">
      <x:c r="A498" s="42" t="n">
        <x:v>214</x:v>
      </x:c>
      <x:c r="B498" s="39" t="str">
        <x:v>数据运营</x:v>
      </x:c>
      <x:c r="C498" s="39" t="str">
        <x:v>可直接合并</x:v>
      </x:c>
      <x:c r="D498" s="39" t="str">
        <x:v>数据运营</x:v>
      </x:c>
      <x:c r="E498" s="42" t="n">
        <x:v>1083</x:v>
      </x:c>
      <x:c r="F498" s="39" t="str">
        <x:v>IC-L3-1234</x:v>
      </x:c>
      <x:c r="G498" s="42" t="n">
        <x:v>1234</x:v>
      </x:c>
      <x:c r="H498" s="39" t="str">
        <x:v>运营 &gt; 业务运营 &gt; 数据运营</x:v>
      </x:c>
      <x:c r="I498" s="39" t="str">
        <x:v>2-02-10-03</x:v>
      </x:c>
      <x:c r="J498" s="39" t="str">
        <x:v>计算机软件工程技术人员</x:v>
      </x:c>
      <x:c r="K498" s="39" t="str">
        <x:v>数据运营是业务运营领域中不可或缺的角色，通过数据分析来优化产品和服务，提高用户体验和满意度，从而推动业务增长。数据运营人员不仅需要具备强大的数据处理能力，还需要对业务有深刻的理解，能够将数据转化为有价值的洞察，为企业决策提供依据。此外，数据运营与市场、销售、产品等多个部门紧密合作，共同推进公司战略目标的实现，同时，随着业务的发展和个人能力的提升，数据运营人员…</x:v>
      </x:c>
      <x:c r="L498" s="39" t="str">
        <x:v>1. 负责收集、整理和分析用户行为数据，识别潜在问题并提出改进建议，以提升用户活跃度和留存率。 2. 定期制作业务报告，监控关键指标变化趋势，及时发现异常情况并向相关部门反馈，确保各项运营活动的有效执行。 3. 与产品团队密切配合，基于数据分析结果指导功能迭代，优化用户体验，增强产品的市场竞争力。 4. 协同市场营销部门制定精准营销策略，利用大数据技术实现个…</x:v>
      </x:c>
    </x:row>
    <x:row r="499" ht="52" customHeight="1">
      <x:c r="A499" s="42" t="n">
        <x:v>215</x:v>
      </x:c>
      <x:c r="B499" s="39" t="str">
        <x:v>体系工程师</x:v>
      </x:c>
      <x:c r="C499" s="39" t="str">
        <x:v>可直接合并</x:v>
      </x:c>
      <x:c r="D499" s="39" t="str">
        <x:v>体系工程师</x:v>
      </x:c>
      <x:c r="E499" s="42" t="n">
        <x:v>55</x:v>
      </x:c>
      <x:c r="F499" s="39" t="str">
        <x:v>IC-L3-206</x:v>
      </x:c>
      <x:c r="G499" s="42" t="n">
        <x:v>206</x:v>
      </x:c>
      <x:c r="H499" s="39" t="str">
        <x:v>互联网技术 &gt; 测试 &gt; 体系工程师</x:v>
      </x:c>
      <x:c r="I499" s="39" t="str">
        <x:v>2-02-29-03</x:v>
      </x:c>
      <x:c r="J499" s="39" t="str">
        <x:v>质量管理工程技术人员</x:v>
      </x:c>
      <x:c r="K499" s="39" t="str">
        <x:v>体系工程师在互联网技术行业中扮演着至关重要的角色，负责确保软件产品的质量和稳定性。通过全面而深入的测试流程，他们能够发现并解决潜在的技术问题，从而保障用户体验。作为连接开发与运维的关键环节，体系工程师不仅提高了产品上线的成功率，还促进了跨部门之间的沟通与合作，推动了公司整体技术水平的进步。 体系工程师的核心目标在于建立和完善系统的测试框架及自动化测试工具，以…</x:v>
      </x:c>
      <x:c r="L499" s="39" t="str">
        <x:v>1. 设计并执行全面的测试计划，覆盖功能测试、性能测试、兼容性测试等多个方面，确保产品符合预期的质量标准。 2. 开发和维护自动化测试脚本，利用Selenium、JMeter等工具提高测试覆盖率和效率，减少人工测试的时间成本。 3. 分析测试结果，定位并跟踪问题直至解决，与开发团队紧密合作，推动问题的快速响应和修复。 4. 参与需求评审会议，从测试角度提出改…</x:v>
      </x:c>
    </x:row>
    <x:row r="500" ht="52" customHeight="1">
      <x:c r="A500" s="42" t="n">
        <x:v>215</x:v>
      </x:c>
      <x:c r="B500" s="39" t="str">
        <x:v>体系工程师</x:v>
      </x:c>
      <x:c r="C500" s="39" t="str">
        <x:v>可直接合并</x:v>
      </x:c>
      <x:c r="D500" s="39" t="str">
        <x:v>体系工程师</x:v>
      </x:c>
      <x:c r="E500" s="42" t="n">
        <x:v>732</x:v>
      </x:c>
      <x:c r="F500" s="39" t="str">
        <x:v>IC-L3-883</x:v>
      </x:c>
      <x:c r="G500" s="42" t="n">
        <x:v>883</x:v>
      </x:c>
      <x:c r="H500" s="39" t="str">
        <x:v>生产制造 &gt; 质量管理 &gt; 体系工程师</x:v>
      </x:c>
      <x:c r="I500" s="39" t="str">
        <x:v>2-02-29-03</x:v>
      </x:c>
      <x:c r="J500" s="39" t="str">
        <x:v>质量管理工程技术人员</x:v>
      </x:c>
      <x:c r="K500" s="39" t="str">
        <x:v>体系工程师在生产制造行业中扮演着至关重要的角色，负责确保企业内部质量管理体系的有效运行，是连接公司管理层与操作层之间的桥梁。通过建立和完善质量管理体系，体系工程师能够帮助企业实现从原料采购到产品交付全过程的质量控制，不仅提升产品质量，还提高了客户满意度和市场竞争力。此外，该职位还涉及到与其他部门如生产、技术、销售等密切合作，共同推动公司整体质量管理水平的提升…</x:v>
      </x:c>
      <x:c r="L500" s="39" t="str">
        <x:v>1. 负责ISO9001等国际质量管理体系标准的实施与维护，确保公司各项业务流程符合相关法规要求。 2. 定期组织内审和管理评审活动，检查并评估现有质量管理体系的有效性，针对发现的问题提出改进建议并跟踪整改进度。 3. 协调跨部门资源，优化生产过程中的关键控制点，减少不合格品率，提高生产效率。 4. 对员工进行质量意识培训，传播先进的质量管理理念和技术方法，…</x:v>
      </x:c>
    </x:row>
    <x:row r="501" ht="52" customHeight="1">
      <x:c r="A501" s="42" t="n">
        <x:v>216</x:v>
      </x:c>
      <x:c r="B501" s="39" t="str">
        <x:v>通信电源工程师</x:v>
      </x:c>
      <x:c r="C501" s="39" t="str">
        <x:v>条件合并（先修分类）</x:v>
      </x:c>
      <x:c r="D501" s="39" t="str">
        <x:v>通信电源工程师</x:v>
      </x:c>
      <x:c r="E501" s="42" t="n">
        <x:v>1192</x:v>
      </x:c>
      <x:c r="F501" s="39" t="str">
        <x:v>IC-L3-1343</x:v>
      </x:c>
      <x:c r="G501" s="42" t="n">
        <x:v>1343</x:v>
      </x:c>
      <x:c r="H501" s="39" t="str">
        <x:v>通信/电子 &gt; 硬件开发 &gt; 通信电源工程师</x:v>
      </x:c>
      <x:c r="I501" s="39" t="str">
        <x:v>2-02-09-02</x:v>
      </x:c>
      <x:c r="J501" s="39" t="str">
        <x:v>电子元器件工程技术人员</x:v>
      </x:c>
      <x:c r="K501" s="39" t="str">
        <x:v>通信电源工程师是专门从事通信设备电源系统设计与优化的专业人员。该职位的核心目标是通过开发高效可靠的电源解决方案，保障通信硬件设备的稳定运行。在日常工作中，需要进行电源电路设计、性能测试、故障分析及技术文档编写等工作。</x:v>
      </x:c>
      <x:c r="L501" s="39" t="str">
        <x:v>1. 设计通信电源方案 2. 开发电源硬件系统 3. 测试电源性能指标 4. 优化电源能效参数 5. 解决电源技术问题 6. 编写电源技术文档</x:v>
      </x:c>
    </x:row>
    <x:row r="502" ht="52" customHeight="1">
      <x:c r="A502" s="42" t="n">
        <x:v>216</x:v>
      </x:c>
      <x:c r="B502" s="39" t="str">
        <x:v>通信电源工程师</x:v>
      </x:c>
      <x:c r="C502" s="39" t="str">
        <x:v>条件合并（先修分类）</x:v>
      </x:c>
      <x:c r="D502" s="39" t="str">
        <x:v>通信电源工程师</x:v>
      </x:c>
      <x:c r="E502" s="42" t="n">
        <x:v>1212</x:v>
      </x:c>
      <x:c r="F502" s="39" t="str">
        <x:v>IC-L3-1363</x:v>
      </x:c>
      <x:c r="G502" s="42" t="n">
        <x:v>1363</x:v>
      </x:c>
      <x:c r="H502" s="39" t="str">
        <x:v>通信/电子 &gt; 通信技术开发与应用 &gt; 通信电源工程师</x:v>
      </x:c>
      <x:c r="I502" s="39" t="str">
        <x:v>2-02-10-01</x:v>
      </x:c>
      <x:c r="J502" s="39" t="str">
        <x:v>通信工程技术人员</x:v>
      </x:c>
      <x:c r="K502" s="39" t="str">
        <x:v>通信电源工程师是通信行业中不可或缺的技术人才，主要负责确保通信设备稳定可靠运行的电力供应系统的设计、安装与维护工作。在现代通信网络中，通信电源系统的性能直接影响到整个网络的稳定性与安全性，因此该职位对于保障通信质量和服务水平具有至关重要的作用。 该职位的核心目标在于通过技术创新和优化设计，提高通信电源产品的效率、可靠性和环保性能，减少能耗并延长使用寿命，从而…</x:v>
      </x:c>
      <x:c r="L502" s="39" t="str">
        <x:v>1. 负责通信电源系统的需求分析、方案设计及技术评审，确保设计方案满足客户需求并符合行业标准。 2. 参与新产品的开发流程，从概念阶段到量产阶段全程跟踪，及时解决试制过程中出现的技术问题。 3. 对现有产品进行持续改进，通过技术手段提升产品质量和客户满意度。 4. 定期对市场上的竞争产品进行调研，收集反馈信息用于指导后续的产品研发活动。 5. 为客户提供专业…</x:v>
      </x:c>
    </x:row>
    <x:row r="503" ht="52" customHeight="1">
      <x:c r="A503" s="42" t="n">
        <x:v>217</x:v>
      </x:c>
      <x:c r="B503" s="39" t="str">
        <x:v>通信设备工程师</x:v>
      </x:c>
      <x:c r="C503" s="39" t="str">
        <x:v>条件合并（先修分类）</x:v>
      </x:c>
      <x:c r="D503" s="39" t="str">
        <x:v>通信设备工程师</x:v>
      </x:c>
      <x:c r="E503" s="42" t="n">
        <x:v>1201</x:v>
      </x:c>
      <x:c r="F503" s="39" t="str">
        <x:v>IC-L3-1352</x:v>
      </x:c>
      <x:c r="G503" s="42" t="n">
        <x:v>1352</x:v>
      </x:c>
      <x:c r="H503" s="39" t="str">
        <x:v>通信/电子 &gt; 硬件开发 &gt; 通信设备工程师</x:v>
      </x:c>
      <x:c r="I503" s="39" t="str">
        <x:v>2-02-09-02</x:v>
      </x:c>
      <x:c r="J503" s="39" t="str">
        <x:v>电子元器件工程技术人员</x:v>
      </x:c>
      <x:c r="K503" s="39" t="str">
        <x:v>通信设备工程师是专门从事通信硬件设备研发与优化的专业人员。该职位的核心目标是通过设计、测试和维护通信硬件设备，确保通信系统的高效稳定运行。在日常工作中，需要进行设备方案设计、硬件调试、性能测试及故障排查等工作。</x:v>
      </x:c>
      <x:c r="L503" s="39" t="str">
        <x:v>1. 设计通信设备硬件 2. 调试设备系统功能 3. 优化电路性能参数 4. 编写硬件测试方案 5. 解决生产异常问题 6. 维护设备技术文档</x:v>
      </x:c>
    </x:row>
    <x:row r="504" ht="52" customHeight="1">
      <x:c r="A504" s="42" t="n">
        <x:v>217</x:v>
      </x:c>
      <x:c r="B504" s="39" t="str">
        <x:v>通信设备工程师</x:v>
      </x:c>
      <x:c r="C504" s="39" t="str">
        <x:v>条件合并（先修分类）</x:v>
      </x:c>
      <x:c r="D504" s="39" t="str">
        <x:v>通信设备工程师</x:v>
      </x:c>
      <x:c r="E504" s="42" t="n">
        <x:v>1214</x:v>
      </x:c>
      <x:c r="F504" s="39" t="str">
        <x:v>IC-L3-1365</x:v>
      </x:c>
      <x:c r="G504" s="42" t="n">
        <x:v>1365</x:v>
      </x:c>
      <x:c r="H504" s="39" t="str">
        <x:v>通信/电子 &gt; 通信技术开发与应用 &gt; 通信设备工程师</x:v>
      </x:c>
      <x:c r="I504" s="39" t="str">
        <x:v>2-02-10-01</x:v>
      </x:c>
      <x:c r="J504" s="39" t="str">
        <x:v>通信工程技术人员</x:v>
      </x:c>
      <x:c r="K504" s="39" t="str">
        <x:v>通信设备工程师是通信/电子行业中不可或缺的专业人才，负责通信系统的设计、实施和维护工作。通过确保通信网络的高效运行，他们不仅促进了信息的快速传递，还为新技术的应用提供了坚实的基础设施支持。作为公司技术创新的核心力量之一，通信设备工程师致力于提升系统的稳定性和安全性，推动产品和服务的持续优化，从而增强企业在市场上的竞争力。此外，该职位需要与其他部门如研发、销售…</x:v>
      </x:c>
      <x:c r="L504" s="39" t="str">
        <x:v>1. 负责通信设备的研发设计，从需求分析到方案制定，确保符合行业标准并满足用户需求。 2. 对现有通信网络进行定期检查与维护，及时发现并排除故障，保障网络服务的连续性和可靠性。 3. 参与新产品的测试验证过程，编写详细的测试报告，提出改进建议以提高产品质量。 4. 与跨职能团队沟通协调，提供技术支持，协助完成项目的顺利实施。 5. 关注行业发展动态，研究新技…</x:v>
      </x:c>
    </x:row>
    <x:row r="505" ht="52" customHeight="1">
      <x:c r="A505" s="42" t="n">
        <x:v>218</x:v>
      </x:c>
      <x:c r="B505" s="39" t="str">
        <x:v>通信销售工程师</x:v>
      </x:c>
      <x:c r="C505" s="39" t="str">
        <x:v>可直接合并</x:v>
      </x:c>
      <x:c r="D505" s="39" t="str">
        <x:v>通信销售工程师</x:v>
      </x:c>
      <x:c r="E505" s="42" t="n">
        <x:v>300</x:v>
      </x:c>
      <x:c r="F505" s="39" t="str">
        <x:v>IC-L3-451</x:v>
      </x:c>
      <x:c r="G505" s="42" t="n">
        <x:v>451</x:v>
      </x:c>
      <x:c r="H505" s="39" t="str">
        <x:v>销售/客服 &gt; 销售人员 &gt; 通信销售工程师</x:v>
      </x:c>
      <x:c r="I505" s="39" t="str">
        <x:v>4-04-05-01</x:v>
      </x:c>
      <x:c r="J505" s="39" t="str">
        <x:v>计算机程序设计员</x:v>
      </x:c>
      <x:c r="K505" s="39" t="str">
        <x:v>通信销售工程师是专门从事通信产品及解决方案销售的专业人员。该职位的核心目标是通过客户需求分析和技术销售，实现通信产品销售业绩增长。在日常工作中，需要进行客户拜访、技术方案演示、商务谈判及合同签订等工作。</x:v>
      </x:c>
      <x:c r="L505" s="39" t="str">
        <x:v>1. 开发通信行业客户 2. 推广公司通信产品 3. 维护重点客户关系 4. 完成销售业绩指标 5. 跟踪通信项目进展 6. 收集市场竞品信息</x:v>
      </x:c>
    </x:row>
    <x:row r="506" ht="52" customHeight="1">
      <x:c r="A506" s="42" t="n">
        <x:v>218</x:v>
      </x:c>
      <x:c r="B506" s="39" t="str">
        <x:v>通信销售工程师</x:v>
      </x:c>
      <x:c r="C506" s="39" t="str">
        <x:v>可直接合并</x:v>
      </x:c>
      <x:c r="D506" s="39" t="str">
        <x:v>通信销售工程师</x:v>
      </x:c>
      <x:c r="E506" s="42" t="n">
        <x:v>1215</x:v>
      </x:c>
      <x:c r="F506" s="39" t="str">
        <x:v>IC-L3-1366</x:v>
      </x:c>
      <x:c r="G506" s="42" t="n">
        <x:v>1366</x:v>
      </x:c>
      <x:c r="H506" s="39" t="str">
        <x:v>通信/电子 &gt; 通信技术开发与应用 &gt; 通信销售工程师</x:v>
      </x:c>
      <x:c r="I506" s="39" t="str">
        <x:v>4-04-05-01</x:v>
      </x:c>
      <x:c r="J506" s="39" t="str">
        <x:v>计算机程序设计员</x:v>
      </x:c>
      <x:c r="K506" s="39" t="str">
        <x:v>通信销售工程师是通信/电子行业中至关重要的角色，他们不仅连接着公司与客户之间的桥梁，还负责推动先进的通信技术产品和服务的市场拓展。作为技术与市场的纽带，这一职位对于促进技术创新成果的商业化转化具有不可替代的作用。 通信销售工程师的核心目标在于通过精准识别客户需求，提供定制化的解决方案，以实现销售业绩的增长和市场份额的扩大。他们通过对市场趋势的敏锐洞察，帮助公…</x:v>
      </x:c>
      <x:c r="L506" s="39" t="str">
        <x:v>1. 负责区域内通信设备及解决方案的推广与销售，完成既定的销售指标。 2. 定期拜访潜在客户，了解其业务需求和技术要求，提供专业的咨询建议及售前支持。 3. 与内部跨职能团队密切配合，确保从技术选型到交付实施的全过程顺利进行。 4. 收集市场信息，分析竞争对手动态，及时调整销售策略以应对市场变化。 5. 组织并参与各类行业展会和研讨会，提高公司产品的知名度和…</x:v>
      </x:c>
    </x:row>
    <x:row r="507" ht="52" customHeight="1">
      <x:c r="A507" s="42" t="n">
        <x:v>219</x:v>
      </x:c>
      <x:c r="B507" s="39" t="str">
        <x:v>统计员</x:v>
      </x:c>
      <x:c r="C507" s="39" t="str">
        <x:v>条件合并（先修分类）</x:v>
      </x:c>
      <x:c r="D507" s="39" t="str">
        <x:v>统计员</x:v>
      </x:c>
      <x:c r="E507" s="42" t="n">
        <x:v>834</x:v>
      </x:c>
      <x:c r="F507" s="39" t="str">
        <x:v>IC-L3-985</x:v>
      </x:c>
      <x:c r="G507" s="42" t="n">
        <x:v>985</x:v>
      </x:c>
      <x:c r="H507" s="39" t="str">
        <x:v>生活服务/零售 &gt; 服务员 &gt; 统计员</x:v>
      </x:c>
      <x:c r="I507" s="39" t="str">
        <x:v>4-03-02-05</x:v>
      </x:c>
      <x:c r="J507" s="39" t="str">
        <x:v>餐厅服务员</x:v>
      </x:c>
      <x:c r="K507" s="39" t="str">
        <x:v>统计员是专门从事数据收集与分析的专业人员。该职位的核心目标是通过系统化统计服务行业运营数据，为管理层提供决策支持。在日常工作中，需要进行营业数据采集、报表制作、趋势分析及异常数据核查等工作。</x:v>
      </x:c>
      <x:c r="L507" s="39" t="str">
        <x:v>1. 收集服务数据 2. 整理服务记录 3. 分析服务指标 4. 编制统计报表 5. 核对数据准确性 6. 提供决策依据</x:v>
      </x:c>
    </x:row>
    <x:row r="508" ht="52" customHeight="1">
      <x:c r="A508" s="42" t="n">
        <x:v>219</x:v>
      </x:c>
      <x:c r="B508" s="39" t="str">
        <x:v>统计员</x:v>
      </x:c>
      <x:c r="C508" s="39" t="str">
        <x:v>条件合并（先修分类）</x:v>
      </x:c>
      <x:c r="D508" s="39" t="str">
        <x:v>统计员</x:v>
      </x:c>
      <x:c r="E508" s="42" t="n">
        <x:v>1067</x:v>
      </x:c>
      <x:c r="F508" s="39" t="str">
        <x:v>IC-L3-1218</x:v>
      </x:c>
      <x:c r="G508" s="42" t="n">
        <x:v>1218</x:v>
      </x:c>
      <x:c r="H508" s="39" t="str">
        <x:v>财务/税务/法务 &gt; 财务 &gt; 统计员</x:v>
      </x:c>
      <x:c r="I508" s="39" t="str">
        <x:v>2-06-03-00</x:v>
      </x:c>
      <x:c r="J508" s="39" t="str">
        <x:v>会计专业人员</x:v>
      </x:c>
      <x:c r="K508" s="39" t="str">
        <x:v>统计员是财务/税务/法务行业中不可或缺的角色之一，他们通过精确的数据收集与分析，为企业提供决策支持，确保企业运营活动的高效与合规。在日常工作中，统计员负责处理大量财务数据，通过专业的统计方法和技术手段，为企业管理层提供准确无误的信息支持，从而帮助企业优化资源配置，提高经济效益。此外，统计员还需要与其他部门如销售、采购等密切合作，共同完成项目预算编制及成本控制…</x:v>
      </x:c>
      <x:c r="L508" s="39" t="str">
        <x:v>1. 负责公司各类财务数据的收集、整理与核对工作，确保数据的真实性和准确性。 2. 运用统计学原理和方法对公司财务状况进行深度分析，定期出具财务报告，为管理层制定战略决策提供依据。 3. 协助财务经理编制年度预算计划，跟踪并监控预算执行情况，及时发现并解决存在的问题。 4. 参与内部审计流程，配合外部审计机构完成相关财务资料的准备和解释工作。 5. 与各部门…</x:v>
      </x:c>
    </x:row>
    <x:row r="509" ht="52" customHeight="1">
      <x:c r="A509" s="42" t="n">
        <x:v>220</x:v>
      </x:c>
      <x:c r="B509" s="39" t="str">
        <x:v>投资并购</x:v>
      </x:c>
      <x:c r="C509" s="39" t="str">
        <x:v>可直接合并</x:v>
      </x:c>
      <x:c r="D509" s="39" t="str">
        <x:v>投资并购</x:v>
      </x:c>
      <x:c r="E509" s="42" t="n">
        <x:v>1263</x:v>
      </x:c>
      <x:c r="F509" s="39" t="str">
        <x:v>IC-L3-1414</x:v>
      </x:c>
      <x:c r="G509" s="42" t="n">
        <x:v>1414</x:v>
      </x:c>
      <x:c r="H509" s="39" t="str">
        <x:v>金融 &gt; 投融资 &gt; 投资并购</x:v>
      </x:c>
      <x:c r="I509" s="39" t="str">
        <x:v>2-06-11-02</x:v>
      </x:c>
      <x:c r="J509" s="39" t="str">
        <x:v>证券交易专业人员</x:v>
      </x:c>
      <x:c r="K509" s="39" t="str">
        <x:v>投资并购经理在金融行业中扮演着至关重要的角色，尤其是在投融资领域。他们负责评估潜在的投资机会与并购项目，确保公司能够实现资本的有效配置并促进业务增长。通过精准的市场分析、财务预测以及谈判技巧，该职位不仅有助于公司规避风险，还能把握住关键的发展机遇，为企业的长期稳定发展奠定坚实基础。此外，投资并购经理还需要与内部多个部门紧密合作，如法务、财务等，以确保所有交易…</x:v>
      </x:c>
      <x:c r="L509" s="39" t="str">
        <x:v>1. 负责寻找并筛选潜在的投资与并购目标，进行初步接触与洽谈，旨在扩大公司业务版图或增强核心竞争力。 2. 组织并参与尽职调查过程，深入分析目标企业的财务状况、市场地位及发展前景，确保投资决策的科学性和合理性。 3. 制定详细的并购计划书，包括交易结构设计、价格谈判策略等，最终促成交易的顺利完成。 4. 协调内外部资源，处理并购过程中的法律文件准备、政府审批…</x:v>
      </x:c>
    </x:row>
    <x:row r="510" ht="52" customHeight="1">
      <x:c r="A510" s="42" t="n">
        <x:v>220</x:v>
      </x:c>
      <x:c r="B510" s="39" t="str">
        <x:v>投资并购</x:v>
      </x:c>
      <x:c r="C510" s="39" t="str">
        <x:v>可直接合并</x:v>
      </x:c>
      <x:c r="D510" s="39" t="str">
        <x:v>投资并购</x:v>
      </x:c>
      <x:c r="E510" s="42" t="n">
        <x:v>1286</x:v>
      </x:c>
      <x:c r="F510" s="39" t="str">
        <x:v>IC-L3-1437</x:v>
      </x:c>
      <x:c r="G510" s="42" t="n">
        <x:v>1437</x:v>
      </x:c>
      <x:c r="H510" s="39" t="str">
        <x:v>金融 &gt; 证券 &gt; 投资并购</x:v>
      </x:c>
      <x:c r="I510" s="39" t="str">
        <x:v>2-06-11-02</x:v>
      </x:c>
      <x:c r="J510" s="39" t="str">
        <x:v>证券交易专业人员</x:v>
      </x:c>
      <x:c r="K510" s="39" t="str">
        <x:v>投资并购是专门从事证券行业并购交易的专业人员。该职位的核心目标是通过分析、评估和执行并购项目，实现公司战略扩张和股东价值最大化。在日常工作中，需要进行标的筛选、尽职调查、估值分析、交易结构设计及谈判等工作。</x:v>
      </x:c>
      <x:c r="L510" s="39" t="str">
        <x:v>1. 筛选潜在投资标的 2. 开展尽职调查工作 3. 评估项目投资价值 4. 设计交易结构方案 5. 主导并购谈判进程 6. 监控投后整合效果</x:v>
      </x:c>
    </x:row>
    <x:row r="511" ht="52" customHeight="1">
      <x:c r="A511" s="42" t="n">
        <x:v>221</x:v>
      </x:c>
      <x:c r="B511" s="39" t="str">
        <x:v>外科医生</x:v>
      </x:c>
      <x:c r="C511" s="39" t="str">
        <x:v>可直接合并</x:v>
      </x:c>
      <x:c r="D511" s="39" t="str">
        <x:v>外科医生</x:v>
      </x:c>
      <x:c r="E511" s="42" t="n">
        <x:v>171</x:v>
      </x:c>
      <x:c r="F511" s="39" t="str">
        <x:v>IC-L3-322</x:v>
      </x:c>
      <x:c r="G511" s="42" t="n">
        <x:v>322</x:v>
      </x:c>
      <x:c r="H511" s="39" t="str">
        <x:v>医药/医疗 &gt; 医生/医技 &gt; 外科医生</x:v>
      </x:c>
      <x:c r="I511" s="39" t="str">
        <x:v>2-05-01-19</x:v>
      </x:c>
      <x:c r="J511" s="39" t="str">
        <x:v>全科医师</x:v>
      </x:c>
      <x:c r="K511" s="39" t="str">
        <x:v>外科医生是医药/医疗行业中不可或缺的专业人才，他们通过实施手术治疗各种疾病和创伤，对于患者健康恢复至关重要。在外科领域，医生不仅需要具备精湛的技术，还应有良好的心理素质和高度的责任感，以应对紧急情况和复杂病例。 作为医疗机构中的核心成员之一，外科医生的主要目标是确保手术的安全性和有效性，提高患者的生活质量。他们通过对患者的全面评估，制定个性化的手术方案，并在…</x:v>
      </x:c>
      <x:c r="L511" s="39" t="str">
        <x:v>1. 对接诊患者进行全面检查，准确诊断病情并制定合理的手术计划。 2. 在手术过程中负责指导助手操作，确保手术顺利进行，同时注意控制出血量和减少并发症发生率。 3. 手术后密切关注患者恢复状况，及时调整治疗方案，促进康复进程。 4. 参与科室内部会议，分享临床经验，协助解决疑难杂症。 5. 定期参加专业培训，了解国内外最新医疗技术发展动态，不断提升自身业务能…</x:v>
      </x:c>
    </x:row>
    <x:row r="512" ht="52" customHeight="1">
      <x:c r="A512" s="42" t="n">
        <x:v>221</x:v>
      </x:c>
      <x:c r="B512" s="39" t="str">
        <x:v>外科医生</x:v>
      </x:c>
      <x:c r="C512" s="39" t="str">
        <x:v>可直接合并</x:v>
      </x:c>
      <x:c r="D512" s="39" t="str">
        <x:v>外科医生</x:v>
      </x:c>
      <x:c r="E512" s="42" t="n">
        <x:v>217</x:v>
      </x:c>
      <x:c r="F512" s="39" t="str">
        <x:v>IC-L3-368</x:v>
      </x:c>
      <x:c r="G512" s="42" t="n">
        <x:v>368</x:v>
      </x:c>
      <x:c r="H512" s="39" t="str">
        <x:v>医药/医疗 &gt; 护理/护士 &gt; 外科医生</x:v>
      </x:c>
      <x:c r="I512" s="39" t="str">
        <x:v>2-05-01-19</x:v>
      </x:c>
      <x:c r="J512" s="39" t="str">
        <x:v>全科医师</x:v>
      </x:c>
      <x:c r="K512" s="39" t="str">
        <x:v>外科医生是专门从事外科疾病诊断和治疗的专业人员。该职位的核心目标是通过精准的医疗技术和手术操作，实现患者疾病的有效治愈和康复。在日常工作中，需要进行术前评估、手术实施、术后管理以及与其他医护团队协作等工作。</x:v>
      </x:c>
      <x:c r="L512" s="39" t="str">
        <x:v>1. 诊断患者病情 2. 制定手术方案 3. 主刀外科手术 4. 指导术后护理 5. 评估治疗效果 6. 参与会诊讨论</x:v>
      </x:c>
    </x:row>
    <x:row r="513" ht="52" customHeight="1">
      <x:c r="A513" s="42" t="n">
        <x:v>222</x:v>
      </x:c>
      <x:c r="B513" s="39" t="str">
        <x:v>玩具设计</x:v>
      </x:c>
      <x:c r="C513" s="39" t="str">
        <x:v>可直接合并</x:v>
      </x:c>
      <x:c r="D513" s="39" t="str">
        <x:v>玩具设计</x:v>
      </x:c>
      <x:c r="E513" s="42" t="n">
        <x:v>975</x:v>
      </x:c>
      <x:c r="F513" s="39" t="str">
        <x:v>IC-L3-1126</x:v>
      </x:c>
      <x:c r="G513" s="42" t="n">
        <x:v>1126</x:v>
      </x:c>
      <x:c r="H513" s="39" t="str">
        <x:v>设计 &gt; 工业设计 &gt; 玩具设计</x:v>
      </x:c>
      <x:c r="I513" s="39" t="str">
        <x:v>2-09-06-01</x:v>
      </x:c>
      <x:c r="J513" s="39" t="str">
        <x:v>视觉传达设计人员</x:v>
      </x:c>
      <x:c r="K513" s="39" t="str">
        <x:v>玩具设计师是工业设计领域中不可或缺的专业人才，他们专注于创造既安全又富有创意的玩具产品，以满足不同年龄段儿童的需求。通过与市场趋势紧密相连的设计理念，玩具设计师不仅能够激发孩子们的想象力和创造力，还能促进其认知发展和社会技能的提升，在行业中占据着举足轻重的地位。 该职位的核心目标在于开发出符合国际安全标准、环保要求及市场需求的新颖玩具。设计师需深入研究消费者…</x:v>
      </x:c>
      <x:c r="L513" s="39" t="str">
        <x:v>1. 负责收集并分析国内外玩具市场的最新动态，结合公司战略制定相应的创新设计方案。 2. 与跨职能团队沟通协作，确保设计方案能够顺利转化为可量产的产品模型。 3. 根据儿童心理学原理和人体工程学原则，评估并改进现有产品的用户体验。 4. 参与材料选择和成本控制过程，确保最终产品既美观实用又经济实惠。 5. 定期参加国内外行业展会，了解前沿技术和设计理念，不断…</x:v>
      </x:c>
    </x:row>
    <x:row r="514" ht="52" customHeight="1">
      <x:c r="A514" s="42" t="n">
        <x:v>222</x:v>
      </x:c>
      <x:c r="B514" s="39" t="str">
        <x:v>玩具设计</x:v>
      </x:c>
      <x:c r="C514" s="39" t="str">
        <x:v>可直接合并</x:v>
      </x:c>
      <x:c r="D514" s="39" t="str">
        <x:v>玩具设计</x:v>
      </x:c>
      <x:c r="E514" s="42" t="n">
        <x:v>1029</x:v>
      </x:c>
      <x:c r="F514" s="39" t="str">
        <x:v>IC-L3-1180</x:v>
      </x:c>
      <x:c r="G514" s="42" t="n">
        <x:v>1180</x:v>
      </x:c>
      <x:c r="H514" s="39" t="str">
        <x:v>设计 &gt; 游戏设计 &gt; 玩具设计</x:v>
      </x:c>
      <x:c r="I514" s="39" t="str">
        <x:v>2-09-06-01</x:v>
      </x:c>
      <x:c r="J514" s="39" t="str">
        <x:v>视觉传达设计人员</x:v>
      </x:c>
      <x:c r="K514" s="39" t="str">
        <x:v>玩具设计是专门从事游戏玩具创意开发的专业人员。该职位的核心目标是通过创新设计和技术实现，打造具有娱乐性和互动性的游戏玩具产品。在日常工作中，需要进行概念设计、原型制作、材料测试及用户体验优化等工作。</x:v>
      </x:c>
      <x:c r="L514" s="39" t="str">
        <x:v>1. 设计游戏玩具概念 2. 绘制玩具设计草图 3. 制作3D玩具模型 4. 测试玩具可玩性 5. 优化玩具交互设计 6. 跟进玩具生产流程</x:v>
      </x:c>
    </x:row>
    <x:row r="515" ht="52" customHeight="1">
      <x:c r="A515" s="42" t="n">
        <x:v>223</x:v>
      </x:c>
      <x:c r="B515" s="39" t="str">
        <x:v>网店店长</x:v>
      </x:c>
      <x:c r="C515" s="39" t="str">
        <x:v>可直接合并</x:v>
      </x:c>
      <x:c r="D515" s="39" t="str">
        <x:v>网店店长</x:v>
      </x:c>
      <x:c r="E515" s="42" t="n">
        <x:v>823</x:v>
      </x:c>
      <x:c r="F515" s="39" t="str">
        <x:v>IC-L3-974</x:v>
      </x:c>
      <x:c r="G515" s="42" t="n">
        <x:v>974</x:v>
      </x:c>
      <x:c r="H515" s="39" t="str">
        <x:v>生活服务/零售 &gt; 服务员 &gt; 网店店长</x:v>
      </x:c>
      <x:c r="I515" s="39" t="str">
        <x:v>4-01-02-03</x:v>
      </x:c>
      <x:c r="J515" s="39" t="str">
        <x:v>商品营业员</x:v>
      </x:c>
      <x:c r="K515" s="39" t="str">
        <x:v>网店店长是专门从事线上店铺运营管理的专业人员。该职位的核心目标是通过优化店铺运营策略，提升销售业绩和客户满意度。在日常工作中，需要进行商品上架管理、客户服务协调、营销活动策划及数据分析等工作。</x:v>
      </x:c>
      <x:c r="L515" s="39" t="str">
        <x:v>1. 制定销售计划 2. 管理店铺运营 3. 优化商品展示 4. 处理客户咨询 5. 协调物流配送 6. 分析销售数据</x:v>
      </x:c>
    </x:row>
    <x:row r="516" ht="52" customHeight="1">
      <x:c r="A516" s="42" t="n">
        <x:v>223</x:v>
      </x:c>
      <x:c r="B516" s="39" t="str">
        <x:v>网店店长</x:v>
      </x:c>
      <x:c r="C516" s="39" t="str">
        <x:v>可直接合并</x:v>
      </x:c>
      <x:c r="D516" s="39" t="str">
        <x:v>网店店长</x:v>
      </x:c>
      <x:c r="E516" s="42" t="n">
        <x:v>1102</x:v>
      </x:c>
      <x:c r="F516" s="39" t="str">
        <x:v>IC-L3-1253</x:v>
      </x:c>
      <x:c r="G516" s="42" t="n">
        <x:v>1253</x:v>
      </x:c>
      <x:c r="H516" s="39" t="str">
        <x:v>运营 &gt; 电商综合管理 &gt; 网店店长</x:v>
      </x:c>
      <x:c r="I516" s="39" t="str">
        <x:v>4-01-02-03</x:v>
      </x:c>
      <x:c r="J516" s="39" t="str">
        <x:v>商品营业员</x:v>
      </x:c>
      <x:c r="K516" s="39" t="str">
        <x:v>网店店长是电子商务领域中不可或缺的关键角色，负责整个网店的日常运营与管理，确保店铺的高效运作和持续增长。作为公司在线业务的核心驱动力，网店店长需制定并执行全面的营销策略，优化商品展示、提高客户满意度及复购率，以实现销售目标和利润最大化。此外，该职位还需与其他部门密切合作，如市场部、物流部等，共同推动品牌发展；同时，良好的个人发展平台和晋升空间也为员工提供了广…</x:v>
      </x:c>
      <x:c r="L516" s="39" t="str">
        <x:v>1. 负责网店的整体规划、商品上架、页面设计以及促销活动的策划与实施，以提升店铺流量和转化率。 2. 定期分析店铺运营数据，监控关键指标（如访问量、订单数、客单价等），及时调整运营策略，确保达成业绩目标。 3. 组织并指导客服团队提供优质的售前咨询和售后服务，处理顾客投诉，维护良好的品牌形象。 4. 与供应链团队紧密配合，监督库存管理，保证产品供应充足且及时…</x:v>
      </x:c>
    </x:row>
    <x:row r="517" ht="52" customHeight="1">
      <x:c r="A517" s="42" t="n">
        <x:v>224</x:v>
      </x:c>
      <x:c r="B517" s="39" t="str">
        <x:v>网络工程师</x:v>
      </x:c>
      <x:c r="C517" s="39" t="str">
        <x:v>可直接合并</x:v>
      </x:c>
      <x:c r="D517" s="39" t="str">
        <x:v>网络工程师</x:v>
      </x:c>
      <x:c r="E517" s="42" t="n">
        <x:v>36</x:v>
      </x:c>
      <x:c r="F517" s="39" t="str">
        <x:v>IC-L3-187</x:v>
      </x:c>
      <x:c r="G517" s="42" t="n">
        <x:v>187</x:v>
      </x:c>
      <x:c r="H517" s="39" t="str">
        <x:v>互联网技术 &gt; 技术管理 &gt; 网络工程师</x:v>
      </x:c>
      <x:c r="I517" s="39" t="str">
        <x:v>2-02-10-01</x:v>
      </x:c>
      <x:c r="J517" s="39" t="str">
        <x:v>通信工程技术人员</x:v>
      </x:c>
      <x:c r="K517" s="39" t="str">
        <x:v>网络工程师是互联网技术行业中不可或缺的专业人才，他们负责设计、实施与维护公司的网络系统，确保数据传输的安全高效，对于保障企业运营顺畅至关重要。在网络架构日益复杂的今天，网络工程师不仅需要具备深厚的技术功底，还应能够应对不断出现的新挑战，如云计算、大数据等新兴领域的需求变化。 作为公司技术管理方向的关键成员，网络工程师的核心目标在于优化现有网络环境，提升系统的…</x:v>
      </x:c>
      <x:c r="L517" s="39" t="str">
        <x:v>1. 负责公司内部网络的设计、部署及日常维护工作，确保网络系统的正常运行。 2. 对现有网络架构进行定期评估与优化，提出改进建议，以适应业务发展的需求。 3. 制定并执行网络安全策略，预防潜在威胁，保护公司信息资产安全。 4. 参与新项目的网络规划，提供技术支持，协助完成相关技术文档编写。 5. 与其他IT团队成员密切配合，快速响应并解决网络故障，保障业务连…</x:v>
      </x:c>
    </x:row>
    <x:row r="518" ht="52" customHeight="1">
      <x:c r="A518" s="42" t="n">
        <x:v>224</x:v>
      </x:c>
      <x:c r="B518" s="39" t="str">
        <x:v>网络工程师</x:v>
      </x:c>
      <x:c r="C518" s="39" t="str">
        <x:v>可直接合并</x:v>
      </x:c>
      <x:c r="D518" s="39" t="str">
        <x:v>网络工程师</x:v>
      </x:c>
      <x:c r="E518" s="42" t="n">
        <x:v>78</x:v>
      </x:c>
      <x:c r="F518" s="39" t="str">
        <x:v>IC-L3-229</x:v>
      </x:c>
      <x:c r="G518" s="42" t="n">
        <x:v>229</x:v>
      </x:c>
      <x:c r="H518" s="39" t="str">
        <x:v>互联网技术 &gt; 运维/技术支持 &gt; 网络工程师</x:v>
      </x:c>
      <x:c r="I518" s="39" t="str">
        <x:v>2-02-10-01</x:v>
      </x:c>
      <x:c r="J518" s="39" t="str">
        <x:v>通信工程技术人员</x:v>
      </x:c>
      <x:c r="K518" s="39" t="str">
        <x:v>网络工程师是互联网技术领域中不可或缺的专业人才，负责确保公司内部及客户外部网络系统的稳定运行与高效管理。在网络架构日益复杂、数据安全要求不断提高的今天，网络工程师不仅承担着维护网络基础设施的重要任务，还扮演着提升用户体验、保障业务连续性的关键角色。 该职位的核心目标在于通过优化网络设计、实施有效的故障排除措施以及定期进行性能评估，以实现网络资源的最大化利用，…</x:v>
      </x:c>
      <x:c r="L518" s="39" t="str">
        <x:v>1. 负责公司内外部网络的设计、配置与日常维护工作，确保网络环境的安全稳定。 2. 定期执行网络监控，迅速响应并解决各类网络故障，降低服务中断风险。 3. 制定并实施网络安全策略，防范潜在威胁，保护公司信息资产免受侵害。 4. 为其他部门提供技术支持，协助其完成相关项目的网络需求分析与规划。 5. 持续学习新技术，参与网络架构优化项目，推动公司网络技术水平持…</x:v>
      </x:c>
    </x:row>
    <x:row r="519" ht="52" customHeight="1">
      <x:c r="A519" s="42" t="n">
        <x:v>225</x:v>
      </x:c>
      <x:c r="B519" s="39" t="str">
        <x:v>网页设计师</x:v>
      </x:c>
      <x:c r="C519" s="39" t="str">
        <x:v>可直接合并</x:v>
      </x:c>
      <x:c r="D519" s="39" t="str">
        <x:v>网页设计师</x:v>
      </x:c>
      <x:c r="E519" s="42" t="n">
        <x:v>960</x:v>
      </x:c>
      <x:c r="F519" s="39" t="str">
        <x:v>IC-L3-1111</x:v>
      </x:c>
      <x:c r="G519" s="42" t="n">
        <x:v>1111</x:v>
      </x:c>
      <x:c r="H519" s="39" t="str">
        <x:v>设计 &gt; 互联网设计 &gt; 网页设计师</x:v>
      </x:c>
      <x:c r="I519" s="39" t="str">
        <x:v>2-09-06-01</x:v>
      </x:c>
      <x:c r="J519" s="39" t="str">
        <x:v>视觉传达设计人员</x:v>
      </x:c>
      <x:c r="K519" s="39" t="str">
        <x:v>网页设计师是互联网设计领域中不可或缺的专业人才，他们负责创建吸引用户的网站界面，确保用户体验流畅而愉悦。通过创新的设计理念和技术手段，网页设计师能够将品牌故事以视觉形式传达给目标用户，从而增强品牌形象并促进用户参与度。在公司内部，网页设计师通常与产品经理、前端开发人员以及市场团队紧密合作，共同推动项目从概念到实现的过程。随着技术的发展和市场需求的变化，网页设…</x:v>
      </x:c>
      <x:c r="L519" s="39" t="str">
        <x:v>1. 负责公司网站及客户项目的网页界面设计，确保设计符合品牌形象及用户需求，提升整体视觉效果。 2. 与产品经理沟通确定产品功能布局、色彩搭配等设计方案，保证设计方案的可行性与美观性。 3. 针对不同设备和浏览器进行适配测试，优化页面加载速度及响应时间，提高用户体验。 4. 定期收集用户反馈，分析数据报告，持续改进现有设计，以满足不断变化的市场需求。 5. …</x:v>
      </x:c>
    </x:row>
    <x:row r="520" ht="52" customHeight="1">
      <x:c r="A520" s="42" t="n">
        <x:v>225</x:v>
      </x:c>
      <x:c r="B520" s="39" t="str">
        <x:v>网页设计师</x:v>
      </x:c>
      <x:c r="C520" s="39" t="str">
        <x:v>可直接合并</x:v>
      </x:c>
      <x:c r="D520" s="39" t="str">
        <x:v>网页设计师</x:v>
      </x:c>
      <x:c r="E520" s="42" t="n">
        <x:v>992</x:v>
      </x:c>
      <x:c r="F520" s="39" t="str">
        <x:v>IC-L3-1143</x:v>
      </x:c>
      <x:c r="G520" s="42" t="n">
        <x:v>1143</x:v>
      </x:c>
      <x:c r="H520" s="39" t="str">
        <x:v>设计 &gt; 广告设计 &gt; 网页设计师</x:v>
      </x:c>
      <x:c r="I520" s="39" t="str">
        <x:v>2-09-06-01</x:v>
      </x:c>
      <x:c r="J520" s="39" t="str">
        <x:v>视觉传达设计人员</x:v>
      </x:c>
      <x:c r="K520" s="39" t="str">
        <x:v>网页设计师是专门从事数字界面视觉创意与实现的专业人员。该职位的核心目标是通过创新的网页设计方案，提升品牌传播效果并优化用户体验。在日常工作中，需要进行网站视觉设计、交互原型制作、广告素材设计及响应式布局开发等工作。</x:v>
      </x:c>
      <x:c r="L520" s="39" t="str">
        <x:v>1. 设计网页视觉方案 2. 制作广告创意页面 3. 优化用户体验设计 4. 维护更新网站内容 5. 配合团队完成项目 6. 跟踪设计效果数据</x:v>
      </x:c>
    </x:row>
    <x:row r="521" ht="52" customHeight="1">
      <x:c r="A521" s="42" t="n">
        <x:v>226</x:v>
      </x:c>
      <x:c r="B521" s="39" t="str">
        <x:v>网站运营</x:v>
      </x:c>
      <x:c r="C521" s="39" t="str">
        <x:v>可直接合并</x:v>
      </x:c>
      <x:c r="D521" s="39" t="str">
        <x:v>网站运营</x:v>
      </x:c>
      <x:c r="E521" s="42" t="n">
        <x:v>83</x:v>
      </x:c>
      <x:c r="F521" s="39" t="str">
        <x:v>IC-L3-234</x:v>
      </x:c>
      <x:c r="G521" s="42" t="n">
        <x:v>234</x:v>
      </x:c>
      <x:c r="H521" s="39" t="str">
        <x:v>互联网技术 &gt; 运维/技术支持 &gt; 网站运营</x:v>
      </x:c>
      <x:c r="I521" s="39" t="str">
        <x:v>4-04-05-01</x:v>
      </x:c>
      <x:c r="J521" s="39" t="str">
        <x:v>计算机程序设计员</x:v>
      </x:c>
      <x:c r="K521" s="39" t="str">
        <x:v>网站运营是专门从事网站维护与优化的专业人员。该职位的核心目标是通过确保网站稳定运行和持续改进，提升用户体验和业务价值。在日常工作中，需要进行服务器监控、性能优化、故障排查、数据备份及安全防护等工作。</x:v>
      </x:c>
      <x:c r="L521" s="39" t="str">
        <x:v>1. 维护网站稳定运行 2. 监控服务器性能状态 3. 处理网站故障问题 4. 优化网站访问速度 5. 管理网站备份恢复 6. 编写运维技术文档</x:v>
      </x:c>
    </x:row>
    <x:row r="522" ht="52" customHeight="1">
      <x:c r="A522" s="42" t="n">
        <x:v>226</x:v>
      </x:c>
      <x:c r="B522" s="39" t="str">
        <x:v>网站运营</x:v>
      </x:c>
      <x:c r="C522" s="39" t="str">
        <x:v>可直接合并</x:v>
      </x:c>
      <x:c r="D522" s="39" t="str">
        <x:v>网站运营</x:v>
      </x:c>
      <x:c r="E522" s="42" t="n">
        <x:v>1088</x:v>
      </x:c>
      <x:c r="F522" s="39" t="str">
        <x:v>IC-L3-1239</x:v>
      </x:c>
      <x:c r="G522" s="42" t="n">
        <x:v>1239</x:v>
      </x:c>
      <x:c r="H522" s="39" t="str">
        <x:v>运营 &gt; 业务运营 &gt; 网站运营</x:v>
      </x:c>
      <x:c r="I522" s="39" t="str">
        <x:v>4-04-05-01</x:v>
      </x:c>
      <x:c r="J522" s="39" t="str">
        <x:v>计算机程序设计员</x:v>
      </x:c>
      <x:c r="K522" s="39" t="str">
        <x:v>网站运营是运营行业中不可或缺的一环，其核心在于通过优化网站功能与用户体验，促进用户增长及活跃度提升，从而实现商业目标。该职位不仅需要具备敏锐的数据分析能力，还需拥有良好的创新意识和服务意识，以确保网站能够满足用户需求并持续发展。作为网站运营人员，您将与产品、技术、市场等多个部门紧密合作，共同推动项目进展；同时，这一角色也为个人提供了广阔的职业发展空间，包括但…</x:v>
      </x:c>
      <x:c r="L522" s="39" t="str">
        <x:v>1. 负责网站日常运营管理，包括内容更新、活动策划与执行，以提高网站流量和用户粘性。 2. 运用数据分析工具监测网站运营状况，定期出具运营报告，为决策提供数据支持。 3. 与产品经理和技术团队沟通协作，提出改进建议，不断优化网站性能和用户体验。 4. 组织开展线上线下推广活动，扩大品牌影响力，吸引更多潜在用户访问网站。 5. 关注行业动态及竞品分析，及时调整…</x:v>
      </x:c>
    </x:row>
    <x:row r="523" ht="52" customHeight="1">
      <x:c r="A523" s="42" t="n">
        <x:v>227</x:v>
      </x:c>
      <x:c r="B523" s="39" t="str">
        <x:v>物流专员/助理</x:v>
      </x:c>
      <x:c r="C523" s="39" t="str">
        <x:v>可直接合并</x:v>
      </x:c>
      <x:c r="D523" s="39" t="str">
        <x:v>物流专员/助理</x:v>
      </x:c>
      <x:c r="E523" s="42" t="n">
        <x:v>765</x:v>
      </x:c>
      <x:c r="F523" s="39" t="str">
        <x:v>IC-L3-916</x:v>
      </x:c>
      <x:c r="G523" s="42" t="n">
        <x:v>916</x:v>
      </x:c>
      <x:c r="H523" s="39" t="str">
        <x:v>物流/供应链 &gt; 物流/运输 &gt; 物流专员/助理</x:v>
      </x:c>
      <x:c r="I523" s="39" t="str">
        <x:v>2-02-30-02</x:v>
      </x:c>
      <x:c r="J523" s="39" t="str">
        <x:v>物流工程技术人员</x:v>
      </x:c>
      <x:c r="K523" s="39" t="str">
        <x:v>物流专员/助理是物流与供应链行业中不可或缺的角色，负责确保货物从供应商到客户的高效流动。这一职位不仅需要处理日常的物流操作，如货物跟踪、库存管理和运输安排，还需与其他部门紧密合作，以优化整个供应链流程。通过精确的数据分析和有效的沟通技巧，物流专员/助理能够显著提高公司的运营效率和服务质量，为企业创造更多价值。此外，该职位是连接公司内部各部门及外部合作伙伴的关…</x:v>
      </x:c>
      <x:c r="L523" s="39" t="str">
        <x:v>1. 负责制定并执行详细的物流计划，包括货物的接收、储存、分拣、打包和发送等各个环节，确保所有流程符合公司标准和客户要求。 2. 定期监控库存水平，及时补充短缺商品，避免因缺货而影响销售或客户满意度；同时，合理控制库存成本，减少滞销品积压。 3. 与承运商建立稳定的合作关系，谈判最优的运输条件，确保货物安全准时地送达目的地。 4. 利用专业软件进行数据分析，…</x:v>
      </x:c>
    </x:row>
    <x:row r="524" ht="52" customHeight="1">
      <x:c r="A524" s="42" t="n">
        <x:v>227</x:v>
      </x:c>
      <x:c r="B524" s="39" t="str">
        <x:v>物流专员/助理</x:v>
      </x:c>
      <x:c r="C524" s="39" t="str">
        <x:v>可直接合并</x:v>
      </x:c>
      <x:c r="D524" s="39" t="str">
        <x:v>物流专员/助理</x:v>
      </x:c>
      <x:c r="E524" s="42" t="n">
        <x:v>778</x:v>
      </x:c>
      <x:c r="F524" s="39" t="str">
        <x:v>IC-L3-929</x:v>
      </x:c>
      <x:c r="G524" s="42" t="n">
        <x:v>929</x:v>
      </x:c>
      <x:c r="H524" s="39" t="str">
        <x:v>物流/供应链 &gt; 装卸搬运 &gt; 物流专员/助理</x:v>
      </x:c>
      <x:c r="I524" s="39" t="str">
        <x:v>2-02-30-02</x:v>
      </x:c>
      <x:c r="J524" s="39" t="str">
        <x:v>物流工程技术人员</x:v>
      </x:c>
      <x:c r="K524" s="39" t="str">
        <x:v>物流专员/助理是专门从事装卸搬运行业物流运作支持的专业人员。该职位的核心目标是通过高效协调物流流程，确保货物准时安全运输。在日常工作中，需要进行运输调度跟踪、装卸作业协调、物流单据处理以及异常情况处理等工作。</x:v>
      </x:c>
      <x:c r="L524" s="39" t="str">
        <x:v>1. 安排装卸搬运计划 2. 协调运输车辆调度 3. 跟踪货物运输状态 4. 核对出入库单据 5. 处理物流异常情况 6. 维护客户合作关系</x:v>
      </x:c>
    </x:row>
    <x:row r="525" ht="52" customHeight="1">
      <x:c r="A525" s="42" t="n">
        <x:v>228</x:v>
      </x:c>
      <x:c r="B525" s="39" t="str">
        <x:v>西点师</x:v>
      </x:c>
      <x:c r="C525" s="39" t="str">
        <x:v>可直接合并</x:v>
      </x:c>
      <x:c r="D525" s="39" t="str">
        <x:v>西点师</x:v>
      </x:c>
      <x:c r="E525" s="42" t="n">
        <x:v>830</x:v>
      </x:c>
      <x:c r="F525" s="39" t="str">
        <x:v>IC-L3-981</x:v>
      </x:c>
      <x:c r="G525" s="42" t="n">
        <x:v>981</x:v>
      </x:c>
      <x:c r="H525" s="39" t="str">
        <x:v>生活服务/零售 &gt; 服务员 &gt; 西点师</x:v>
      </x:c>
      <x:c r="I525" s="39" t="str">
        <x:v>4-03-02-05</x:v>
      </x:c>
      <x:c r="J525" s="39" t="str">
        <x:v>餐厅服务员</x:v>
      </x:c>
      <x:c r="K525" s="39" t="str">
        <x:v>西点师是专门从事烘焙甜点制作的专业人员。该职位的核心目标是通过精湛的烘焙技艺，为顾客提供高品质的西点产品。在日常工作中，需要进行配方研发、甜点制作、装饰摆盘以及设备维护等工作。</x:v>
      </x:c>
      <x:c r="L525" s="39" t="str">
        <x:v>1. 制作各类西式点心 2. 研发新品西点配方 3. 维护厨房设备清洁 4. 控制原材料库存量 5. 确保出品质量稳定 6. 遵守食品安全规范</x:v>
      </x:c>
    </x:row>
    <x:row r="526" ht="52" customHeight="1">
      <x:c r="A526" s="42" t="n">
        <x:v>228</x:v>
      </x:c>
      <x:c r="B526" s="39" t="str">
        <x:v>西点师</x:v>
      </x:c>
      <x:c r="C526" s="39" t="str">
        <x:v>可直接合并</x:v>
      </x:c>
      <x:c r="D526" s="39" t="str">
        <x:v>西点师</x:v>
      </x:c>
      <x:c r="E526" s="42" t="n">
        <x:v>1343</x:v>
      </x:c>
      <x:c r="F526" s="39" t="str">
        <x:v>IC-L3-1494</x:v>
      </x:c>
      <x:c r="G526" s="42" t="n">
        <x:v>1494</x:v>
      </x:c>
      <x:c r="H526" s="39" t="str">
        <x:v>餐饮 &gt; 后厨 &gt; 西点师</x:v>
      </x:c>
      <x:c r="I526" s="39" t="str">
        <x:v>4-03-02-05</x:v>
      </x:c>
      <x:c r="J526" s="39" t="str">
        <x:v>餐厅服务员</x:v>
      </x:c>
      <x:c r="K526" s="39" t="str">
        <x:v>西点师是餐饮行业中不可或缺的专业人才，主要负责制作各种西式甜点和糕点。在餐厅或酒店的后厨中，西点师不仅承担着满足顾客味蕾需求的重要任务，还扮演着提升品牌形象与竞争力的关键角色。他们通过精湛的技艺和创新思维，确保每一款产品都能达到高标准的质量要求，从而增强顾客满意度及忠诚度，为公司创造更多经济收益。此外，西点师还需与其他厨房工作人员密切合作，共同完成日常生产任…</x:v>
      </x:c>
      <x:c r="L526" s="39" t="str">
        <x:v>1. 精准掌握并执行各类西点配方，保证出品质量稳定且符合食品安全标准。 2. 根据市场需求变化定期研发新品，丰富菜单选择，提高顾客回头率。 3. 负责原材料采购计划的制定与实施，合理控制成本，避免浪费。 4. 与前厅服务人员沟通协调，了解顾客反馈，及时调整产品结构或制作流程。 5. 指导初级员工学习基本技能，培养其专业素养，维护良好的工作氛围。</x:v>
      </x:c>
    </x:row>
    <x:row r="527" ht="52" customHeight="1">
      <x:c r="A527" s="42" t="n">
        <x:v>229</x:v>
      </x:c>
      <x:c r="B527" s="39" t="str">
        <x:v>铣工</x:v>
      </x:c>
      <x:c r="C527" s="39" t="str">
        <x:v>可直接合并</x:v>
      </x:c>
      <x:c r="D527" s="39" t="str">
        <x:v>铣工</x:v>
      </x:c>
      <x:c r="E527" s="42" t="n">
        <x:v>679</x:v>
      </x:c>
      <x:c r="F527" s="39" t="str">
        <x:v>IC-L3-830</x:v>
      </x:c>
      <x:c r="G527" s="42" t="n">
        <x:v>830</x:v>
      </x:c>
      <x:c r="H527" s="39" t="str">
        <x:v>生产制造 &gt; 技工 &gt; 铣工</x:v>
      </x:c>
      <x:c r="I527" s="39" t="str">
        <x:v>6-31-01-01</x:v>
      </x:c>
      <x:c r="J527" s="39" t="str">
        <x:v>设备点检员</x:v>
      </x:c>
      <x:c r="K527" s="39" t="str">
        <x:v>铣工是专门从事金属零部件铣削加工的专业人员。该职位的核心目标是通过操作铣床设备，实现高精度零部件的加工制造。在日常工作中，需要进行图纸解读、工艺规划、铣床操作、质量检测及设备维护等工作。</x:v>
      </x:c>
      <x:c r="L527" s="39" t="str">
        <x:v>1. 操作铣床设备 2. 加工金属零件 3. 检查产品精度 4. 维护保养设备 5. 执行工艺规范 6. 记录生产数据</x:v>
      </x:c>
    </x:row>
    <x:row r="528" ht="52" customHeight="1">
      <x:c r="A528" s="42" t="n">
        <x:v>229</x:v>
      </x:c>
      <x:c r="B528" s="39" t="str">
        <x:v>铣工</x:v>
      </x:c>
      <x:c r="C528" s="39" t="str">
        <x:v>可直接合并</x:v>
      </x:c>
      <x:c r="D528" s="39" t="str">
        <x:v>铣工</x:v>
      </x:c>
      <x:c r="E528" s="42" t="n">
        <x:v>709</x:v>
      </x:c>
      <x:c r="F528" s="39" t="str">
        <x:v>IC-L3-860</x:v>
      </x:c>
      <x:c r="G528" s="42" t="n">
        <x:v>860</x:v>
      </x:c>
      <x:c r="H528" s="39" t="str">
        <x:v>生产制造 &gt; 机械加工 &gt; 铣工</x:v>
      </x:c>
      <x:c r="I528" s="39" t="str">
        <x:v>6-31-01-01</x:v>
      </x:c>
      <x:c r="J528" s="39" t="str">
        <x:v>设备点检员</x:v>
      </x:c>
      <x:c r="K528" s="39" t="str">
        <x:v>铣工是生产制造行业中不可或缺的专业技术人才，特别是在机械加工领域，他们通过精密操作各种铣床设备来实现产品的精确加工，确保产品质量与生产效率。该职位不仅要求具备扎实的理论基础，还需要丰富的实践经验，能够灵活应对生产过程中的各种挑战。 铣工的核心目标在于根据设计图纸或工艺文件的要求，运用高精度的加工技术和先进的铣削设备完成零件的加工任务，保证产品尺寸精度和表面光…</x:v>
      </x:c>
      <x:c r="L528" s="39" t="str">
        <x:v>1. 根据生产计划安排，正确选择并安装相应的刀具、夹具，调整机床参数，进行高效稳定的铣削作业。 2. 严格按照图纸和技术规范要求，执行零件的精确定位、装夹、切削等工序，确保加工精度和表面质量符合标准。 3. 定期维护保养所使用的铣床设备，检查其运行状态，预防故障发生，保障生产安全。 4. 记录生产数据，分析加工过程中的异常情况，提出改进建议以提高工作效率。 …</x:v>
      </x:c>
    </x:row>
    <x:row r="529" ht="52" customHeight="1">
      <x:c r="A529" s="42" t="n">
        <x:v>230</x:v>
      </x:c>
      <x:c r="B529" s="39" t="str">
        <x:v>项目工程师</x:v>
      </x:c>
      <x:c r="C529" s="39" t="str">
        <x:v>可直接合并</x:v>
      </x:c>
      <x:c r="D529" s="39" t="str">
        <x:v>项目工程师</x:v>
      </x:c>
      <x:c r="E529" s="42" t="n">
        <x:v>724</x:v>
      </x:c>
      <x:c r="F529" s="39" t="str">
        <x:v>IC-L3-875</x:v>
      </x:c>
      <x:c r="G529" s="42" t="n">
        <x:v>875</x:v>
      </x:c>
      <x:c r="H529" s="39" t="str">
        <x:v>生产制造 &gt; 生产/营运 &gt; 项目工程师</x:v>
      </x:c>
      <x:c r="I529" s="39" t="str">
        <x:v>2-02-30-04</x:v>
      </x:c>
      <x:c r="J529" s="39" t="str">
        <x:v>项目管理工程技术人员</x:v>
      </x:c>
      <x:c r="K529" s="39" t="str">
        <x:v>项目工程师是生产制造行业中不可或缺的专业人才，负责确保项目的顺利实施与完成。作为连接技术与管理的关键角色，项目工程师不仅需要具备扎实的技术背景，还应拥有出色的组织协调能力，以应对复杂多变的生产环境和客户需求。 在公司内部，项目工程师的核心目标在于通过优化生产工艺流程、提升产品质量及降低生产成本，为公司创造持续的竞争优势。通过对项目从启动到收尾的全程管理，项目…</x:v>
      </x:c>
      <x:c r="L529" s="39" t="str">
        <x:v>1. 负责制定详细的项目计划，包括时间表、预算和资源分配，确保项目按既定目标高效推进。 2. 监控项目执行过程中的关键指标，及时发现并解决可能出现的问题，保证项目质量符合客户要求。 3. 协调内外部资源，与供应商、合作伙伴以及公司内部各部门保持良好沟通，促进项目顺利进行。 4. 定期向管理层汇报项目进展情况，提出改进建议，协助制定长期战略规划。 5. 参与新…</x:v>
      </x:c>
    </x:row>
    <x:row r="530" ht="52" customHeight="1">
      <x:c r="A530" s="42" t="n">
        <x:v>230</x:v>
      </x:c>
      <x:c r="B530" s="39" t="str">
        <x:v>项目工程师</x:v>
      </x:c>
      <x:c r="C530" s="39" t="str">
        <x:v>可直接合并</x:v>
      </x:c>
      <x:c r="D530" s="39" t="str">
        <x:v>项目工程师</x:v>
      </x:c>
      <x:c r="E530" s="42" t="n">
        <x:v>1329</x:v>
      </x:c>
      <x:c r="F530" s="39" t="str">
        <x:v>IC-L3-1480</x:v>
      </x:c>
      <x:c r="G530" s="42" t="n">
        <x:v>1480</x:v>
      </x:c>
      <x:c r="H530" s="39" t="str">
        <x:v>项目经理/管理 &gt; 项目经理/管理 &gt; 项目工程师</x:v>
      </x:c>
      <x:c r="I530" s="39" t="str">
        <x:v>2-02-30-04</x:v>
      </x:c>
      <x:c r="J530" s="39" t="str">
        <x:v>项目管理工程技术人员</x:v>
      </x:c>
      <x:c r="K530" s="39" t="str">
        <x:v>项目工程师是专门从事工程项目规划与执行的专业人员。该职位的核心目标是通过协调技术资源和团队协作，确保项目按时保质完成。在日常工作中，需要进行项目计划制定、进度管控、质量监督以及跨部门沟通协调等工作。</x:v>
      </x:c>
      <x:c r="L530" s="39" t="str">
        <x:v>1. 编制项目实施方案 2. 协调项目资源分配 3. 监控项目进度质量 4. 处理项目技术问题 5. 编写项目验收报告 6. 优化项目管理流程</x:v>
      </x:c>
    </x:row>
    <x:row r="531" ht="52" customHeight="1">
      <x:c r="A531" s="42" t="n">
        <x:v>231</x:v>
      </x:c>
      <x:c r="B531" s="39" t="str">
        <x:v>消防安全</x:v>
      </x:c>
      <x:c r="C531" s="39" t="str">
        <x:v>条件合并（先修分类）</x:v>
      </x:c>
      <x:c r="D531" s="39" t="str">
        <x:v>消防安全</x:v>
      </x:c>
      <x:c r="E531" s="42" t="n">
        <x:v>446</x:v>
      </x:c>
      <x:c r="F531" s="39" t="str">
        <x:v>IC-L3-597</x:v>
      </x:c>
      <x:c r="G531" s="42" t="n">
        <x:v>597</x:v>
      </x:c>
      <x:c r="H531" s="39" t="str">
        <x:v>建筑/房地产 &gt; 建筑工程 &gt; 消防安全</x:v>
      </x:c>
      <x:c r="I531" s="39" t="str">
        <x:v>2-02-18-01</x:v>
      </x:c>
      <x:c r="J531" s="39" t="str">
        <x:v>建筑和市政设计工程技术人员</x:v>
      </x:c>
      <x:c r="K531" s="39" t="str">
        <x:v>消防安全专员是建筑与房地产行业中不可或缺的角色，他们负责确保所有建筑物的设计、施工及维护符合国家及地方的消防法规要求，对于保障人员生命安全和财产安全具有极其重要的作用。作为消防安全专家，其核心目标在于通过预防措施减少火灾风险，提高建筑物的安全性能，不仅能够有效保护企业和客户免受潜在损失，还能增强企业的社会责任感和市场竞争力。此外，消防安全专员还需与其他工程团…</x:v>
      </x:c>
      <x:c r="L531" s="39" t="str">
        <x:v>1. 负责审核建筑设计方案中的消防安全系统设计，确保其满足现行法律法规和技术规范的要求。 2. 定期组织并参与施工现场的安全检查，识别潜在的消防隐患并提出整改建议，直至问题得到彻底解决。 3. 协助制定和完善公司内部的消防安全管理制度和应急预案，定期开展员工消防安全培训，提升全员的安全意识和应急处理能力。 4. 与政府相关部门保持良好沟通，及时了解最新的消防…</x:v>
      </x:c>
    </x:row>
    <x:row r="532" ht="52" customHeight="1">
      <x:c r="A532" s="42" t="n">
        <x:v>231</x:v>
      </x:c>
      <x:c r="B532" s="39" t="str">
        <x:v>消防安全</x:v>
      </x:c>
      <x:c r="C532" s="39" t="str">
        <x:v>条件合并（先修分类）</x:v>
      </x:c>
      <x:c r="D532" s="39" t="str">
        <x:v>消防安全</x:v>
      </x:c>
      <x:c r="E532" s="42" t="n">
        <x:v>728</x:v>
      </x:c>
      <x:c r="F532" s="39" t="str">
        <x:v>IC-L3-879</x:v>
      </x:c>
      <x:c r="G532" s="42" t="n">
        <x:v>879</x:v>
      </x:c>
      <x:c r="H532" s="39" t="str">
        <x:v>生产制造 &gt; 生产安全 &gt; 消防安全</x:v>
      </x:c>
      <x:c r="I532" s="39" t="str">
        <x:v>2-02-28-03</x:v>
      </x:c>
      <x:c r="J532" s="39" t="str">
        <x:v>安全生产管理工程技术人员</x:v>
      </x:c>
      <x:c r="K532" s="39" t="str">
        <x:v>消防安全专员在生产制造业中扮演着至关重要的角色，他们负责确保生产环境的安全，预防火灾事故的发生，保障员工的生命安全与企业财产不受损失。作为公司安全生产体系的重要组成部分，消防安全专员通过制定并执行消防安全管理制度、定期检查消防设施设备、组织消防演练等方式，提高全体员工的消防安全意识，减少潜在的安全隐患，为公司的持续稳定发展提供坚实的保障。此外，消防安全专员还…</x:v>
      </x:c>
      <x:c r="L532" s="39" t="str">
        <x:v>1. 制定和完善消防安全管理规章制度，确保所有操作符合国家法律法规及公司内部标准，降低火灾风险。 2. 定期进行消防设施的维护保养和检测工作，保证其处于良好状态，一旦发现故障能够及时修复或更换，确保紧急情况下可以正常运作。 3. 组织开展各类消防安全培训活动，提升员工应对突发事件的能力，指导各部门正确使用消防器材，熟悉逃生路线。 4. 对生产现场进行全面的安…</x:v>
      </x:c>
    </x:row>
    <x:row r="533" ht="52" customHeight="1">
      <x:c r="A533" s="42" t="n">
        <x:v>232</x:v>
      </x:c>
      <x:c r="B533" s="39" t="str">
        <x:v>销售工程师</x:v>
      </x:c>
      <x:c r="C533" s="39" t="str">
        <x:v>可直接合并</x:v>
      </x:c>
      <x:c r="D533" s="39" t="str">
        <x:v>销售工程师</x:v>
      </x:c>
      <x:c r="E533" s="42" t="n">
        <x:v>294</x:v>
      </x:c>
      <x:c r="F533" s="39" t="str">
        <x:v>IC-L3-445</x:v>
      </x:c>
      <x:c r="G533" s="42" t="n">
        <x:v>445</x:v>
      </x:c>
      <x:c r="H533" s="39" t="str">
        <x:v>销售/客服 &gt; 销售人员 &gt; 销售工程师</x:v>
      </x:c>
      <x:c r="I533" s="39" t="str">
        <x:v>4-04-05-01</x:v>
      </x:c>
      <x:c r="J533" s="39" t="str">
        <x:v>计算机程序设计员</x:v>
      </x:c>
      <x:c r="K533" s="39" t="str">
        <x:v>销售工程师在销售/客服行业中扮演着至关重要的角色，他们不仅是公司与客户之间沟通的桥梁，也是技术与市场信息传递的关键节点。通过深入了解客户需求并提供定制化的解决方案，销售工程师能够有效促进产品或服务的销售，提升公司在目标市场的竞争力和品牌影响力。此外，销售工程师还需与内部的技术支持、生产制造等多部门紧密合作，确保项目的顺利推进；同时，该职位也提供了广阔的职业发…</x:v>
      </x:c>
      <x:c r="L533" s="39" t="str">
        <x:v>1. 负责开发新客户资源，维护现有客户关系，定期拜访客户，了解其需求变化，及时反馈至相关部门，以提高客户满意度和忠诚度。 2. 根据公司年度销售计划，制定个人月度及季度销售目标，通过有效沟通技巧和谈判策略，完成既定业绩指标。 3. 参与项目投标工作，撰写技术方案书，配合技术支持人员完成现场演示和技术交流活动，提高中标率。 4. 对市场动态保持高度敏感，收集同…</x:v>
      </x:c>
    </x:row>
    <x:row r="534" ht="52" customHeight="1">
      <x:c r="A534" s="42" t="n">
        <x:v>232</x:v>
      </x:c>
      <x:c r="B534" s="39" t="str">
        <x:v>销售工程师</x:v>
      </x:c>
      <x:c r="C534" s="39" t="str">
        <x:v>可直接合并</x:v>
      </x:c>
      <x:c r="D534" s="39" t="str">
        <x:v>销售工程师</x:v>
      </x:c>
      <x:c r="E534" s="42" t="n">
        <x:v>665</x:v>
      </x:c>
      <x:c r="F534" s="39" t="str">
        <x:v>IC-L3-816</x:v>
      </x:c>
      <x:c r="G534" s="42" t="n">
        <x:v>816</x:v>
      </x:c>
      <x:c r="H534" s="39" t="str">
        <x:v>生产制造 &gt; 工程/机械 &gt; 销售工程师</x:v>
      </x:c>
      <x:c r="I534" s="39" t="str">
        <x:v>4-04-05-01</x:v>
      </x:c>
      <x:c r="J534" s="39" t="str">
        <x:v>计算机程序设计员</x:v>
      </x:c>
      <x:c r="K534" s="39" t="str">
        <x:v>销售工程师是专门从事工程机械产品销售和技术服务的专业人员。该职位的核心目标是通过专业的产品方案设计和客户需求分析，实现销售业绩增长和市场占有率提升。在日常工作中，需要进行客户拜访、技术方案演示、报价谈判、合同签订及售后支持等工作。</x:v>
      </x:c>
      <x:c r="L534" s="39" t="str">
        <x:v>1. 开发工程客户资源 2. 推广机械产品方案 3. 制定技术销售策略 4. 跟进项目投标流程 5. 维护客户技术关系 6. 完成销售业绩目标</x:v>
      </x:c>
    </x:row>
    <x:row r="535" ht="52" customHeight="1">
      <x:c r="A535" s="42" t="n">
        <x:v>233</x:v>
      </x:c>
      <x:c r="B535" s="39" t="str">
        <x:v>销售经理</x:v>
      </x:c>
      <x:c r="C535" s="39" t="str">
        <x:v>可直接合并</x:v>
      </x:c>
      <x:c r="D535" s="39" t="str">
        <x:v>销售经理</x:v>
      </x:c>
      <x:c r="E535" s="42" t="n">
        <x:v>296</x:v>
      </x:c>
      <x:c r="F535" s="39" t="str">
        <x:v>IC-L3-447</x:v>
      </x:c>
      <x:c r="G535" s="42" t="n">
        <x:v>447</x:v>
      </x:c>
      <x:c r="H535" s="39" t="str">
        <x:v>销售/客服 &gt; 销售人员 &gt; 销售经理</x:v>
      </x:c>
      <x:c r="I535" s="39" t="str">
        <x:v>4-01-02-01</x:v>
      </x:c>
      <x:c r="J535" s="39" t="str">
        <x:v>营销员</x:v>
      </x:c>
      <x:c r="K535" s="39" t="str">
        <x:v>销售经理是专门从事销售团队管理与业务拓展的专业人员。该职位的核心目标是通过制定销售策略和领导销售团队，实现公司业绩目标与市场份额增长。在日常工作中，需要进行客户开发、销售计划制定、团队绩效管理及市场分析等工作。</x:v>
      </x:c>
      <x:c r="L535" s="39" t="str">
        <x:v>1. 制定销售策略 2. 管理销售团队 3. 开拓新客户资源 4. 维护重要客户关系 5. 完成销售目标 6. 分析市场趋势</x:v>
      </x:c>
    </x:row>
    <x:row r="536" ht="52" customHeight="1">
      <x:c r="A536" s="42" t="n">
        <x:v>233</x:v>
      </x:c>
      <x:c r="B536" s="39" t="str">
        <x:v>销售经理</x:v>
      </x:c>
      <x:c r="C536" s="39" t="str">
        <x:v>可直接合并</x:v>
      </x:c>
      <x:c r="D536" s="39" t="str">
        <x:v>销售经理</x:v>
      </x:c>
      <x:c r="E536" s="42" t="n">
        <x:v>332</x:v>
      </x:c>
      <x:c r="F536" s="39" t="str">
        <x:v>IC-L3-483</x:v>
      </x:c>
      <x:c r="G536" s="42" t="n">
        <x:v>483</x:v>
      </x:c>
      <x:c r="H536" s="39" t="str">
        <x:v>销售/客服 &gt; 销售高级管理 &gt; 销售经理</x:v>
      </x:c>
      <x:c r="I536" s="39" t="str">
        <x:v>4-01-02-01</x:v>
      </x:c>
      <x:c r="J536" s="39" t="str">
        <x:v>营销员</x:v>
      </x:c>
      <x:c r="K536" s="39" t="str">
        <x:v>销售经理是销售/客服行业中至关重要的高级管理职位，负责领导销售团队实现公司设定的业绩目标。作为销售部门的灵魂人物，他们不仅需要具备卓越的市场洞察力和战略规划能力，还需拥有出色的沟通技巧与谈判艺术，以确保公司产品或服务能够顺利进入目标市场并获得客户的认可和支持。 该职位的核心目标在于制定并执行有效的销售策略，通过分析市场趋势、竞争对手动态及客户需求，推动团队达…</x:v>
      </x:c>
      <x:c r="L536" s="39" t="str">
        <x:v>1. 制定并实施销售计划，确保完成公司下达的各项销售任务，定期向高层汇报业绩进展。 2. 管理和培训销售团队，提高团队整体的专业水平和服务质量，建立高效的工作流程。 3. 分析市场数据，识别潜在商机，调整销售策略以适应不断变化的市场需求。 4. 维护现有客户关系，积极开发新客户资源，构建稳定的销售渠道网络。 5. 与其他部门协调配合，解决销售过程中遇到的问题…</x:v>
      </x:c>
    </x:row>
    <x:row r="537" ht="52" customHeight="1">
      <x:c r="A537" s="42" t="n">
        <x:v>234</x:v>
      </x:c>
      <x:c r="B537" s="39" t="str">
        <x:v>销售助理</x:v>
      </x:c>
      <x:c r="C537" s="39" t="str">
        <x:v>可直接合并</x:v>
      </x:c>
      <x:c r="D537" s="39" t="str">
        <x:v>销售助理</x:v>
      </x:c>
      <x:c r="E537" s="42" t="n">
        <x:v>299</x:v>
      </x:c>
      <x:c r="F537" s="39" t="str">
        <x:v>IC-L3-450</x:v>
      </x:c>
      <x:c r="G537" s="42" t="n">
        <x:v>450</x:v>
      </x:c>
      <x:c r="H537" s="39" t="str">
        <x:v>销售/客服 &gt; 销售人员 &gt; 销售助理</x:v>
      </x:c>
      <x:c r="I537" s="39" t="str">
        <x:v>4-01-02-01</x:v>
      </x:c>
      <x:c r="J537" s="39" t="str">
        <x:v>营销员</x:v>
      </x:c>
      <x:c r="K537" s="39" t="str">
        <x:v>销售助理是专门从事销售支持工作的专业人员。该职位的核心目标是通过高效的后勤保障和客户服务，协助销售团队提升业绩。在日常工作中，需要进行订单处理、客户资料管理、销售数据统计及部门协调等工作。</x:v>
      </x:c>
      <x:c r="L537" s="39" t="str">
        <x:v>1. 协助销售团队工作 2. 处理销售订单流程 3. 维护客户资料信息 4. 准备销售数据报表 5. 跟进客户售后服务 6. 协调部门沟通对接</x:v>
      </x:c>
    </x:row>
    <x:row r="538" ht="52" customHeight="1">
      <x:c r="A538" s="42" t="n">
        <x:v>234</x:v>
      </x:c>
      <x:c r="B538" s="39" t="str">
        <x:v>销售助理</x:v>
      </x:c>
      <x:c r="C538" s="39" t="str">
        <x:v>可直接合并</x:v>
      </x:c>
      <x:c r="D538" s="39" t="str">
        <x:v>销售助理</x:v>
      </x:c>
      <x:c r="E538" s="42" t="n">
        <x:v>313</x:v>
      </x:c>
      <x:c r="F538" s="39" t="str">
        <x:v>IC-L3-464</x:v>
      </x:c>
      <x:c r="G538" s="42" t="n">
        <x:v>464</x:v>
      </x:c>
      <x:c r="H538" s="39" t="str">
        <x:v>销售/客服 &gt; 销售行政及商务 &gt; 销售助理</x:v>
      </x:c>
      <x:c r="I538" s="39" t="str">
        <x:v>4-01-02-01</x:v>
      </x:c>
      <x:c r="J538" s="39" t="str">
        <x:v>营销员</x:v>
      </x:c>
      <x:c r="K538" s="39" t="str">
        <x:v>销售助理是销售与客服行业中不可或缺的角色，主要负责协助销售团队完成日常行政事务及客户关系维护工作，确保销售流程顺畅运行。该职位不仅要求具备良好的沟通技巧和服务意识，还需要有较强的组织协调能力和解决问题的能力，以适应快节奏的工作环境。 作为销售团队的重要一员，销售助理的核心目标在于通过高效地处理订单、跟进客户反馈、整理市场数据等任务，提高工作效率，减少错误发生…</x:v>
      </x:c>
      <x:c r="L538" s="39" t="str">
        <x:v>1. 负责收集并录入客户资料，建立和完善客户档案系统，确保信息准确无误。 2. 协助销售人员准备报价单、合同等文件，跟踪订单状态直至完成交付，保证业务流程顺利进行。 3. 定期回访客户，了解其需求变化，及时解决客户遇到的问题或投诉，增强客户粘性。 4. 整理分析销售报表，提炼关键指标，为管理层制定策略提供依据。 5. 参与组织各类销售会议及培训活动，促进团队…</x:v>
      </x:c>
    </x:row>
    <x:row r="539" ht="52" customHeight="1">
      <x:c r="A539" s="42" t="n">
        <x:v>235</x:v>
      </x:c>
      <x:c r="B539" s="39" t="str">
        <x:v>心理医生</x:v>
      </x:c>
      <x:c r="C539" s="39" t="str">
        <x:v>可直接合并</x:v>
      </x:c>
      <x:c r="D539" s="39" t="str">
        <x:v>心理医生</x:v>
      </x:c>
      <x:c r="E539" s="42" t="n">
        <x:v>174</x:v>
      </x:c>
      <x:c r="F539" s="39" t="str">
        <x:v>IC-L3-325</x:v>
      </x:c>
      <x:c r="G539" s="42" t="n">
        <x:v>325</x:v>
      </x:c>
      <x:c r="H539" s="39" t="str">
        <x:v>医药/医疗 &gt; 医生/医技 &gt; 心理医生</x:v>
      </x:c>
      <x:c r="I539" s="39" t="str">
        <x:v>2-05-01-19</x:v>
      </x:c>
      <x:c r="J539" s="39" t="str">
        <x:v>全科医师</x:v>
      </x:c>
      <x:c r="K539" s="39" t="str">
        <x:v>心理医生是医药/医疗行业中不可或缺的专业人才，他们不仅为患者提供心理健康服务，还在预防疾病、促进健康方面发挥着重要作用。心理医生作为精神卫生领域的专家，他们的工作能够帮助个人克服情感障碍，提高生活质量，同时也能增强医疗机构的服务能力和社会影响力。此外，心理医生还经常与多学科团队合作，共同制定综合治疗方案，这不仅有助于提升治疗效果，也为个人职业发展提供了广阔的…</x:v>
      </x:c>
      <x:c r="L539" s="39" t="str">
        <x:v>1. 通过面谈、评估等方式了解患者的心理状态，诊断并制定个性化的心理治疗计划，以改善患者的情绪和行为问题。 2. 定期与患者进行沟通交流，监测其心理健康状况的变化，及时调整治疗策略，确保治疗的有效性和安全性。 3. 积极参与跨学科团队会议，与其他医疗专业人员（如精神科医生、护士等）合作，为患者提供全面的医疗服务。 4. 开展心理健康教育活动，向公众普及心理卫…</x:v>
      </x:c>
    </x:row>
    <x:row r="540" ht="52" customHeight="1">
      <x:c r="A540" s="42" t="n">
        <x:v>235</x:v>
      </x:c>
      <x:c r="B540" s="39" t="str">
        <x:v>心理医生</x:v>
      </x:c>
      <x:c r="C540" s="39" t="str">
        <x:v>可直接合并</x:v>
      </x:c>
      <x:c r="D540" s="39" t="str">
        <x:v>心理医生</x:v>
      </x:c>
      <x:c r="E540" s="42" t="n">
        <x:v>221</x:v>
      </x:c>
      <x:c r="F540" s="39" t="str">
        <x:v>IC-L3-372</x:v>
      </x:c>
      <x:c r="G540" s="42" t="n">
        <x:v>372</x:v>
      </x:c>
      <x:c r="H540" s="39" t="str">
        <x:v>医药/医疗 &gt; 护理/护士 &gt; 心理医生</x:v>
      </x:c>
      <x:c r="I540" s="39" t="str">
        <x:v>2-05-01-19</x:v>
      </x:c>
      <x:c r="J540" s="39" t="str">
        <x:v>全科医师</x:v>
      </x:c>
      <x:c r="K540" s="39" t="str">
        <x:v>心理医生是专门从事心理健康评估与治疗的专业人员。该职位的核心目标是通过专业心理干预，帮助患者改善心理状态并促进康复。在日常工作中，需要进行心理评估、制定治疗计划、开展心理咨询及危机干预等工作。</x:v>
      </x:c>
      <x:c r="L540" s="39" t="str">
        <x:v>1. 评估患者心理状态 2. 制定心理治疗方案 3. 实施心理干预措施 4. 提供心理健康教育 5. 记录治疗过程数据 6. 参与多学科会诊</x:v>
      </x:c>
    </x:row>
    <x:row r="541" ht="52" customHeight="1">
      <x:c r="A541" s="42" t="n">
        <x:v>236</x:v>
      </x:c>
      <x:c r="B541" s="39" t="str">
        <x:v>心理咨询师</x:v>
      </x:c>
      <x:c r="C541" s="39" t="str">
        <x:v>条件合并（先修分类）</x:v>
      </x:c>
      <x:c r="D541" s="39" t="str">
        <x:v>心理咨询师</x:v>
      </x:c>
      <x:c r="E541" s="42" t="n">
        <x:v>175</x:v>
      </x:c>
      <x:c r="F541" s="39" t="str">
        <x:v>IC-L3-326</x:v>
      </x:c>
      <x:c r="G541" s="42" t="n">
        <x:v>326</x:v>
      </x:c>
      <x:c r="H541" s="39" t="str">
        <x:v>医药/医疗 &gt; 医生/医技 &gt; 心理咨询师</x:v>
      </x:c>
      <x:c r="I541" s="39" t="str">
        <x:v>2-05-01-19</x:v>
      </x:c>
      <x:c r="J541" s="39" t="str">
        <x:v>全科医师</x:v>
      </x:c>
      <x:c r="K541" s="39" t="str">
        <x:v>心理咨询师是医药/医疗行业中不可或缺的专业人员，他们通过专业的心理评估和干预技术，帮助患者解决心理问题，提高生活质量。在医院或诊所中，心理咨询师不仅为患者提供心理支持，还与临床医生密切合作，确保患者的身心健康得到全面关注。此外，心理咨询师的角色对于构建和谐的医患关系、提升医疗服务质量和患者满意度具有重要意义。 作为心理健康领域的专家，心理咨询师的核心目标是通…</x:v>
      </x:c>
      <x:c r="L541" s="39" t="str">
        <x:v>1. 进行心理评估，了解来访者的基本情况及心理状态，为其制定个性化的咨询计划。 2. 采用科学的方法和技术开展个体或团体心理咨询，帮助来访者调整情绪，改善人际关系，解决心理困扰。 3. 定期跟踪来访者的咨询进展，记录咨询过程，评估咨询效果，及时调整治疗策略。 4. 协同其他医护人员，参与多学科诊疗团队，提供专业的心理支持与建议。 5. 开展心理健康宣传教育活…</x:v>
      </x:c>
    </x:row>
    <x:row r="542" ht="52" customHeight="1">
      <x:c r="A542" s="42" t="n">
        <x:v>236</x:v>
      </x:c>
      <x:c r="B542" s="39" t="str">
        <x:v>心理咨询师</x:v>
      </x:c>
      <x:c r="C542" s="39" t="str">
        <x:v>条件合并（先修分类）</x:v>
      </x:c>
      <x:c r="D542" s="39" t="str">
        <x:v>心理咨询师</x:v>
      </x:c>
      <x:c r="E542" s="42" t="n">
        <x:v>794</x:v>
      </x:c>
      <x:c r="F542" s="39" t="str">
        <x:v>IC-L3-945</x:v>
      </x:c>
      <x:c r="G542" s="42" t="n">
        <x:v>945</x:v>
      </x:c>
      <x:c r="H542" s="39" t="str">
        <x:v>生活服务/零售 &gt; 保健理疗 &gt; 心理咨询师</x:v>
      </x:c>
      <x:c r="I542" s="39" t="str">
        <x:v>2-07-11-03</x:v>
      </x:c>
      <x:c r="J542" s="39" t="str">
        <x:v>心理咨询师</x:v>
      </x:c>
      <x:c r="K542" s="39" t="str">
        <x:v>心理咨询师是专门从事心理健康服务的专业人员。该职位的核心目标是通过专业的心理咨询技术，帮助客户改善心理状态并提升生活质量。在日常工作中，需要进行心理健康评估、制定个性化治疗方案、开展心理疏导和认知行为治疗等工作。</x:v>
      </x:c>
      <x:c r="L542" s="39" t="str">
        <x:v>1. 提供心理咨询服务 2. 评估客户心理状态 3. 制定心理干预方案 4. 开展心理疏导工作 5. 记录咨询过程内容 6. 跟进康复效果评估</x:v>
      </x:c>
    </x:row>
    <x:row r="543" ht="52" customHeight="1">
      <x:c r="A543" s="42" t="n">
        <x:v>237</x:v>
      </x:c>
      <x:c r="B543" s="39" t="str">
        <x:v>新媒体运营</x:v>
      </x:c>
      <x:c r="C543" s="39" t="str">
        <x:v>条件合并（先修分类）</x:v>
      </x:c>
      <x:c r="D543" s="39" t="str">
        <x:v>新媒体运营</x:v>
      </x:c>
      <x:c r="E543" s="42" t="n">
        <x:v>1096</x:v>
      </x:c>
      <x:c r="F543" s="39" t="str">
        <x:v>IC-L3-1247</x:v>
      </x:c>
      <x:c r="G543" s="42" t="n">
        <x:v>1247</x:v>
      </x:c>
      <x:c r="H543" s="39" t="str">
        <x:v>运营 &gt; 内容运营 &gt; 新媒体运营</x:v>
      </x:c>
      <x:c r="I543" s="39" t="str">
        <x:v>4-04-05-01</x:v>
      </x:c>
      <x:c r="J543" s="39" t="str">
        <x:v>计算机程序设计员</x:v>
      </x:c>
      <x:c r="K543" s="39" t="str">
        <x:v>新媒体运营是内容运营领域中不可或缺的一部分，随着互联网的快速发展，新媒体平台成为了企业与用户沟通的重要桥梁。该职位不仅能够帮助企业建立品牌形象，还能通过高质量的内容吸引并维护用户群体，从而提升企业的市场竞争力。新媒体运营人员负责制定和执行新媒体策略，以实现用户增长、品牌曝光及销售转化等核心目标。他们通过对用户行为数据的分析，不断优化内容形式和传播渠道，确保公…</x:v>
      </x:c>
      <x:c r="L543" s="39" t="str">
        <x:v>1. 负责公司官方账号（微博、微信公众号、抖音等）的日常运营工作，包括但不限于内容策划、编辑、发布及互动管理，以提高粉丝活跃度和忠诚度。 2. 根据公司业务特点及目标人群特征，定期策划并实施线上活动，通过创新的营销手段促进品牌传播，扩大影响力。 3. 对新媒体平台的数据进行跟踪记录，利用数据分析工具评估推广效果，及时调整优化策略，确保各项KPI指标达成。 4…</x:v>
      </x:c>
    </x:row>
    <x:row r="544" ht="52" customHeight="1">
      <x:c r="A544" s="42" t="n">
        <x:v>237</x:v>
      </x:c>
      <x:c r="B544" s="39" t="str">
        <x:v>新媒体运营</x:v>
      </x:c>
      <x:c r="C544" s="39" t="str">
        <x:v>条件合并（先修分类）</x:v>
      </x:c>
      <x:c r="D544" s="39" t="str">
        <x:v>新媒体运营</x:v>
      </x:c>
      <x:c r="E544" s="42" t="n">
        <x:v>1180</x:v>
      </x:c>
      <x:c r="F544" s="39" t="str">
        <x:v>IC-L3-1331</x:v>
      </x:c>
      <x:c r="G544" s="42" t="n">
        <x:v>1331</x:v>
      </x:c>
      <x:c r="H544" s="39" t="str">
        <x:v>通信/电子 &gt; 电子/电器/仪器仪表 &gt; 新媒体运营</x:v>
      </x:c>
      <x:c r="I544" s="39" t="str">
        <x:v>2-02-09-02</x:v>
      </x:c>
      <x:c r="J544" s="39" t="str">
        <x:v>电子元器件工程技术人员</x:v>
      </x:c>
      <x:c r="K544" s="39" t="str">
        <x:v>新媒体运营是专门从事企业数字媒体内容策划与传播的专业人员。该职位的核心目标是通过新媒体平台运营，提升品牌影响力并促进产品销售。在日常工作中，需要进行内容创意策划、社交媒体运营、数据分析及用户互动管理等工作。</x:v>
      </x:c>
      <x:c r="L544" s="39" t="str">
        <x:v>1. 策划品牌推广内容 2. 运营维护社交媒体 3. 制作行业相关图文 4. 分析运营数据指标 5. 策划线上营销活动 6. 监测行业热点趋势</x:v>
      </x:c>
    </x:row>
    <x:row r="545" ht="52" customHeight="1">
      <x:c r="A545" s="42" t="n">
        <x:v>238</x:v>
      </x:c>
      <x:c r="B545" s="39" t="str">
        <x:v>新能源电池工程师</x:v>
      </x:c>
      <x:c r="C545" s="39" t="str">
        <x:v>条件合并（先修分类）</x:v>
      </x:c>
      <x:c r="D545" s="39" t="str">
        <x:v>新能源电池工程师</x:v>
      </x:c>
      <x:c r="E545" s="42" t="n">
        <x:v>557</x:v>
      </x:c>
      <x:c r="F545" s="39" t="str">
        <x:v>IC-L3-708</x:v>
      </x:c>
      <x:c r="G545" s="42" t="n">
        <x:v>708</x:v>
      </x:c>
      <x:c r="H545" s="39" t="str">
        <x:v>汽车 &gt; 新能源汽车 &gt; 新能源电池工程师</x:v>
      </x:c>
      <x:c r="I545" s="39" t="str">
        <x:v>2-02-38-05</x:v>
      </x:c>
      <x:c r="J545" s="39" t="str">
        <x:v>智能制造工程技术人员</x:v>
      </x:c>
      <x:c r="K545" s="39" t="str">
        <x:v>新能源电池工程师是新能源汽车行业中的关键角色，负责研发和优化电动汽车的动力源——电池系统。随着全球对环保和可持续能源需求的增长，该职位对于推动技术进步和市场发展至关重要，直接关系到汽车性能、续航能力和成本控制等多个方面。 作为新能源电池工程师，其核心目标在于通过技术创新提高电池的能量密度、安全性和循环寿命，降低生产成本，确保公司产品在激烈的市场竞争中保持领先…</x:v>
      </x:c>
      <x:c r="L545" s="39" t="str">
        <x:v>1. 负责新能源汽车动力电池系统的研发工作，包括但不限于电池选型、参数匹配及性能测试等，确保符合项目要求。 2. 对现有电池技术进行持续改进，探索新材料、新工艺的应用可能性，提升电池综合性能指标。 3. 参与制定并执行电池相关标准规范，保证产品质量与安全性；同时协助解决生产过程中遇到的技术难题。 4. 与跨部门团队协作，确保电池系统与整车其他部件的有效集成，…</x:v>
      </x:c>
    </x:row>
    <x:row r="546" ht="52" customHeight="1">
      <x:c r="A546" s="42" t="n">
        <x:v>238</x:v>
      </x:c>
      <x:c r="B546" s="39" t="str">
        <x:v>新能源电池工程师</x:v>
      </x:c>
      <x:c r="C546" s="39" t="str">
        <x:v>条件合并（先修分类）</x:v>
      </x:c>
      <x:c r="D546" s="39" t="str">
        <x:v>新能源电池工程师</x:v>
      </x:c>
      <x:c r="E546" s="42" t="n">
        <x:v>580</x:v>
      </x:c>
      <x:c r="F546" s="39" t="str">
        <x:v>IC-L3-731</x:v>
      </x:c>
      <x:c r="G546" s="42" t="n">
        <x:v>731</x:v>
      </x:c>
      <x:c r="H546" s="39" t="str">
        <x:v>汽车 &gt; 汽车研发设计 &gt; 新能源电池工程师</x:v>
      </x:c>
      <x:c r="I546" s="39" t="str">
        <x:v>2-02-07-11</x:v>
      </x:c>
      <x:c r="J546" s="39" t="str">
        <x:v>汽车工程技术人员</x:v>
      </x:c>
      <x:c r="K546" s="39" t="str">
        <x:v>新能源电池工程师是汽车行业向绿色转型的关键角色之一。随着全球对于减少碳排放、提高能源利用效率的需求日益增长，新能源电池技术成为推动汽车工业革新的核心力量。作为新能源电池工程师，不仅需要具备扎实的专业知识，还需拥有创新思维与实践能力，以应对快速变化的技术挑战。 本职位的核心目标在于开发高效、安全、长寿命的新能源电池系统，确保产品性能达到或超越行业标准，同时降低…</x:v>
      </x:c>
      <x:c r="L546" s="39" t="str">
        <x:v>1. 负责新能源汽车电池系统的整体设计与开发工作，确保设计方案符合市场需求并满足性能指标要求。 2. 对现有电池产品进行性能测试与分析，识别问题根源并提出改进措施，持续提升产品质量和可靠性。 3. 与供应商沟通协作，评估新型电池材料的应用潜力，推动技术创新与应用落地。 4. 编写技术文档，记录实验数据和研究过程，为后续开发提供参考依据。 5. 关注行业动态，…</x:v>
      </x:c>
    </x:row>
    <x:row r="547" ht="52" customHeight="1">
      <x:c r="A547" s="42" t="n">
        <x:v>239</x:v>
      </x:c>
      <x:c r="B547" s="39" t="str">
        <x:v>新能源电机工程师</x:v>
      </x:c>
      <x:c r="C547" s="39" t="str">
        <x:v>条件合并（先修分类）</x:v>
      </x:c>
      <x:c r="D547" s="39" t="str">
        <x:v>新能源电机工程师</x:v>
      </x:c>
      <x:c r="E547" s="42" t="n">
        <x:v>556</x:v>
      </x:c>
      <x:c r="F547" s="39" t="str">
        <x:v>IC-L3-707</x:v>
      </x:c>
      <x:c r="G547" s="42" t="n">
        <x:v>707</x:v>
      </x:c>
      <x:c r="H547" s="39" t="str">
        <x:v>汽车 &gt; 新能源汽车 &gt; 新能源电机工程师</x:v>
      </x:c>
      <x:c r="I547" s="39" t="str">
        <x:v>2-02-38-05</x:v>
      </x:c>
      <x:c r="J547" s="39" t="str">
        <x:v>智能制造工程技术人员</x:v>
      </x:c>
      <x:c r="K547" s="39" t="str">
        <x:v>随着全球对环保与可持续发展的重视，新能源汽车行业正经历前所未有的发展机遇。作为新能源电机工程师，您将处于这一变革的前沿，负责开发高效、可靠的动力系统，推动电动汽车技术的进步。您的工作不仅能够促进公司产品性能的提升，还有助于降低生产成本、缩短研发周期，从而增强企业在市场上的竞争力。此外，新能源电机工程师还将与其他部门如设计、制造、质量控制等紧密合作，共同解决项…</x:v>
      </x:c>
      <x:c r="L547" s="39" t="str">
        <x:v>1. 负责新能源汽车电机的设计与优化，确保其满足性能指标要求，提高车辆的整体效能。 2. 进行电机控制系统的研究与开发，探索新型控制策略以改善驱动系统的响应速度及稳定性。 3. 协同供应商评估原材料质量，参与电机样机的测试验证，及时反馈并解决出现的问题。 4. 编写详细的实验报告和技术文档，为后续的产品迭代提供数据支持。 5. 关注行业动态和技术趋势，持续引…</x:v>
      </x:c>
    </x:row>
    <x:row r="548" ht="52" customHeight="1">
      <x:c r="A548" s="42" t="n">
        <x:v>239</x:v>
      </x:c>
      <x:c r="B548" s="39" t="str">
        <x:v>新能源电机工程师</x:v>
      </x:c>
      <x:c r="C548" s="39" t="str">
        <x:v>条件合并（先修分类）</x:v>
      </x:c>
      <x:c r="D548" s="39" t="str">
        <x:v>新能源电机工程师</x:v>
      </x:c>
      <x:c r="E548" s="42" t="n">
        <x:v>579</x:v>
      </x:c>
      <x:c r="F548" s="39" t="str">
        <x:v>IC-L3-730</x:v>
      </x:c>
      <x:c r="G548" s="42" t="n">
        <x:v>730</x:v>
      </x:c>
      <x:c r="H548" s="39" t="str">
        <x:v>汽车 &gt; 汽车研发设计 &gt; 新能源电机工程师</x:v>
      </x:c>
      <x:c r="I548" s="39" t="str">
        <x:v>2-02-07-11</x:v>
      </x:c>
      <x:c r="J548" s="39" t="str">
        <x:v>汽车工程技术人员</x:v>
      </x:c>
      <x:c r="K548" s="39" t="str">
        <x:v>新能源电机工程师是汽车行业向绿色能源转型的关键角色之一。随着全球对于环境保护意识的增强以及政府政策的支持，新能源汽车的研发与生产成为各大车企的重点发展方向，而作为其核心部件之一的电机系统的设计与优化工作尤为重要。该职位不仅需要深入理解电力电子技术、电机控制理论及热管理等专业知识，还需要具备跨学科解决问题的能力，以确保电机性能达到最优状态，从而推动公司产品竞争…</x:v>
      </x:c>
      <x:c r="L548" s="39" t="str">
        <x:v>1. 负责新能源汽车驱动电机系统的总体设计，包括但不限于电机选型、参数计算、仿真分析等工作，确保设计方案符合项目需求和行业标准。 2. 开展电机控制策略的研究与开发，提高电机效率、可靠性和动态响应特性，满足车辆动力性能要求。 3. 协调供应商进行电机样件的试制与测试，监控制造过程中的质量控制点，及时解决出现的技术问题。 4. 参与整车集成调试，协助完成电机与…</x:v>
      </x:c>
    </x:row>
    <x:row r="549" ht="52" customHeight="1">
      <x:c r="A549" s="42" t="n">
        <x:v>240</x:v>
      </x:c>
      <x:c r="B549" s="39" t="str">
        <x:v>新能源电控工程师</x:v>
      </x:c>
      <x:c r="C549" s="39" t="str">
        <x:v>条件合并（先修分类）</x:v>
      </x:c>
      <x:c r="D549" s="39" t="str">
        <x:v>新能源电控工程师</x:v>
      </x:c>
      <x:c r="E549" s="42" t="n">
        <x:v>555</x:v>
      </x:c>
      <x:c r="F549" s="39" t="str">
        <x:v>IC-L3-706</x:v>
      </x:c>
      <x:c r="G549" s="42" t="n">
        <x:v>706</x:v>
      </x:c>
      <x:c r="H549" s="39" t="str">
        <x:v>汽车 &gt; 新能源汽车 &gt; 新能源电控工程师</x:v>
      </x:c>
      <x:c r="I549" s="39" t="str">
        <x:v>2-02-38-05</x:v>
      </x:c>
      <x:c r="J549" s="39" t="str">
        <x:v>智能制造工程技术人员</x:v>
      </x:c>
      <x:c r="K549" s="39" t="str">
        <x:v>随着全球对环境保护意识的提升及各国政府对于绿色出行政策的支持，新能源汽车行业正迎来前所未有的发展机遇。作为新能源汽车领域中不可或缺的技术人才，新能源电控工程师在推动技术革新与产品优化方面扮演着至关重要的角色。他们不仅需要具备扎实的专业知识与技能，还需拥有敏锐的市场洞察力以及良好的团队合作精神。 新能源电控工程师的核心任务是设计并实现电动汽车的电机控制系统，确…</x:v>
      </x:c>
      <x:c r="L549" s="39" t="str">
        <x:v>新能源电控工程师的主要职责包括：负责新能源汽车电控系统的研发与设计，包括电池管理系统、电机控制系统等；进行电控系统的需求分析、方案设计、仿真验证及测试优化；参与产品开发的全过程，确保电控系统满足性能、安全及法规要求；与跨部门团队紧密合作，解决开发过程中的技术问题；跟踪行业技术发展趋势，持续优化电控系统性能。</x:v>
      </x:c>
    </x:row>
    <x:row r="550" ht="52" customHeight="1">
      <x:c r="A550" s="42" t="n">
        <x:v>240</x:v>
      </x:c>
      <x:c r="B550" s="39" t="str">
        <x:v>新能源电控工程师</x:v>
      </x:c>
      <x:c r="C550" s="39" t="str">
        <x:v>条件合并（先修分类）</x:v>
      </x:c>
      <x:c r="D550" s="39" t="str">
        <x:v>新能源电控工程师</x:v>
      </x:c>
      <x:c r="E550" s="42" t="n">
        <x:v>578</x:v>
      </x:c>
      <x:c r="F550" s="39" t="str">
        <x:v>IC-L3-729</x:v>
      </x:c>
      <x:c r="G550" s="42" t="n">
        <x:v>729</x:v>
      </x:c>
      <x:c r="H550" s="39" t="str">
        <x:v>汽车 &gt; 汽车研发设计 &gt; 新能源电控工程师</x:v>
      </x:c>
      <x:c r="I550" s="39" t="str">
        <x:v>2-02-07-11</x:v>
      </x:c>
      <x:c r="J550" s="39" t="str">
        <x:v>汽车工程技术人员</x:v>
      </x:c>
      <x:c r="K550" s="39" t="str">
        <x:v>新能源电控工程师是汽车行业向电动化转型的关键角色之一。随着全球对环境保护意识的增强及技术进步，新能源汽车市场正迅速扩大，电控系统作为新能源汽车的心脏部位，其性能直接影响到整车的安全性、经济性和舒适性。因此，本职位不仅承担着技术创新的重要使命，也是推动公司乃至整个行业可持续发展的核心力量。 新能源电控工程师的主要任务是负责电动汽车动力系统的控制策略开发与优化，…</x:v>
      </x:c>
      <x:c r="L550" s="39" t="str">
        <x:v>新能源电控工程师的主要职责包括：负责新能源汽车电控系统的研发与设计，包括电池管理系统、电机控制系统等；进行电控系统的需求分析、方案设计、仿真验证及测试优化；参与产品开发的全过程，确保电控系统满足性能、安全及法规要求；与跨部门团队紧密合作，解决开发过程中的技术问题；跟踪行业技术发展趋势，持续优化电控系统性能。</x:v>
      </x:c>
    </x:row>
    <x:row r="551" ht="52" customHeight="1">
      <x:c r="A551" s="42" t="n">
        <x:v>241</x:v>
      </x:c>
      <x:c r="B551" s="39" t="str">
        <x:v>信审核查</x:v>
      </x:c>
      <x:c r="C551" s="39" t="str">
        <x:v>条件合并（先修分类）</x:v>
      </x:c>
      <x:c r="D551" s="39" t="str">
        <x:v>信审核查</x:v>
      </x:c>
      <x:c r="E551" s="42" t="n">
        <x:v>1047</x:v>
      </x:c>
      <x:c r="F551" s="39" t="str">
        <x:v>IC-L3-1198</x:v>
      </x:c>
      <x:c r="G551" s="42" t="n">
        <x:v>1198</x:v>
      </x:c>
      <x:c r="H551" s="39" t="str">
        <x:v>财务/税务/法务 &gt; 合规 &gt; 信审核查</x:v>
      </x:c>
      <x:c r="I551" s="39" t="str">
        <x:v>2-06-03-00</x:v>
      </x:c>
      <x:c r="J551" s="39" t="str">
        <x:v>会计专业人员</x:v>
      </x:c>
      <x:c r="K551" s="39" t="str">
        <x:v>信审核查作为财务/税务/法务领域中的关键角色，负责确保企业所有交易活动符合相关法律法规的要求，是维护企业合法经营的第一道防线。通过精确地审查与评估各类财务记录和报告，信审核查员不仅能够帮助企业避免潜在的法律风险，还能促进公司内部控制体系的完善与发展。此外，该职位通常需要与其他部门密切合作，如财务部、审计部等，以确保跨部门间的信息流通顺畅无阻。随着企业规模的扩…</x:v>
      </x:c>
      <x:c r="L551" s="39" t="str">
        <x:v>1. 对公司内外部提交的所有财务文件进行详细审查，确保其准确无误且符合现行会计准则和税法规定。 2. 定期参与或主导内部审计项目，识别并报告潜在的合规风险点，提出改进措施以加强内部控制流程。 3. 与外部监管机构保持良好沟通，及时了解最新政策动态，确保公司在遵守法律法规的同时最大化利益。 4. 协助制定和完善公司内部的合规政策和程序，提高员工对合规重要性的认…</x:v>
      </x:c>
    </x:row>
    <x:row r="552" ht="52" customHeight="1">
      <x:c r="A552" s="42" t="n">
        <x:v>241</x:v>
      </x:c>
      <x:c r="B552" s="39" t="str">
        <x:v>信审核查</x:v>
      </x:c>
      <x:c r="C552" s="39" t="str">
        <x:v>条件合并（先修分类）</x:v>
      </x:c>
      <x:c r="D552" s="39" t="str">
        <x:v>信审核查</x:v>
      </x:c>
      <x:c r="E552" s="42" t="n">
        <x:v>1300</x:v>
      </x:c>
      <x:c r="F552" s="39" t="str">
        <x:v>IC-L3-1451</x:v>
      </x:c>
      <x:c r="G552" s="42" t="n">
        <x:v>1451</x:v>
      </x:c>
      <x:c r="H552" s="39" t="str">
        <x:v>金融 &gt; 银行 &gt; 信审核查</x:v>
      </x:c>
      <x:c r="I552" s="39" t="str">
        <x:v>2-06-11-01</x:v>
      </x:c>
      <x:c r="J552" s="39" t="str">
        <x:v>证券保荐承销专业人员</x:v>
      </x:c>
      <x:c r="K552" s="39" t="str">
        <x:v>信审核查是银行体系中不可或缺的一环，通过专业的信用评估和风险控制，确保贷款等金融产品的安全与合规，对于维护银行资产质量和客户信任至关重要。该职位的核心目标在于准确识别潜在风险，优化信贷政策，从而提升公司整体的风险管理水平，为公司创造长期稳定的收益。信审核查人员将与信贷审批、风险管理等部门紧密合作，共同构建和完善银行的风险防控体系，同时，随着个人经验的积累和技…</x:v>
      </x:c>
      <x:c r="L552" s="39" t="str">
        <x:v>1. 对申请贷款的客户进行详细的资信调查，收集并分析客户的财务状况、还款能力和信用记录，确保贷款业务的安全性和合规性。 2. 根据国家法律法规及银行内部规章制度，制定或修订信贷审查标准和流程，提高审查效率和质量。 3. 定期参与项目风险评估会议，与其他部门协作，针对发现的问题提出有效的解决方案，降低潜在损失。 4. 跟踪已发放贷款的执行情况，及时发现异常变动…</x:v>
      </x:c>
    </x:row>
    <x:row r="553" ht="52" customHeight="1">
      <x:c r="A553" s="42" t="n">
        <x:v>242</x:v>
      </x:c>
      <x:c r="B553" s="39" t="str">
        <x:v>行程管理/计调</x:v>
      </x:c>
      <x:c r="C553" s="39" t="str">
        <x:v>条件合并（先修分类）</x:v>
      </x:c>
      <x:c r="D553" s="39" t="str">
        <x:v>行程管理/计调</x:v>
      </x:c>
      <x:c r="E553" s="42" t="n">
        <x:v>788</x:v>
      </x:c>
      <x:c r="F553" s="39" t="str">
        <x:v>IC-L3-939</x:v>
      </x:c>
      <x:c r="G553" s="42" t="n">
        <x:v>939</x:v>
      </x:c>
      <x:c r="H553" s="39" t="str">
        <x:v>生活服务/零售 &gt; 交通运输服务 &gt; 行程管理/计调</x:v>
      </x:c>
      <x:c r="I553" s="39" t="str">
        <x:v>4-02-04-01</x:v>
      </x:c>
      <x:c r="J553" s="39" t="str">
        <x:v>民航乘务员</x:v>
      </x:c>
      <x:c r="K553" s="39" t="str">
        <x:v>行程管理/计调是专门从事运输资源调配与行程优化的专业人员。该职位的核心目标是通过科学规划车辆调度与路线安排，实现运输效率最大化与成本最优化。在日常工作中，需要进行运输任务分配、车辆调度协调、路线规划优化及突发情况处理等工作。</x:v>
      </x:c>
      <x:c r="L553" s="39" t="str">
        <x:v>1. 规划运输线路方案 2. 调度车辆人员安排 3. 监控运输过程状态 4. 协调突发事件处理 5. 优化运输成本控制 6. 统计运输数据报表</x:v>
      </x:c>
    </x:row>
    <x:row r="554" ht="52" customHeight="1">
      <x:c r="A554" s="42" t="n">
        <x:v>242</x:v>
      </x:c>
      <x:c r="B554" s="39" t="str">
        <x:v>行程管理/计调</x:v>
      </x:c>
      <x:c r="C554" s="39" t="str">
        <x:v>条件合并（先修分类）</x:v>
      </x:c>
      <x:c r="D554" s="39" t="str">
        <x:v>行程管理/计调</x:v>
      </x:c>
      <x:c r="E554" s="42" t="n">
        <x:v>1221</x:v>
      </x:c>
      <x:c r="F554" s="39" t="str">
        <x:v>IC-L3-1372</x:v>
      </x:c>
      <x:c r="G554" s="42" t="n">
        <x:v>1372</x:v>
      </x:c>
      <x:c r="H554" s="39" t="str">
        <x:v>酒店/旅游 &gt; 旅游 &gt; 行程管理/计调</x:v>
      </x:c>
      <x:c r="I554" s="39" t="str">
        <x:v>4-07-01-01</x:v>
      </x:c>
      <x:c r="J554" s="39" t="str">
        <x:v>租赁业务员</x:v>
      </x:c>
      <x:c r="K554" s="39" t="str">
        <x:v>行程管理/计调是旅游行业中不可或缺的角色之一，主要负责旅游产品的策划与执行，确保每位客户都能享受到高质量的服务体验。该职位不仅需要具备出色的组织协调能力，还需要有敏锐的市场洞察力，能够根据市场需求变化快速调整产品策略，以满足不同客户群体的需求。 该职位的核心目标在于优化资源配置，通过合理安排交通、住宿等各项服务，确保旅行团的顺畅运行，同时控制成本，提高利润率…</x:v>
      </x:c>
      <x:c r="L554" s="39" t="str">
        <x:v>1. 负责设计并实施各类旅游线路，确保行程安排科学合理，符合客户需求。 2. 与供应商建立良好关系，谈判价格，签订合作协议，保证服务质量和成本效益。 3. 监控整个旅行过程中的各项事务，及时应对突发事件，确保游客安全及行程顺利进行。 4. 收集市场动态及用户反馈，定期评估现有产品线，提出改进建议或新产品开发方案。 5. 协助处理客户投诉，维护公司声誉，提高客…</x:v>
      </x:c>
    </x:row>
    <x:row r="555" ht="52" customHeight="1">
      <x:c r="A555" s="42" t="n">
        <x:v>243</x:v>
      </x:c>
      <x:c r="B555" s="39" t="str">
        <x:v>行业研究员</x:v>
      </x:c>
      <x:c r="C555" s="39" t="str">
        <x:v>可直接合并</x:v>
      </x:c>
      <x:c r="D555" s="39" t="str">
        <x:v>行业研究员</x:v>
      </x:c>
      <x:c r="E555" s="42" t="n">
        <x:v>342</x:v>
      </x:c>
      <x:c r="F555" s="39" t="str">
        <x:v>IC-L3-493</x:v>
      </x:c>
      <x:c r="G555" s="42" t="n">
        <x:v>493</x:v>
      </x:c>
      <x:c r="H555" s="39" t="str">
        <x:v>咨询/法律/翻译 &gt; 咨询/顾问 &gt; 行业研究员</x:v>
      </x:c>
      <x:c r="I555" s="39" t="str">
        <x:v>2-01-06-03</x:v>
      </x:c>
      <x:c r="J555" s="39" t="str">
        <x:v>化学研究人员</x:v>
      </x:c>
      <x:c r="K555" s="39" t="str">
        <x:v>行业研究员是咨询/法律/翻译行业中不可或缺的专业人才，他们通过对特定领域的深入研究与分析，为企业提供精准的市场洞察和战略建议。该职位不仅要求具备扎实的专业知识背景，还需拥有敏锐的市场嗅觉和良好的数据分析能力，以确保研究成果的准确性和时效性。 作为公司决策支持的重要一环，行业研究员的核心目标在于通过系统化的信息搜集、整理与解读，帮助管理层识别潜在商机，规避风险…</x:v>
      </x:c>
      <x:c r="L555" s="39" t="str">
        <x:v>1. 负责收集并分析国内外相关行业的最新动态，定期撰写行业研究报告，为公司决策层提供科学依据。 2. 针对公司业务需求，开展专项课题研究，挖掘潜在市场机会，评估投资可行性，提出建设性意见。 3. 与客户及合作伙伴保持良好沟通，了解他们的需求变化，协助制定满足客户需求的服务方案或产品规划。 4. 参与跨部门协作会议，分享研究成果，促进内部信息交流，提高整体工作…</x:v>
      </x:c>
    </x:row>
    <x:row r="556" ht="52" customHeight="1">
      <x:c r="A556" s="42" t="n">
        <x:v>243</x:v>
      </x:c>
      <x:c r="B556" s="39" t="str">
        <x:v>行业研究员</x:v>
      </x:c>
      <x:c r="C556" s="39" t="str">
        <x:v>可直接合并</x:v>
      </x:c>
      <x:c r="D556" s="39" t="str">
        <x:v>行业研究员</x:v>
      </x:c>
      <x:c r="E556" s="42" t="n">
        <x:v>1287</x:v>
      </x:c>
      <x:c r="F556" s="39" t="str">
        <x:v>IC-L3-1438</x:v>
      </x:c>
      <x:c r="G556" s="42" t="n">
        <x:v>1438</x:v>
      </x:c>
      <x:c r="H556" s="39" t="str">
        <x:v>金融 &gt; 证券 &gt; 行业研究员</x:v>
      </x:c>
      <x:c r="I556" s="39" t="str">
        <x:v>2-01-06-03</x:v>
      </x:c>
      <x:c r="J556" s="39" t="str">
        <x:v>化学研究人员</x:v>
      </x:c>
      <x:c r="K556" s="39" t="str">
        <x:v>行业研究员是专门从事证券行业分析与研究的专业人员。该职位的核心目标是通过深入研究行业发展趋势和公司基本面，为投资决策提供专业支持。在日常工作中，需要进行行业数据收集、公司财务分析、撰写研究报告等工作。</x:v>
      </x:c>
      <x:c r="L556" s="39" t="str">
        <x:v>1. 跟踪行业动态 2. 分析市场数据 3. 撰写研究报告 4. 评估投资价值 5. 推荐投资标的 6. 路演客户交流</x:v>
      </x:c>
    </x:row>
    <x:row r="557" ht="52" customHeight="1">
      <x:c r="A557" s="42" t="n">
        <x:v>244</x:v>
      </x:c>
      <x:c r="B557" s="39" t="str">
        <x:v>行长/副行长</x:v>
      </x:c>
      <x:c r="C557" s="39" t="str">
        <x:v>条件合并（先修分类）</x:v>
      </x:c>
      <x:c r="D557" s="39" t="str">
        <x:v>行长/副行长</x:v>
      </x:c>
      <x:c r="E557" s="42" t="n">
        <x:v>319</x:v>
      </x:c>
      <x:c r="F557" s="39" t="str">
        <x:v>IC-L3-470</x:v>
      </x:c>
      <x:c r="G557" s="42" t="n">
        <x:v>470</x:v>
      </x:c>
      <x:c r="H557" s="39" t="str">
        <x:v>销售/客服 &gt; 销售行政及商务 &gt; 行长/副行长</x:v>
      </x:c>
      <x:c r="I557" s="39" t="str">
        <x:v>3-01-02-02</x:v>
      </x:c>
      <x:c r="J557" s="39" t="str">
        <x:v>秘书</x:v>
      </x:c>
      <x:c r="K557" s="39" t="str">
        <x:v>行长/副行长是专门从事银行高层管理及战略决策的专业人员。该职位的核心目标是通过制定业务发展战略，实现银行业务增长与风险控制的平衡。在日常工作中，需要进行经营决策、团队管理、客户关系维护及市场拓展等工作。</x:v>
      </x:c>
      <x:c r="L557" s="39" t="str">
        <x:v>1. 制定业务发展战略 2. 统筹银行经营管理 3. 监督财务指标完成 4. 拓展商业客户资源 5. 优化业务流程体系 6. 维护政企合作关系</x:v>
      </x:c>
    </x:row>
    <x:row r="558" ht="52" customHeight="1">
      <x:c r="A558" s="42" t="n">
        <x:v>244</x:v>
      </x:c>
      <x:c r="B558" s="39" t="str">
        <x:v>行长/副行长</x:v>
      </x:c>
      <x:c r="C558" s="39" t="str">
        <x:v>条件合并（先修分类）</x:v>
      </x:c>
      <x:c r="D558" s="39" t="str">
        <x:v>行长/副行长</x:v>
      </x:c>
      <x:c r="E558" s="42" t="n">
        <x:v>1312</x:v>
      </x:c>
      <x:c r="F558" s="39" t="str">
        <x:v>IC-L3-1463</x:v>
      </x:c>
      <x:c r="G558" s="42" t="n">
        <x:v>1463</x:v>
      </x:c>
      <x:c r="H558" s="39" t="str">
        <x:v>金融 &gt; 银行 &gt; 行长/副行长</x:v>
      </x:c>
      <x:c r="I558" s="39" t="str">
        <x:v>2-06-11-01</x:v>
      </x:c>
      <x:c r="J558" s="39" t="str">
        <x:v>证券保荐承销专业人员</x:v>
      </x:c>
      <x:c r="K558" s="39" t="str">
        <x:v>行长或副行长是银行体系中极为关键的领导职务，其不仅在银行内部扮演着决策者和战略规划者的角色，同时对外也是金融机构形象与声誉的代表。该职位的主要目标在于确保银行遵守相关法律法规的前提下实现稳健经营，促进业务持续增长，提高市场竞争力，并为股东创造最大价值；此外，还需关注风险管理、内部控制等重要环节，以保障资产安全和财务健康。作为高层管理者之一，行长/副行长需要与…</x:v>
      </x:c>
      <x:c r="L558" s="39" t="str">
        <x:v>1. 制定并执行银行整体发展战略及年度经营计划，指导各部门完成各项指标任务，确保银行业务平稳高效运行。 2. 监督信贷审批流程，评估潜在风险，制定相应的风险控制措施，维护银行资金安全。 3. 加强与政府监管机构沟通联系，确保银行合规运营，及时调整政策以应对市场变化。 4. 推动企业文化建设，塑造良好企业形象，提升员工满意度和客户忠诚度。 5. 组织开展金融产…</x:v>
      </x:c>
    </x:row>
    <x:row r="559" ht="52" customHeight="1">
      <x:c r="A559" s="42" t="n">
        <x:v>245</x:v>
      </x:c>
      <x:c r="B559" s="39" t="str">
        <x:v>性能测试</x:v>
      </x:c>
      <x:c r="C559" s="39" t="str">
        <x:v>条件合并（先修分类）</x:v>
      </x:c>
      <x:c r="D559" s="39" t="str">
        <x:v>性能测试</x:v>
      </x:c>
      <x:c r="E559" s="42" t="n">
        <x:v>57</x:v>
      </x:c>
      <x:c r="F559" s="39" t="str">
        <x:v>IC-L3-208</x:v>
      </x:c>
      <x:c r="G559" s="42" t="n">
        <x:v>208</x:v>
      </x:c>
      <x:c r="H559" s="39" t="str">
        <x:v>互联网技术 &gt; 测试 &gt; 性能测试</x:v>
      </x:c>
      <x:c r="I559" s="39" t="str">
        <x:v>4-04-05-02</x:v>
      </x:c>
      <x:c r="J559" s="39" t="str">
        <x:v>计算机软件测试员</x:v>
      </x:c>
      <x:c r="K559" s="39" t="str">
        <x:v>性能测试工程师是互联网技术领域中不可或缺的专业角色，主要负责确保软件产品的稳定性和高效运行。随着互联网行业的快速发展，性能测试已成为产品质量保障的关键环节之一，其重要性日益凸显。 性能测试工程师的核心目标是通过模拟真实环境下的高负载情况，检测并优化系统的响应速度、资源消耗等关键指标，从而提高用户体验。他们不仅需要发现潜在的问题，还要提出有效的解决方案，以保证…</x:v>
      </x:c>
      <x:c r="L559" s="39" t="str">
        <x:v>1. 负责制定并执行性能测试计划，涵盖从需求分析到测试报告的整个流程，确保测试活动的有效性和完整性。 2. 使用专业工具（如LoadRunner, JMeter等）搭建测试环境，模拟生产环境下的各种压力场景，评估系统在不同条件下的性能表现。 3. 分析测试结果，识别性能瓶颈，与开发团队合作进行问题定位及优化方案的设计实施，直至达到预期的性能标准。 4. 编写…</x:v>
      </x:c>
    </x:row>
    <x:row r="560" ht="52" customHeight="1">
      <x:c r="A560" s="42" t="n">
        <x:v>245</x:v>
      </x:c>
      <x:c r="B560" s="39" t="str">
        <x:v>性能测试</x:v>
      </x:c>
      <x:c r="C560" s="39" t="str">
        <x:v>条件合并（先修分类）</x:v>
      </x:c>
      <x:c r="D560" s="39" t="str">
        <x:v>性能测试</x:v>
      </x:c>
      <x:c r="E560" s="42" t="n">
        <x:v>81</x:v>
      </x:c>
      <x:c r="F560" s="39" t="str">
        <x:v>IC-L3-232</x:v>
      </x:c>
      <x:c r="G560" s="42" t="n">
        <x:v>232</x:v>
      </x:c>
      <x:c r="H560" s="39" t="str">
        <x:v>互联网技术 &gt; 运维/技术支持 &gt; 性能测试</x:v>
      </x:c>
      <x:c r="I560" s="39" t="str">
        <x:v>4-04-05-01</x:v>
      </x:c>
      <x:c r="J560" s="39" t="str">
        <x:v>计算机程序设计员</x:v>
      </x:c>
      <x:c r="K560" s="39" t="str">
        <x:v>性能测试是专门从事系统性能评估与优化的专业人员。该职位的核心目标是通过设计执行性能测试方案，确保系统稳定性和高效性。在日常工作中，需要进行测试脚本开发、性能瓶颈分析、测试报告编写等工作。</x:v>
      </x:c>
      <x:c r="L560" s="39" t="str">
        <x:v>1. 设计性能测试方案 2. 执行压力测试任务 3. 分析系统性能瓶颈 4. 编写测试报告文档 5. 优化系统性能指标 6. 维护测试工具环境</x:v>
      </x:c>
    </x:row>
    <x:row r="561" ht="52" customHeight="1">
      <x:c r="A561" s="42" t="n">
        <x:v>246</x:v>
      </x:c>
      <x:c r="B561" s="39" t="str">
        <x:v>需求工程师</x:v>
      </x:c>
      <x:c r="C561" s="39" t="str">
        <x:v>可直接合并</x:v>
      </x:c>
      <x:c r="D561" s="39" t="str">
        <x:v>需求工程师</x:v>
      </x:c>
      <x:c r="E561" s="42" t="n">
        <x:v>30</x:v>
      </x:c>
      <x:c r="F561" s="39" t="str">
        <x:v>IC-L3-181</x:v>
      </x:c>
      <x:c r="G561" s="42" t="n">
        <x:v>181</x:v>
      </x:c>
      <x:c r="H561" s="39" t="str">
        <x:v>互联网技术 &gt; 后端开发 &gt; 需求工程师</x:v>
      </x:c>
      <x:c r="I561" s="39" t="str">
        <x:v>2-02-10-03</x:v>
      </x:c>
      <x:c r="J561" s="39" t="str">
        <x:v>计算机软件工程技术人员</x:v>
      </x:c>
      <x:c r="K561" s="39" t="str">
        <x:v>需求工程师是互联网技术行业中不可或缺的角色，他们负责将用户的需求转化为可执行的技术规格，确保产品从概念到实现的每一个环节都符合市场预期。在公司内部，需求工程师通过精准地捕捉和分析客户需求，制定详细的需求文档，为项目团队提供清晰的方向指导，从而提高产品的市场竞争力和用户体验，对公司的长期发展和客户满意度提升具有重要意义。此外，需求工程师需要与产品经理、开发人员…</x:v>
      </x:c>
      <x:c r="L561" s="39" t="str">
        <x:v>1. 与客户进行深入沟通，准确理解并记录其业务需求和技术要求，形成初步的需求报告。 2. 编写详细的需求规格说明书，包括功能定义、性能指标、界面设计等，确保所有相关方对需求有共同的理解。 3. 组织需求评审会议，邀请相关部门参与讨论，收集反馈意见并对需求文档进行迭代优化。 4. 跟踪项目进展，定期与开发团队核对需求实现情况，及时解决需求变更问题，保证项目按时…</x:v>
      </x:c>
    </x:row>
    <x:row r="562" ht="52" customHeight="1">
      <x:c r="A562" s="42" t="n">
        <x:v>246</x:v>
      </x:c>
      <x:c r="B562" s="39" t="str">
        <x:v>需求工程师</x:v>
      </x:c>
      <x:c r="C562" s="39" t="str">
        <x:v>可直接合并</x:v>
      </x:c>
      <x:c r="D562" s="39" t="str">
        <x:v>需求工程师</x:v>
      </x:c>
      <x:c r="E562" s="42" t="n">
        <x:v>107</x:v>
      </x:c>
      <x:c r="F562" s="39" t="str">
        <x:v>IC-L3-258</x:v>
      </x:c>
      <x:c r="G562" s="42" t="n">
        <x:v>258</x:v>
      </x:c>
      <x:c r="H562" s="39" t="str">
        <x:v>产品 &gt; 互联网产品经理 &gt; 需求工程师</x:v>
      </x:c>
      <x:c r="I562" s="39" t="str">
        <x:v>2-02-10-03</x:v>
      </x:c>
      <x:c r="J562" s="39" t="str">
        <x:v>计算机软件工程技术人员</x:v>
      </x:c>
      <x:c r="K562" s="39" t="str">
        <x:v>需求工程师在互联网产品领域扮演着至关重要的角色，他们是用户需求与技术实现之间的桥梁。通过精准地捕捉市场趋势及用户反馈，需求工程师能够有效推动产品的迭代优化，确保产品始终保持竞争力。 该职位的核心目标在于深入分析并准确理解客户需求，将这些需求转化为可执行的产品规格书或功能要求文档，从而指导开发团队进行高效开发。对于公司而言，需求工程师不仅有助于提高产品质量和用…</x:v>
      </x:c>
      <x:c r="L562" s="39" t="str">
        <x:v>1. 负责收集并整理来自不同渠道的用户反馈，定期分析市场需求变化，为产品改进提供数据支持。 2. 与业务方密切沟通，深入了解其业务流程和痛点，协助确定产品需求优先级。 3. 编写详细的需求文档（PRD），明确功能描述、验收标准等内容，确保所有相关方对需求有共同的理解。 4. 协调跨部门资源，组织需求评审会议，确保需求被正确解读并在后续开发过程中得到贯彻执行。…</x:v>
      </x:c>
    </x:row>
    <x:row r="563" ht="52" customHeight="1">
      <x:c r="A563" s="42" t="n">
        <x:v>247</x:v>
      </x:c>
      <x:c r="B563" s="39" t="str">
        <x:v>验光师</x:v>
      </x:c>
      <x:c r="C563" s="39" t="str">
        <x:v>条件合并（先修分类）</x:v>
      </x:c>
      <x:c r="D563" s="39" t="str">
        <x:v>验光师</x:v>
      </x:c>
      <x:c r="E563" s="42" t="n">
        <x:v>186</x:v>
      </x:c>
      <x:c r="F563" s="39" t="str">
        <x:v>IC-L3-337</x:v>
      </x:c>
      <x:c r="G563" s="42" t="n">
        <x:v>337</x:v>
      </x:c>
      <x:c r="H563" s="39" t="str">
        <x:v>医药/医疗 &gt; 医生/医技 &gt; 验光师</x:v>
      </x:c>
      <x:c r="I563" s="39" t="str">
        <x:v>2-05-01-19</x:v>
      </x:c>
      <x:c r="J563" s="39" t="str">
        <x:v>全科医师</x:v>
      </x:c>
      <x:c r="K563" s="39" t="str">
        <x:v>验光师是医疗行业中不可或缺的专业人员，负责评估患者的眼睛健康状况并提供视力矫正建议。通过精确测量眼睛的屈光状态，验光师能够开具合适的处方以改善患者的视觉质量，同时识别潜在的眼部疾病，为患者提供全面的眼保健服务。作为医疗机构或眼镜店的重要组成部分，验光师不仅直接服务于广大消费者，还与眼科医生、配镜师等其他专业人员紧密合作，共同维护和提升患者的视觉健康水平。此外…</x:v>
      </x:c>
      <x:c r="L563" s="39" t="str">
        <x:v>1. 为患者进行系统全面的眼部检查，准确判断其视力问题及眼部健康状况，确保每位患者都能获得个性化的视力解决方案。 2. 根据检查结果，科学合理地开具眼镜或隐形眼镜处方，指导患者正确选择适合自己的镜片类型及参数，提高佩戴舒适度和视觉效果。 3. 向患者普及眼保健知识，传授正确的用眼习惯和护眼技巧，帮助他们预防常见眼病的发生，促进整体眼健康。 4. 与团队成员（…</x:v>
      </x:c>
    </x:row>
    <x:row r="564" ht="52" customHeight="1">
      <x:c r="A564" s="42" t="n">
        <x:v>247</x:v>
      </x:c>
      <x:c r="B564" s="39" t="str">
        <x:v>验光师</x:v>
      </x:c>
      <x:c r="C564" s="39" t="str">
        <x:v>条件合并（先修分类）</x:v>
      </x:c>
      <x:c r="D564" s="39" t="str">
        <x:v>验光师</x:v>
      </x:c>
      <x:c r="E564" s="42" t="n">
        <x:v>225</x:v>
      </x:c>
      <x:c r="F564" s="39" t="str">
        <x:v>IC-L3-376</x:v>
      </x:c>
      <x:c r="G564" s="42" t="n">
        <x:v>376</x:v>
      </x:c>
      <x:c r="H564" s="39" t="str">
        <x:v>医药/医疗 &gt; 护理/护士 &gt; 验光师</x:v>
      </x:c>
      <x:c r="I564" s="39" t="str">
        <x:v>2-05-08-01</x:v>
      </x:c>
      <x:c r="J564" s="39" t="str">
        <x:v>内科护士</x:v>
      </x:c>
      <x:c r="K564" s="39" t="str">
        <x:v>验光师是专门从事眼部健康检查和视力矫正的专业人员。该职位的核心目标是通过专业验光技术和设备，为患者提供精准的视力评估和矫正方案。在日常工作中，需要进行视力检查、验光配镜、眼部健康评估以及相关护理指导等工作。</x:v>
      </x:c>
      <x:c r="L564" s="39" t="str">
        <x:v>1. 进行视力检查评估 2. 操作专业验光设备 3. 诊断眼部健康问题 4. 开具视力矫正方案 5. 指导患者正确护眼 6. 记录验光检查数据</x:v>
      </x:c>
    </x:row>
    <x:row r="565" ht="52" customHeight="1">
      <x:c r="A565" s="42" t="n">
        <x:v>248</x:v>
      </x:c>
      <x:c r="B565" s="39" t="str">
        <x:v>养老护理员</x:v>
      </x:c>
      <x:c r="C565" s="39" t="str">
        <x:v>可直接合并</x:v>
      </x:c>
      <x:c r="D565" s="39" t="str">
        <x:v>养老护理员</x:v>
      </x:c>
      <x:c r="E565" s="42" t="n">
        <x:v>227</x:v>
      </x:c>
      <x:c r="F565" s="39" t="str">
        <x:v>IC-L3-378</x:v>
      </x:c>
      <x:c r="G565" s="42" t="n">
        <x:v>378</x:v>
      </x:c>
      <x:c r="H565" s="39" t="str">
        <x:v>医药/医疗 &gt; 护理/护士 &gt; 养老护理员</x:v>
      </x:c>
      <x:c r="I565" s="39" t="str">
        <x:v>2-05-08-01</x:v>
      </x:c>
      <x:c r="J565" s="39" t="str">
        <x:v>内科护士</x:v>
      </x:c>
      <x:c r="K565" s="39" t="str">
        <x:v>养老护理员是专门从事老年人照护服务的专业护理人员。该职位的核心目标是通过专业护理和生活照料，保障老年人生理和心理健康。在日常工作中，需要进行健康监测、生活照料、康复协助、心理疏导及医疗配合等工作。</x:v>
      </x:c>
      <x:c r="L565" s="39" t="str">
        <x:v>1. 提供日常起居照料 2. 协助老人个人卫生 3. 监测生命体征变化 4. 执行医嘱服药管理 5. 组织康复训练活动 6. 记录护理服务情况</x:v>
      </x:c>
    </x:row>
    <x:row r="566" ht="52" customHeight="1">
      <x:c r="A566" s="42" t="n">
        <x:v>248</x:v>
      </x:c>
      <x:c r="B566" s="39" t="str">
        <x:v>养老护理员</x:v>
      </x:c>
      <x:c r="C566" s="39" t="str">
        <x:v>可直接合并</x:v>
      </x:c>
      <x:c r="D566" s="39" t="str">
        <x:v>养老护理员</x:v>
      </x:c>
      <x:c r="E566" s="42" t="n">
        <x:v>811</x:v>
      </x:c>
      <x:c r="F566" s="39" t="str">
        <x:v>IC-L3-962</x:v>
      </x:c>
      <x:c r="G566" s="42" t="n">
        <x:v>962</x:v>
      </x:c>
      <x:c r="H566" s="39" t="str">
        <x:v>生活服务/零售 &gt; 家政服务 &gt; 养老护理员</x:v>
      </x:c>
      <x:c r="I566" s="39" t="str">
        <x:v>2-05-08-01</x:v>
      </x:c>
      <x:c r="J566" s="39" t="str">
        <x:v>内科护士</x:v>
      </x:c>
      <x:c r="K566" s="39" t="str">
        <x:v>养老护理员是为老年人提供专业照护服务的工作人员。 该职位的核心目标是通过专业的护理知识和技能，为老年人提供全面的生活照料和康复护理。 在日常工作中，养老护理员需要照顾老年人的饮食起居，进行基础护理和康复训练，同时要具备良好的服务意识和耐心。</x:v>
      </x:c>
      <x:c r="L566" s="39" t="str">
        <x:v>1. 老年人生活照料 2. 基础护理和康复训练 3. 用药护理和健康监测 4. 心理慰藉和情感支持 5. 突发情况应急处理 6. 协助医疗康复治疗</x:v>
      </x:c>
    </x:row>
    <x:row r="567" ht="52" customHeight="1">
      <x:c r="A567" s="42" t="n">
        <x:v>249</x:v>
      </x:c>
      <x:c r="B567" s="39" t="str">
        <x:v>药库主任/药剂师</x:v>
      </x:c>
      <x:c r="C567" s="39" t="str">
        <x:v>条件合并（先修分类）</x:v>
      </x:c>
      <x:c r="D567" s="39" t="str">
        <x:v>药库主任/药剂师</x:v>
      </x:c>
      <x:c r="E567" s="42" t="n">
        <x:v>181</x:v>
      </x:c>
      <x:c r="F567" s="39" t="str">
        <x:v>IC-L3-332</x:v>
      </x:c>
      <x:c r="G567" s="42" t="n">
        <x:v>332</x:v>
      </x:c>
      <x:c r="H567" s="39" t="str">
        <x:v>医药/医疗 &gt; 医生/医技 &gt; 药库主任/药剂师</x:v>
      </x:c>
      <x:c r="I567" s="39" t="str">
        <x:v>2-05-01-19</x:v>
      </x:c>
      <x:c r="J567" s="39" t="str">
        <x:v>全科医师</x:v>
      </x:c>
      <x:c r="K567" s="39" t="str">
        <x:v>药库主任/药剂师是医药行业中至关重要的角色之一，负责确保药品的质量与安全，以及药品供应链的有效管理。该职位不仅要求具备扎实的专业知识，还需要拥有良好的沟通协调能力和团队领导力，以确保医院或医疗机构的日常运营顺畅无阻。 该职位的核心目标在于通过高效的库存管理和精准的药品调配，减少浪费并提高患者治疗效果，从而为公司创造更高的经济效益和社会价值。同时，药库主任/药…</x:v>
      </x:c>
      <x:c r="L567" s="39" t="str">
        <x:v>1. 负责药库的全面管理工作，包括药品采购、验收、存储、分发等环节，确保所有操作符合国家相关法律法规及公司内部规定。 2. 制定并实施药品库存管理制度，合理控制库存水平，避免过期或短缺现象发生，保证临床需求得到及时满足。 3. 组织开展药品质量检查工作，定期进行药库环境监测，确保药品储存条件达到标准要求。 4. 协调与临床科室之间的关系，提供专业咨询服务，协…</x:v>
      </x:c>
    </x:row>
    <x:row r="568" ht="52" customHeight="1">
      <x:c r="A568" s="42" t="n">
        <x:v>249</x:v>
      </x:c>
      <x:c r="B568" s="39" t="str">
        <x:v>药库主任/药剂师</x:v>
      </x:c>
      <x:c r="C568" s="39" t="str">
        <x:v>条件合并（先修分类）</x:v>
      </x:c>
      <x:c r="D568" s="39" t="str">
        <x:v>药库主任/药剂师</x:v>
      </x:c>
      <x:c r="E568" s="42" t="n">
        <x:v>223</x:v>
      </x:c>
      <x:c r="F568" s="39" t="str">
        <x:v>IC-L3-374</x:v>
      </x:c>
      <x:c r="G568" s="42" t="n">
        <x:v>374</x:v>
      </x:c>
      <x:c r="H568" s="39" t="str">
        <x:v>医药/医疗 &gt; 护理/护士 &gt; 药库主任/药剂师</x:v>
      </x:c>
      <x:c r="I568" s="39" t="str">
        <x:v>2-05-08-01</x:v>
      </x:c>
      <x:c r="J568" s="39" t="str">
        <x:v>内科护士</x:v>
      </x:c>
      <x:c r="K568" s="39" t="str">
        <x:v>药库主任/药剂师是专门从事药品管理和药学服务的专业人员。该职位的核心目标是通过科学规范的药品管理，确保临床用药安全有效。在日常工作中，需要进行药品采购与库存管理、药品质量监控、处方审核与调配、用药指导与咨询等工作。</x:v>
      </x:c>
      <x:c r="L568" s="39" t="str">
        <x:v>1. 管理药品库存 2. 审核药品采购 3. 监督药品发放 4. 确保用药安全 5. 培训护理人员 6. 执行药品盘点</x:v>
      </x:c>
    </x:row>
    <x:row r="569" ht="52" customHeight="1">
      <x:c r="A569" s="42" t="n">
        <x:v>250</x:v>
      </x:c>
      <x:c r="B569" s="39" t="str">
        <x:v>药品生产/质量管理</x:v>
      </x:c>
      <x:c r="C569" s="39" t="str">
        <x:v>可直接合并</x:v>
      </x:c>
      <x:c r="D569" s="39" t="str">
        <x:v>药品生产/质量管理</x:v>
      </x:c>
      <x:c r="E569" s="42" t="n">
        <x:v>243</x:v>
      </x:c>
      <x:c r="F569" s="39" t="str">
        <x:v>IC-L3-394</x:v>
      </x:c>
      <x:c r="G569" s="42" t="n">
        <x:v>394</x:v>
      </x:c>
      <x:c r="H569" s="39" t="str">
        <x:v>医药/医疗 &gt; 生物制药 &gt; 药品生产/质量管理</x:v>
      </x:c>
      <x:c r="I569" s="39" t="str">
        <x:v>2-02-29-03</x:v>
      </x:c>
      <x:c r="J569" s="39" t="str">
        <x:v>质量管理工程技术人员</x:v>
      </x:c>
      <x:c r="K569" s="39" t="str">
        <x:v>药品生产/质量管理是医药行业中至关重要的环节，特别是在生物制药领域，它不仅确保了产品的安全性和有效性，还直接关系到企业的合规性和市场竞争力。作为该职位的专业人士，核心目标在于通过严格执行质量标准和流程管理，保障药品从研发到生产的每一个阶段都符合国家法规及国际标准，从而提升公司品牌信誉度与市场占有率。此外，该职位还需要与研发、生产、销售等多个部门紧密合作，共同…</x:v>
      </x:c>
      <x:c r="L569" s="39" t="str">
        <x:v>药品生产/质量管理岗位职责： 1. 负责药品生产过程的质量监控，确保生产符合GMP标准； 2. 审核生产记录，确保数据准确无误； 3. 参与质量管理体系的建立与维护，确保体系有效运行； 4. 负责生产过程中的质量异常处理，提出改进措施； 5. 定期进行质量培训，提升团队质量意识。</x:v>
      </x:c>
    </x:row>
    <x:row r="570" ht="52" customHeight="1">
      <x:c r="A570" s="42" t="n">
        <x:v>250</x:v>
      </x:c>
      <x:c r="B570" s="39" t="str">
        <x:v>药品生产/质量管理</x:v>
      </x:c>
      <x:c r="C570" s="39" t="str">
        <x:v>可直接合并</x:v>
      </x:c>
      <x:c r="D570" s="39" t="str">
        <x:v>药品生产/质量管理</x:v>
      </x:c>
      <x:c r="E570" s="42" t="n">
        <x:v>744</x:v>
      </x:c>
      <x:c r="F570" s="39" t="str">
        <x:v>IC-L3-895</x:v>
      </x:c>
      <x:c r="G570" s="42" t="n">
        <x:v>895</x:v>
      </x:c>
      <x:c r="H570" s="39" t="str">
        <x:v>生产制造 &gt; 质量管理 &gt; 药品生产/质量管理</x:v>
      </x:c>
      <x:c r="I570" s="39" t="str">
        <x:v>2-02-29-03</x:v>
      </x:c>
      <x:c r="J570" s="39" t="str">
        <x:v>质量管理工程技术人员</x:v>
      </x:c>
      <x:c r="K570" s="39" t="str">
        <x:v>**岗位简介** 药品生产/质量管理是生产制造行业中不可或缺的重要环节，负责确保药品从原料到成品的每一个步骤都符合国家和国际的质量标准。该职位不仅直接关系到药品的安全性和有效性，还对公司声誉及市场竞争力产生深远影响。 该职位的核心目标在于建立并维护一套高效的质量管理体系，通过持续监控生产过程中的各项指标，及时发现并解决潜在问题，以保障产品质量稳定可靠。对内而…</x:v>
      </x:c>
      <x:c r="L570" s="39" t="str">
        <x:v>药品生产/质量管理岗位职责： 1. 负责药品生产过程的质量监控，确保生产符合GMP标准； 2. 审核生产记录，确保数据准确无误； 3. 参与质量管理体系的建立与维护，确保体系有效运行； 4. 负责生产过程中的质量异常处理，提出改进措施； 5. 定期进行质量培训，提升团队质量意识。</x:v>
      </x:c>
    </x:row>
    <x:row r="571" ht="52" customHeight="1">
      <x:c r="A571" s="42" t="n">
        <x:v>251</x:v>
      </x:c>
      <x:c r="B571" s="39" t="str">
        <x:v>药品市场推广经理</x:v>
      </x:c>
      <x:c r="C571" s="39" t="str">
        <x:v>条件合并（先修分类）</x:v>
      </x:c>
      <x:c r="D571" s="39" t="str">
        <x:v>药品市场推广经理</x:v>
      </x:c>
      <x:c r="E571" s="42" t="n">
        <x:v>209</x:v>
      </x:c>
      <x:c r="F571" s="39" t="str">
        <x:v>IC-L3-360</x:v>
      </x:c>
      <x:c r="G571" s="42" t="n">
        <x:v>360</x:v>
      </x:c>
      <x:c r="H571" s="39" t="str">
        <x:v>医药/医疗 &gt; 医疗销售 &gt; 药品市场推广经理</x:v>
      </x:c>
      <x:c r="I571" s="39" t="str">
        <x:v>4-01-02-01</x:v>
      </x:c>
      <x:c r="J571" s="39" t="str">
        <x:v>营销员</x:v>
      </x:c>
      <x:c r="K571" s="39" t="str">
        <x:v>药品市场推广经理是医药行业中至关重要的角色之一，负责推动公司产品的市场认知度与销售业绩。该职位不仅需要具备深厚的医疗专业知识，还需拥有敏锐的市场洞察力和出色的沟通技巧，以确保产品能够准确地传达其核心价值给目标客户群。作为连接研发与市场的桥梁，药品市场推广经理在提升品牌影响力、优化营销策略方面发挥着不可替代的作用，他们通过制定并执行有效的市场推广计划，帮助公司…</x:v>
      </x:c>
      <x:c r="L571" s="39" t="str">
        <x:v>1. 负责制定并执行药品市场推广策略，确保目标市场的有效覆盖，提高品牌知名度和市场份额。 2. 分析市场趋势和竞争对手动态，结合公司产品特点，定期调整推广方案，以适应不断变化的市场需求。 3. 与内部跨部门团队（如销售、研发）以及外部合作伙伴（如医疗机构、行业协会）建立良好的合作关系，协同开展各类市场活动。 4. 监控市场推广活动的效果，收集反馈信息，进行数…</x:v>
      </x:c>
    </x:row>
    <x:row r="572" ht="52" customHeight="1">
      <x:c r="A572" s="42" t="n">
        <x:v>251</x:v>
      </x:c>
      <x:c r="B572" s="39" t="str">
        <x:v>药品市场推广经理</x:v>
      </x:c>
      <x:c r="C572" s="39" t="str">
        <x:v>条件合并（先修分类）</x:v>
      </x:c>
      <x:c r="D572" s="39" t="str">
        <x:v>药品市场推广经理</x:v>
      </x:c>
      <x:c r="E572" s="42" t="n">
        <x:v>241</x:v>
      </x:c>
      <x:c r="F572" s="39" t="str">
        <x:v>IC-L3-392</x:v>
      </x:c>
      <x:c r="G572" s="42" t="n">
        <x:v>392</x:v>
      </x:c>
      <x:c r="H572" s="39" t="str">
        <x:v>医药/医疗 &gt; 生物制药 &gt; 药品市场推广经理</x:v>
      </x:c>
      <x:c r="I572" s="39" t="str">
        <x:v>2-05-07-01</x:v>
      </x:c>
      <x:c r="J572" s="39" t="str">
        <x:v>影像技师</x:v>
      </x:c>
      <x:c r="K572" s="39" t="str">
        <x:v>药品市场推广经理是生物制药行业中不可或缺的角色，其主要职责在于通过有效的市场策略将公司研发的新药或现有药物推向更广泛的市场。这一职位不仅要求具备深厚的专业知识，还需要拥有敏锐的市场洞察力和创新思维，以确保产品能够满足市场需求并获得竞争优势。 该职位的核心目标是制定并执行全面的市场营销计划，以提高品牌知名度和市场份额。通过精准的市场定位、创新的营销手段以及高效…</x:v>
      </x:c>
      <x:c r="L572" s="39" t="str">
        <x:v>1. 负责分析市场趋势，识别潜在机会点，设计并实施针对特定疾病领域的市场推广活动。 2. 与销售团队协同工作，制定区域性的销售支持方案，提升渠道效率和终端销量。 3. 组织和参与各类学术会议、展会等宣传活动，增强品牌影响力，建立良好的行业声誉。 4. 管理预算和资源分配，确保所有市场活动符合公司战略目标并实现预期效果。 5. 定期评估市场表现，收集反馈信息，…</x:v>
      </x:c>
    </x:row>
    <x:row r="573" ht="52" customHeight="1">
      <x:c r="A573" s="42" t="n">
        <x:v>252</x:v>
      </x:c>
      <x:c r="B573" s="39" t="str">
        <x:v>药品市场推广主管</x:v>
      </x:c>
      <x:c r="C573" s="39" t="str">
        <x:v>条件合并（先修分类）</x:v>
      </x:c>
      <x:c r="D573" s="39" t="str">
        <x:v>药品市场推广主管</x:v>
      </x:c>
      <x:c r="E573" s="42" t="n">
        <x:v>208</x:v>
      </x:c>
      <x:c r="F573" s="39" t="str">
        <x:v>IC-L3-359</x:v>
      </x:c>
      <x:c r="G573" s="42" t="n">
        <x:v>359</x:v>
      </x:c>
      <x:c r="H573" s="39" t="str">
        <x:v>医药/医疗 &gt; 医疗销售 &gt; 药品市场推广主管</x:v>
      </x:c>
      <x:c r="I573" s="39" t="str">
        <x:v>4-01-02-01</x:v>
      </x:c>
      <x:c r="J573" s="39" t="str">
        <x:v>营销员</x:v>
      </x:c>
      <x:c r="K573" s="39" t="str">
        <x:v>药品市场推广主管是医药行业中不可或缺的角色，负责推动公司药品的品牌知名度和市场份额增长，通过有效的市场策略确保产品在竞争激烈的市场中脱颖而出。该职位的核心目标在于制定并执行全面的市场推广计划，以提高目标客户群体对产品的认知度和忠诚度，最终实现销售目标的达成，对公司整体业绩的增长具有直接贡献。药品市场推广主管需要与销售团队、研发部门及外部合作伙伴紧密合作，共同…</x:v>
      </x:c>
      <x:c r="L573" s="39" t="str">
        <x:v>1. 负责制定并实施药品市场推广策略，包括但不限于广告宣传、公关活动、线上营销等多渠道推广方式，以提升品牌影响力和市场占有率。 2. 定期分析市场趋势及竞争对手动态，结合公司产品特点，调整优化营销方案，确保策略的有效性和针对性。 3. 协调内部资源，组织跨部门合作，如与销售团队沟通客户需求反馈至产品开发环节，确保市场推广活动能够精准对接市场需求。 4. 监控…</x:v>
      </x:c>
    </x:row>
    <x:row r="574" ht="52" customHeight="1">
      <x:c r="A574" s="42" t="n">
        <x:v>252</x:v>
      </x:c>
      <x:c r="B574" s="39" t="str">
        <x:v>药品市场推广主管</x:v>
      </x:c>
      <x:c r="C574" s="39" t="str">
        <x:v>条件合并（先修分类）</x:v>
      </x:c>
      <x:c r="D574" s="39" t="str">
        <x:v>药品市场推广主管</x:v>
      </x:c>
      <x:c r="E574" s="42" t="n">
        <x:v>240</x:v>
      </x:c>
      <x:c r="F574" s="39" t="str">
        <x:v>IC-L3-391</x:v>
      </x:c>
      <x:c r="G574" s="42" t="n">
        <x:v>391</x:v>
      </x:c>
      <x:c r="H574" s="39" t="str">
        <x:v>医药/医疗 &gt; 生物制药 &gt; 药品市场推广主管</x:v>
      </x:c>
      <x:c r="I574" s="39" t="str">
        <x:v>2-05-07-01</x:v>
      </x:c>
      <x:c r="J574" s="39" t="str">
        <x:v>影像技师</x:v>
      </x:c>
      <x:c r="K574" s="39" t="str">
        <x:v>药品市场推广主管是医药行业中不可或缺的角色，尤其在生物制药领域，这一职位负责将公司研发的新药推向市场，提升品牌影响力和市场份额。作为连接产品与市场的桥梁，该职位不仅需要具备深厚的专业知识，还需要拥有敏锐的市场洞察力，能够准确把握市场需求，制定并实施有效的市场推广策略，以实现销售增长和品牌建设的目标。此外，药品市场推广主管还需与研发、销售、客户服务等多个部门紧…</x:v>
      </x:c>
      <x:c r="L574" s="39" t="str">
        <x:v>1. 负责制定年度市场推广计划，包括但不限于产品定位、目标客户群分析、竞争态势评估等，确保市场活动符合公司战略方向。 2. 组织并执行各类线上线下的营销活动，如学术会议、产品发布会、健康讲座等，提高产品知名度和市场占有率。 3. 与销售团队密切配合，收集市场反馈信息，定期进行市场调研，调整优化推广方案，提升销售转化率。 4. 监控预算执行情况，合理分配资源，…</x:v>
      </x:c>
    </x:row>
    <x:row r="575" ht="52" customHeight="1">
      <x:c r="A575" s="42" t="n">
        <x:v>253</x:v>
      </x:c>
      <x:c r="B575" s="39" t="str">
        <x:v>药品市场推广专员</x:v>
      </x:c>
      <x:c r="C575" s="39" t="str">
        <x:v>条件合并（先修分类）</x:v>
      </x:c>
      <x:c r="D575" s="39" t="str">
        <x:v>药品市场推广专员</x:v>
      </x:c>
      <x:c r="E575" s="42" t="n">
        <x:v>207</x:v>
      </x:c>
      <x:c r="F575" s="39" t="str">
        <x:v>IC-L3-358</x:v>
      </x:c>
      <x:c r="G575" s="42" t="n">
        <x:v>358</x:v>
      </x:c>
      <x:c r="H575" s="39" t="str">
        <x:v>医药/医疗 &gt; 医疗销售 &gt; 药品市场推广专员</x:v>
      </x:c>
      <x:c r="I575" s="39" t="str">
        <x:v>4-01-02-01</x:v>
      </x:c>
      <x:c r="J575" s="39" t="str">
        <x:v>营销员</x:v>
      </x:c>
      <x:c r="K575" s="39" t="str">
        <x:v>药品市场推广专员是医药行业中不可或缺的角色，负责将公司产品有效地推向市场，提高品牌知名度与市场份额。通过精准的市场分析和策略制定，该职位不仅能够帮助公司实现销售目标，还能为患者提供更优质、更安全的医疗解决方案。作为团队中的一员，药品市场推广专员需要与其他部门密切合作，如销售、研发等，共同推动项目进展；同时，随着个人能力的提升，未来还有机会向更高层次的管理岗位…</x:v>
      </x:c>
      <x:c r="L575" s="39" t="str">
        <x:v>1. 制定并执行药品市场推广计划，确保各项活动符合公司战略目标及法律法规要求。 2. 分析竞品动态及市场需求变化，及时调整营销策略以应对市场挑战，扩大产品影响力。 3. 组织并参与各类学术会议、展会等活动，建立并维护与医疗机构、医生之间的良好关系。 4. 协助销售团队完成销售任务，提供必要的市场支持和服务，促进客户满意度提升。 5. 定期收集市场反馈信息，评…</x:v>
      </x:c>
    </x:row>
    <x:row r="576" ht="52" customHeight="1">
      <x:c r="A576" s="42" t="n">
        <x:v>253</x:v>
      </x:c>
      <x:c r="B576" s="39" t="str">
        <x:v>药品市场推广专员</x:v>
      </x:c>
      <x:c r="C576" s="39" t="str">
        <x:v>条件合并（先修分类）</x:v>
      </x:c>
      <x:c r="D576" s="39" t="str">
        <x:v>药品市场推广专员</x:v>
      </x:c>
      <x:c r="E576" s="42" t="n">
        <x:v>239</x:v>
      </x:c>
      <x:c r="F576" s="39" t="str">
        <x:v>IC-L3-390</x:v>
      </x:c>
      <x:c r="G576" s="42" t="n">
        <x:v>390</x:v>
      </x:c>
      <x:c r="H576" s="39" t="str">
        <x:v>医药/医疗 &gt; 生物制药 &gt; 药品市场推广专员</x:v>
      </x:c>
      <x:c r="I576" s="39" t="str">
        <x:v>2-05-07-01</x:v>
      </x:c>
      <x:c r="J576" s="39" t="str">
        <x:v>影像技师</x:v>
      </x:c>
      <x:c r="K576" s="39" t="str">
        <x:v>药品市场推广专员是生物制药行业中不可或缺的角色，他们通过有效的市场策略和推广活动，将公司研发的新药或现有药物成功推向市场，提高产品的知名度和市场份额。作为药品市场推广专员，核心目标在于制定并执行全面的市场推广计划，确保产品能够达到预期的销售目标，同时提升品牌形象和市场竞争力，为公司创造持续的价值增长。此外，该职位还需要与销售团队、产品研发部门以及外部合作伙伴…</x:v>
      </x:c>
      <x:c r="L576" s="39" t="str">
        <x:v>1. 负责收集并分析市场信息，了解竞品动态及消费者需求，为制定精准的市场推广策略提供依据。 2. 制定并实施年度药品市场推广计划，包括但不限于线上线下的广告宣传、学术会议赞助、客户关系维护等，以扩大品牌影响力。 3. 与销售团队密切配合，定期组织产品知识培训，确保销售人员充分掌握产品特点，有效支持销售业绩的提升。 4. 协调内外部资源，策划并执行各类营销活动…</x:v>
      </x:c>
    </x:row>
    <x:row r="577" ht="52" customHeight="1">
      <x:c r="A577" s="42" t="n">
        <x:v>254</x:v>
      </x:c>
      <x:c r="B577" s="39" t="str">
        <x:v>医疗器械生产/质量管理</x:v>
      </x:c>
      <x:c r="C577" s="39" t="str">
        <x:v>可直接合并</x:v>
      </x:c>
      <x:c r="D577" s="39" t="str">
        <x:v>医疗器械生产/质量管理</x:v>
      </x:c>
      <x:c r="E577" s="42" t="n">
        <x:v>195</x:v>
      </x:c>
      <x:c r="F577" s="39" t="str">
        <x:v>IC-L3-346</x:v>
      </x:c>
      <x:c r="G577" s="42" t="n">
        <x:v>346</x:v>
      </x:c>
      <x:c r="H577" s="39" t="str">
        <x:v>医药/医疗 &gt; 医疗器械 &gt; 医疗器械生产/质量管理</x:v>
      </x:c>
      <x:c r="I577" s="39" t="str">
        <x:v>2-02-29-03</x:v>
      </x:c>
      <x:c r="J577" s="39" t="str">
        <x:v>质量管理工程技术人员</x:v>
      </x:c>
      <x:c r="K577" s="39" t="str">
        <x:v>医疗器械生产/质量管理是医药行业中不可或缺的关键环节，该职位负责确保医疗器械从设计到生产的全过程符合国际标准和法规要求，保障产品质量与患者安全。作为公司质量体系的核心组成部分，该职位通过制定和执行严格的质量控制流程，预防并解决生产过程中可能出现的质量问题，提高生产效率，降低风险，为公司树立良好的品牌形象，赢得市场信任。此外，该职位还需与研发、生产、销售等多个…</x:v>
      </x:c>
      <x:c r="L577" s="39" t="str">
        <x:v>1. 负责建立和完善医疗器械生产过程中的质量管理体系，确保所有操作均符合GMP（良好生产规范）及ISO 13485等国际标准。 2. 定期进行内部审核，监控生产线上的关键工艺参数，及时发现潜在的质量隐患，采取有效措施进行整改，以保证产品的一致性和可靠性。 3. 组织开展员工培训，提升团队对质量管理的认识和技能，促进持续改进文化在组织内的传播。 4. 协调与外…</x:v>
      </x:c>
    </x:row>
    <x:row r="578" ht="52" customHeight="1">
      <x:c r="A578" s="42" t="n">
        <x:v>254</x:v>
      </x:c>
      <x:c r="B578" s="39" t="str">
        <x:v>医疗器械生产/质量管理</x:v>
      </x:c>
      <x:c r="C578" s="39" t="str">
        <x:v>可直接合并</x:v>
      </x:c>
      <x:c r="D578" s="39" t="str">
        <x:v>医疗器械生产/质量管理</x:v>
      </x:c>
      <x:c r="E578" s="42" t="n">
        <x:v>737</x:v>
      </x:c>
      <x:c r="F578" s="39" t="str">
        <x:v>IC-L3-888</x:v>
      </x:c>
      <x:c r="G578" s="42" t="n">
        <x:v>888</x:v>
      </x:c>
      <x:c r="H578" s="39" t="str">
        <x:v>生产制造 &gt; 质量管理 &gt; 医疗器械生产/质量管理</x:v>
      </x:c>
      <x:c r="I578" s="39" t="str">
        <x:v>2-02-29-03</x:v>
      </x:c>
      <x:c r="J578" s="39" t="str">
        <x:v>质量管理工程技术人员</x:v>
      </x:c>
      <x:c r="K578" s="39" t="str">
        <x:v>在生产制造行业中，医疗器械生产/质量管理人员扮演着至关重要的角色。他们负责确保产品符合国家及国际标准，从原材料采购到成品出厂的每一个环节都需经过严格的监控与检测，以保障患者安全和治疗效果。此职位不仅是公司内部品质控制的关键环节，也是对外树立品牌形象的重要窗口；通过实施有效的质量管理体系，可以显著降低不良品率，提高客户满意度，从而增强企业的市场竞争力。此外，该…</x:v>
      </x:c>
      <x:c r="L578" s="39" t="str">
        <x:v>1. 负责制定和完善医疗器械生产过程中的质量控制标准和流程，确保所有操作符合GMP（良好生产规范）要求。 2. 对生产线进行定期巡检，监督关键工序的质量状况，及时发现并解决潜在问题，防止不合格品流入下一道工序或最终用户手中。 3. 组织开展内部审核和外部认证工作，保证公司质量体系的有效运行，满足相关法律法规的要求。 4. 与供应商沟通协调，评估其提供的物料质…</x:v>
      </x:c>
    </x:row>
    <x:row r="579" ht="52" customHeight="1">
      <x:c r="A579" s="42" t="n">
        <x:v>255</x:v>
      </x:c>
      <x:c r="B579" s="39" t="str">
        <x:v>医疗器械市场推广</x:v>
      </x:c>
      <x:c r="C579" s="39" t="str">
        <x:v>条件合并（先修分类）</x:v>
      </x:c>
      <x:c r="D579" s="39" t="str">
        <x:v>医疗器械市场推广</x:v>
      </x:c>
      <x:c r="E579" s="42" t="n">
        <x:v>193</x:v>
      </x:c>
      <x:c r="F579" s="39" t="str">
        <x:v>IC-L3-344</x:v>
      </x:c>
      <x:c r="G579" s="42" t="n">
        <x:v>344</x:v>
      </x:c>
      <x:c r="H579" s="39" t="str">
        <x:v>医药/医疗 &gt; 医疗器械 &gt; 医疗器械市场推广</x:v>
      </x:c>
      <x:c r="I579" s="39" t="str">
        <x:v>2-05-07-01</x:v>
      </x:c>
      <x:c r="J579" s="39" t="str">
        <x:v>影像技师</x:v>
      </x:c>
      <x:c r="K579" s="39" t="str">
        <x:v>医疗器械市场推广是医药/医疗行业中不可或缺的一环，它不仅连接了产品与消费者，更是推动企业增长的关键力量。作为这一领域的专业人士，其主要职责在于通过有效的市场策略，提升品牌知名度，增强产品竞争力，确保公司产品在激烈的市场竞争中脱颖而出。同时，该职位对于塑造企业形象，建立良好的客户关系也起着至关重要的作用。 该职位的核心目标在于制定并执行全面的市场营销计划，以实…</x:v>
      </x:c>
      <x:c r="L579" s="39" t="str">
        <x:v>1. 负责收集并分析市场信息，了解行业趋势，为产品开发提供数据支持，确保市场推广活动的有效性。 2. 制定详细的年度市场推广计划，包括预算编制、活动策划等，确保各项活动顺利开展，达成既定目标。 3. 与销售团队密切配合，定期举办线上线下相结合的产品培训会、学术交流会议等活动，促进客户关系维护。 4. 管理和维护公司品牌形象，通过社交媒体、官方网站等多渠道发布…</x:v>
      </x:c>
    </x:row>
    <x:row r="580" ht="52" customHeight="1">
      <x:c r="A580" s="42" t="n">
        <x:v>255</x:v>
      </x:c>
      <x:c r="B580" s="39" t="str">
        <x:v>医疗器械市场推广</x:v>
      </x:c>
      <x:c r="C580" s="39" t="str">
        <x:v>条件合并（先修分类）</x:v>
      </x:c>
      <x:c r="D580" s="39" t="str">
        <x:v>医疗器械市场推广</x:v>
      </x:c>
      <x:c r="E580" s="42" t="n">
        <x:v>201</x:v>
      </x:c>
      <x:c r="F580" s="39" t="str">
        <x:v>IC-L3-352</x:v>
      </x:c>
      <x:c r="G580" s="42" t="n">
        <x:v>352</x:v>
      </x:c>
      <x:c r="H580" s="39" t="str">
        <x:v>医药/医疗 &gt; 医疗销售 &gt; 医疗器械市场推广</x:v>
      </x:c>
      <x:c r="I580" s="39" t="str">
        <x:v>4-01-02-01</x:v>
      </x:c>
      <x:c r="J580" s="39" t="str">
        <x:v>营销员</x:v>
      </x:c>
      <x:c r="K580" s="39" t="str">
        <x:v>医疗器械市场推广是医疗行业中至关重要的环节，它不仅连接着制造商与医疗机构，还直接关系到患者能否及时获得高质量的医疗设备和服务。通过精准的市场分析、策略制定及执行，该职位能够有效地提升公司产品的市场占有率，增强品牌影响力，为公司创造持续稳定的收入来源。此外，该职位需要与销售团队、产品开发部门以及外部合作伙伴紧密合作，共同推动新产品的上市和现有产品的优化升级，为…</x:v>
      </x:c>
      <x:c r="L580" s="39" t="str">
        <x:v>1. 负责制定并实施医疗器械产品的市场推广计划，确保完成既定的销售目标。 2. 分析市场趋势，收集竞争对手信息，定期向管理层提交市场动态报告，为产品定位和营销策略调整提供依据。 3. 组织参与国内外医疗器械展览会及学术会议，建立并维护与行业专家的良好关系，扩大公司在业内的知名度。 4. 与销售团队密切配合，支持关键客户项目的推进，协助解决客户在产品选择、使用…</x:v>
      </x:c>
    </x:row>
    <x:row r="581" ht="52" customHeight="1">
      <x:c r="A581" s="42" t="n">
        <x:v>256</x:v>
      </x:c>
      <x:c r="B581" s="39" t="str">
        <x:v>医疗器械销售代表</x:v>
      </x:c>
      <x:c r="C581" s="39" t="str">
        <x:v>可直接合并</x:v>
      </x:c>
      <x:c r="D581" s="39" t="str">
        <x:v>医疗器械销售代表</x:v>
      </x:c>
      <x:c r="E581" s="42" t="n">
        <x:v>198</x:v>
      </x:c>
      <x:c r="F581" s="39" t="str">
        <x:v>IC-L3-349</x:v>
      </x:c>
      <x:c r="G581" s="42" t="n">
        <x:v>349</x:v>
      </x:c>
      <x:c r="H581" s="39" t="str">
        <x:v>医药/医疗 &gt; 医疗器械 &gt; 医疗器械销售代表</x:v>
      </x:c>
      <x:c r="I581" s="39" t="str">
        <x:v>4-01-02-01</x:v>
      </x:c>
      <x:c r="J581" s="39" t="str">
        <x:v>营销员</x:v>
      </x:c>
      <x:c r="K581" s="39" t="str">
        <x:v>医疗器械销售代表是医药/医疗行业中不可或缺的角色之一，他们不仅连接着公司与客户之间的桥梁，还负责将先进的医疗设备和技术推广至医疗机构及个人用户中，对于提升医疗服务质量有着至关重要的作用。作为公司产品线与市场需求对接的关键人物，医疗器械销售代表的主要任务在于准确把握市场动态，制定有效的销售策略，以实现公司产品的高效推广和销售目标，同时通过建立良好的客户关系来增…</x:v>
      </x:c>
      <x:c r="L581" s="39" t="str">
        <x:v>1. 负责区域内目标医院或诊所的开发与维护工作，定期拜访潜在客户并了解其采购意向，积极促成订单成交。 2. 收集并分析市场信息，结合公司产品特点设计个性化营销方案，提高产品竞争力。 3. 协助组织各类学术交流活动，邀请专家进行专题讲座，扩大公司在业内的影响力。 4. 及时反馈客户意见，协调内部资源解决售后问题，保证客户满意度。 5. 完成上级交办的其他相关任…</x:v>
      </x:c>
    </x:row>
    <x:row r="582" ht="52" customHeight="1">
      <x:c r="A582" s="42" t="n">
        <x:v>256</x:v>
      </x:c>
      <x:c r="B582" s="39" t="str">
        <x:v>医疗器械销售代表</x:v>
      </x:c>
      <x:c r="C582" s="39" t="str">
        <x:v>可直接合并</x:v>
      </x:c>
      <x:c r="D582" s="39" t="str">
        <x:v>医疗器械销售代表</x:v>
      </x:c>
      <x:c r="E582" s="42" t="n">
        <x:v>202</x:v>
      </x:c>
      <x:c r="F582" s="39" t="str">
        <x:v>IC-L3-353</x:v>
      </x:c>
      <x:c r="G582" s="42" t="n">
        <x:v>353</x:v>
      </x:c>
      <x:c r="H582" s="39" t="str">
        <x:v>医药/医疗 &gt; 医疗销售 &gt; 医疗器械销售代表</x:v>
      </x:c>
      <x:c r="I582" s="39" t="str">
        <x:v>4-01-02-01</x:v>
      </x:c>
      <x:c r="J582" s="39" t="str">
        <x:v>营销员</x:v>
      </x:c>
      <x:c r="K582" s="39" t="str">
        <x:v>医疗器械销售代表是医药行业中不可或缺的角色之一，通过有效的市场推广和客户关系管理，确保公司产品能够顺利进入医疗机构，为患者提供高质量的医疗服务。该职位不仅需要具备良好的销售技巧，还需要对医疗器械有深刻的理解，能够准确把握市场需求，推动产品的创新与应用。作为销售团队的一员，医疗器械销售代表将与其他部门紧密合作，共同提升公司的市场份额和品牌影响力，同时，个人也能…</x:v>
      </x:c>
      <x:c r="L582" s="39" t="str">
        <x:v>1. 负责指定区域内的医疗器械市场开发与维护工作，建立并保持与医院、诊所等潜在客户的良好关系，以提高产品覆盖率。 2. 定期拜访客户，了解其需求变化及反馈意见，及时调整销售策略，确保完成或超额完成年度销售任务。 3. 参与制定和执行销售计划，组织并参加各类展会、研讨会等活动，扩大公司产品的知名度和影响力。 4. 收集分析竞争对手信息，为公司制定更具竞争力的市…</x:v>
      </x:c>
    </x:row>
    <x:row r="583" ht="52" customHeight="1">
      <x:c r="A583" s="42" t="n">
        <x:v>257</x:v>
      </x:c>
      <x:c r="B583" s="39" t="str">
        <x:v>医疗器械注册</x:v>
      </x:c>
      <x:c r="C583" s="39" t="str">
        <x:v>可直接合并</x:v>
      </x:c>
      <x:c r="D583" s="39" t="str">
        <x:v>医疗器械注册</x:v>
      </x:c>
      <x:c r="E583" s="42" t="n">
        <x:v>194</x:v>
      </x:c>
      <x:c r="F583" s="39" t="str">
        <x:v>IC-L3-345</x:v>
      </x:c>
      <x:c r="G583" s="42" t="n">
        <x:v>345</x:v>
      </x:c>
      <x:c r="H583" s="39" t="str">
        <x:v>医药/医疗 &gt; 医疗器械 &gt; 医疗器械注册</x:v>
      </x:c>
      <x:c r="I583" s="39" t="str">
        <x:v>2-05-07-01</x:v>
      </x:c>
      <x:c r="J583" s="39" t="str">
        <x:v>影像技师</x:v>
      </x:c>
      <x:c r="K583" s="39" t="str">
        <x:v>医疗器械注册专员是医药/医疗行业中不可或缺的专业人才，负责确保公司开发的医疗器械产品能够顺利通过国家及国际相关法规的审核与认证。该职位在产品从研发到上市的过程中扮演着至关重要的桥梁作用，不仅需要具备扎实的医学背景知识，还需要熟悉国内外医疗器械注册流程及相关法律法规。 核心目标在于保证新产品或改进型产品的合规性，缩短市场准入时间，降低企业成本风险，同时提升品牌…</x:v>
      </x:c>
      <x:c r="L583" s="39" t="str">
        <x:v>1. 负责收集整理国内外医疗器械注册相关的法律、法规信息，分析评估对公司现有及未来产品的影响。 2. 制定详细的医疗器械注册策略与方案，指导并监督注册文件的准备过程，确保所有材料符合要求。 3. 与监管机构建立良好的沟通渠道，代表公司参加各类审查会议，解决注册过程中出现的问题。 4. 协调内部资源，组织跨部门会议，确保注册工作的顺利进行。 5. 定期向管理层…</x:v>
      </x:c>
    </x:row>
    <x:row r="584" ht="52" customHeight="1">
      <x:c r="A584" s="42" t="n">
        <x:v>257</x:v>
      </x:c>
      <x:c r="B584" s="39" t="str">
        <x:v>医疗器械注册</x:v>
      </x:c>
      <x:c r="C584" s="39" t="str">
        <x:v>可直接合并</x:v>
      </x:c>
      <x:c r="D584" s="39" t="str">
        <x:v>医疗器械注册</x:v>
      </x:c>
      <x:c r="E584" s="42" t="n">
        <x:v>251</x:v>
      </x:c>
      <x:c r="F584" s="39" t="str">
        <x:v>IC-L3-402</x:v>
      </x:c>
      <x:c r="G584" s="42" t="n">
        <x:v>402</x:v>
      </x:c>
      <x:c r="H584" s="39" t="str">
        <x:v>医药/医疗 &gt; 生物制药 &gt; 医疗器械注册</x:v>
      </x:c>
      <x:c r="I584" s="39" t="str">
        <x:v>2-05-07-01</x:v>
      </x:c>
      <x:c r="J584" s="39" t="str">
        <x:v>影像技师</x:v>
      </x:c>
      <x:c r="K584" s="39" t="str">
        <x:v>医疗器械注册是专门从事医疗器械法规合规的专业人员。该职位的核心目标是通过完成产品注册申报，确保医疗器械符合监管要求并获批上市。在日常工作中，需要进行注册资料编制、与药监部门沟通协调、跟踪注册进度及处理技术审评问题等工作。</x:v>
      </x:c>
      <x:c r="L584" s="39" t="str">
        <x:v>1. 编制注册申报资料 2. 跟进产品注册进度 3. 对接药监部门沟通 4. 维护注册证有效期 5. 收集产品技术资料 6. 解答注册相关问题</x:v>
      </x:c>
    </x:row>
    <x:row r="585" ht="52" customHeight="1">
      <x:c r="A585" s="42" t="n">
        <x:v>258</x:v>
      </x:c>
      <x:c r="B585" s="39" t="str">
        <x:v>医药代表</x:v>
      </x:c>
      <x:c r="C585" s="39" t="str">
        <x:v>可直接合并</x:v>
      </x:c>
      <x:c r="D585" s="39" t="str">
        <x:v>医药代表</x:v>
      </x:c>
      <x:c r="E585" s="42" t="n">
        <x:v>204</x:v>
      </x:c>
      <x:c r="F585" s="39" t="str">
        <x:v>IC-L3-355</x:v>
      </x:c>
      <x:c r="G585" s="42" t="n">
        <x:v>355</x:v>
      </x:c>
      <x:c r="H585" s="39" t="str">
        <x:v>医药/医疗 &gt; 医疗销售 &gt; 医药代表</x:v>
      </x:c>
      <x:c r="I585" s="39" t="str">
        <x:v>2-06-07-07</x:v>
      </x:c>
      <x:c r="J585" s="39" t="str">
        <x:v>医药代表</x:v>
      </x:c>
      <x:c r="K585" s="39" t="str">
        <x:v>医药代表是医药/医疗行业中不可或缺的角色，他们作为公司与医疗机构之间的桥梁，负责推广药品或医疗器械，确保医生、护士及其他医疗专业人士了解产品的特性和优势。通过有效的沟通和专业的服务，医药代表不仅能够促进产品销售，还能提升公司在市场上的品牌知名度和信誉度，对于企业的长期发展具有重要意义。 医药代表的核心目标是建立并维护与目标客户群体的良好关系，准确传达产品的科…</x:v>
      </x:c>
      <x:c r="L585" s="39" t="str">
        <x:v>医药代表的主要职责包括：负责区域内医院、诊所等医疗单位的客户关系维护与拓展；收集并反馈市场信息，包括医生需求、竞品动态等；推广公司医药产品，提供产品知识培训和技术支持；协助医生制定治疗方案，解答临床应用中的技术问题；定期拜访客户，进行产品演示和推广活动；管理客户数据库，维护客户档案，确保销售数据的准确性和完整性。</x:v>
      </x:c>
    </x:row>
    <x:row r="586" ht="52" customHeight="1">
      <x:c r="A586" s="42" t="n">
        <x:v>258</x:v>
      </x:c>
      <x:c r="B586" s="39" t="str">
        <x:v>医药代表</x:v>
      </x:c>
      <x:c r="C586" s="39" t="str">
        <x:v>可直接合并</x:v>
      </x:c>
      <x:c r="D586" s="39" t="str">
        <x:v>医药代表</x:v>
      </x:c>
      <x:c r="E586" s="42" t="n">
        <x:v>231</x:v>
      </x:c>
      <x:c r="F586" s="39" t="str">
        <x:v>IC-L3-382</x:v>
      </x:c>
      <x:c r="G586" s="42" t="n">
        <x:v>382</x:v>
      </x:c>
      <x:c r="H586" s="39" t="str">
        <x:v>医药/医疗 &gt; 生物制药 &gt; 医药代表</x:v>
      </x:c>
      <x:c r="I586" s="39" t="str">
        <x:v>2-06-07-07</x:v>
      </x:c>
      <x:c r="J586" s="39" t="str">
        <x:v>医药代表</x:v>
      </x:c>
      <x:c r="K586" s="39" t="str">
        <x:v>医药代表是生物制药行业中不可或缺的角色之一，他们不仅作为公司与医生、医院等医疗机构之间的桥梁，还肩负着传递最新医疗产品信息、促进合理用药的重要使命。通过建立并维护良好的客户关系，医药代表能够确保产品的市场接受度，从而为公司的销售业绩增长提供强有力的支持。此外，医药代表还需要与内部销售、市场等部门紧密合作，共同制定和执行销售策略，以实现公司的长期发展目标。随着…</x:v>
      </x:c>
      <x:c r="L586" s="39" t="str">
        <x:v>医药代表的主要职责包括：负责区域内医院、诊所等医疗单位的客户关系维护与拓展；收集并反馈市场信息，包括医生需求、竞品动态等；推广公司医药产品，提供产品知识培训和技术支持；协助医生制定治疗方案，解答临床应用中的技术问题；定期拜访客户，进行产品演示和推广活动；管理客户数据库，维护客户档案，确保销售数据的准确性和完整性。</x:v>
      </x:c>
    </x:row>
    <x:row r="587" ht="52" customHeight="1">
      <x:c r="A587" s="42" t="n">
        <x:v>259</x:v>
      </x:c>
      <x:c r="B587" s="39" t="str">
        <x:v>医药学术推广</x:v>
      </x:c>
      <x:c r="C587" s="39" t="str">
        <x:v>可直接合并</x:v>
      </x:c>
      <x:c r="D587" s="39" t="str">
        <x:v>医药学术推广</x:v>
      </x:c>
      <x:c r="E587" s="42" t="n">
        <x:v>205</x:v>
      </x:c>
      <x:c r="F587" s="39" t="str">
        <x:v>IC-L3-356</x:v>
      </x:c>
      <x:c r="G587" s="42" t="n">
        <x:v>356</x:v>
      </x:c>
      <x:c r="H587" s="39" t="str">
        <x:v>医药/医疗 &gt; 医疗销售 &gt; 医药学术推广</x:v>
      </x:c>
      <x:c r="I587" s="39" t="str">
        <x:v>2-06-07-07</x:v>
      </x:c>
      <x:c r="J587" s="39" t="str">
        <x:v>医药代表</x:v>
      </x:c>
      <x:c r="K587" s="39" t="str">
        <x:v>医药学术推广是医药行业中至关重要的环节之一，它不仅连接着制药公司与医疗专业人士之间的沟通桥梁，还承担着将最新的医学研究成果和产品信息准确无误地传达给医生及医疗机构的责任。通过组织和参与各类学术会议、研讨会等活动，该职位旨在提升目标客户群体对公司产品的认知度与接受度，促进合理用药的同时提高品牌影响力，从而实现销售业绩的增长以及市场份额的扩大。此外，医药学术推广…</x:v>
      </x:c>
      <x:c r="L587" s="39" t="str">
        <x:v>1. 定期拜访医院、诊所等终端用户，了解并收集医生对于现有产品的需求反馈，及时向公司报告市场动态及竞争状况，以指导后续的产品改进和营销策略调整。 2. 策划并执行针对特定疾病领域的学术交流活动，邀请知名专家进行专题讲座，增强医生对公司品牌的信任感，推动新产品上市后的快速普及应用。 3. 结合最新的临床指南和研究进展，编写高质量的产品介绍材料和培训手册，协助销…</x:v>
      </x:c>
    </x:row>
    <x:row r="588" ht="52" customHeight="1">
      <x:c r="A588" s="42" t="n">
        <x:v>259</x:v>
      </x:c>
      <x:c r="B588" s="39" t="str">
        <x:v>医药学术推广</x:v>
      </x:c>
      <x:c r="C588" s="39" t="str">
        <x:v>可直接合并</x:v>
      </x:c>
      <x:c r="D588" s="39" t="str">
        <x:v>医药学术推广</x:v>
      </x:c>
      <x:c r="E588" s="42" t="n">
        <x:v>232</x:v>
      </x:c>
      <x:c r="F588" s="39" t="str">
        <x:v>IC-L3-383</x:v>
      </x:c>
      <x:c r="G588" s="42" t="n">
        <x:v>383</x:v>
      </x:c>
      <x:c r="H588" s="39" t="str">
        <x:v>医药/医疗 &gt; 生物制药 &gt; 医药学术推广</x:v>
      </x:c>
      <x:c r="I588" s="39" t="str">
        <x:v>2-06-07-07</x:v>
      </x:c>
      <x:c r="J588" s="39" t="str">
        <x:v>医药代表</x:v>
      </x:c>
      <x:c r="K588" s="39" t="str">
        <x:v>医药学术推广专员在医药行业中扮演着至关重要的角色，尤其是在生物制药领域。他们不仅是产品知识与医学信息之间的桥梁，还承担着将最新的科研成果转化为临床应用的任务，对于推动医疗技术进步、提升患者治疗效果有着不可替代的作用。 该职位的核心目标是通过科学有效的手段，提高医生及医疗机构对公司产品的认知度与接受度，从而促进销售增长。同时，它也肩负着收集市场反馈、协助研发部…</x:v>
      </x:c>
      <x:c r="L588" s="39" t="str">
        <x:v>1. 定期拜访目标医院及科室，向医生介绍公司最新药品信息及研究成果，确保信息传递准确无误。 2. 组织并参与各类学术会议、研讨会等活动，搭建专业交流平台，增强公司在目标客户群体中的影响力。 3. 收集整理来自一线医生的反馈意见，及时反馈给内部相关部门，为产品改进提供依据。 4. 协助制定年度学术推广计划，包括预算编制、活动策划等，确保各项活动顺利开展。 5.…</x:v>
      </x:c>
    </x:row>
    <x:row r="589" ht="52" customHeight="1">
      <x:c r="A589" s="42" t="n">
        <x:v>260</x:v>
      </x:c>
      <x:c r="B589" s="39" t="str">
        <x:v>医院管理人员</x:v>
      </x:c>
      <x:c r="C589" s="39" t="str">
        <x:v>条件合并（先修分类）</x:v>
      </x:c>
      <x:c r="D589" s="39" t="str">
        <x:v>医院管理人员</x:v>
      </x:c>
      <x:c r="E589" s="42" t="n">
        <x:v>170</x:v>
      </x:c>
      <x:c r="F589" s="39" t="str">
        <x:v>IC-L3-321</x:v>
      </x:c>
      <x:c r="G589" s="42" t="n">
        <x:v>321</x:v>
      </x:c>
      <x:c r="H589" s="39" t="str">
        <x:v>医药/医疗 &gt; 医生/医技 &gt; 医院管理人员</x:v>
      </x:c>
      <x:c r="I589" s="39" t="str">
        <x:v>2-05-01-19</x:v>
      </x:c>
      <x:c r="J589" s="39" t="str">
        <x:v>全科医师</x:v>
      </x:c>
      <x:c r="K589" s="39" t="str">
        <x:v>医院管理人员是医药/医疗行业中不可或缺的角色，他们不仅负责确保医疗机构的日常运营顺畅高效，还承担着提升患者满意度和服务质量的重要使命。通过优化资源配置、推动技术创新以及加强团队建设等措施，医院管理人员能够显著提高医疗机构的整体绩效，为公司创造更大的经济和社会价值。此外，该职位还需与多个部门密切合作，如临床科室、财务部、人力资源部等，以实现跨职能协同工作；同时…</x:v>
      </x:c>
      <x:c r="L589" s="39" t="str">
        <x:v>1. 制定并实施医院管理策略，确保各项业务流程符合国家法律法规及行业标准，旨在提高医疗服务质量和效率。 2. 负责监督预算编制与执行过程，合理分配财务资源，控制成本开支，保障医院经济效益最大化。 3. 组织开展员工培训与发展项目，培养高素质的医疗人才，构建积极向上的工作氛围，促进团队凝聚力。 4. 协调各部门之间的沟通与合作，解决工作中出现的问题，维护良好的…</x:v>
      </x:c>
    </x:row>
    <x:row r="590" ht="52" customHeight="1">
      <x:c r="A590" s="42" t="n">
        <x:v>260</x:v>
      </x:c>
      <x:c r="B590" s="39" t="str">
        <x:v>医院管理人员</x:v>
      </x:c>
      <x:c r="C590" s="39" t="str">
        <x:v>条件合并（先修分类）</x:v>
      </x:c>
      <x:c r="D590" s="39" t="str">
        <x:v>医院管理人员</x:v>
      </x:c>
      <x:c r="E590" s="42" t="n">
        <x:v>219</x:v>
      </x:c>
      <x:c r="F590" s="39" t="str">
        <x:v>IC-L3-370</x:v>
      </x:c>
      <x:c r="G590" s="42" t="n">
        <x:v>370</x:v>
      </x:c>
      <x:c r="H590" s="39" t="str">
        <x:v>医药/医疗 &gt; 护理/护士 &gt; 医院管理人员</x:v>
      </x:c>
      <x:c r="I590" s="39" t="str">
        <x:v>2-05-08-01</x:v>
      </x:c>
      <x:c r="J590" s="39" t="str">
        <x:v>内科护士</x:v>
      </x:c>
      <x:c r="K590" s="39" t="str">
        <x:v>医院管理人员是专门从事医疗机构运营管理的专业人员。该职位的核心目标是通过优化资源配置和流程管理，提升医疗服务质量和运营效率。在日常工作中，需要进行科室协调、护理团队管理、预算控制及医疗质量监督等工作。</x:v>
      </x:c>
      <x:c r="L590" s="39" t="str">
        <x:v>1. 制定护理工作计划 2. 管理护理人员团队 3. 监督护理服务质量 4. 优化护理工作流程 5. 协调医疗资源分配 6. 处理患者投诉建议</x:v>
      </x:c>
    </x:row>
    <x:row r="591" ht="52" customHeight="1">
      <x:c r="A591" s="42" t="n">
        <x:v>261</x:v>
      </x:c>
      <x:c r="B591" s="39" t="str">
        <x:v>艺术/设计总监</x:v>
      </x:c>
      <x:c r="C591" s="39" t="str">
        <x:v>条件合并（先修分类）</x:v>
      </x:c>
      <x:c r="D591" s="39" t="str">
        <x:v>艺术/设计总监</x:v>
      </x:c>
      <x:c r="E591" s="42" t="n">
        <x:v>522</x:v>
      </x:c>
      <x:c r="F591" s="39" t="str">
        <x:v>IC-L3-673</x:v>
      </x:c>
      <x:c r="G591" s="42" t="n">
        <x:v>673</x:v>
      </x:c>
      <x:c r="H591" s="39" t="str">
        <x:v>文化/传媒 &gt; 影视/媒体 &gt; 艺术/设计总监</x:v>
      </x:c>
      <x:c r="I591" s="39" t="str">
        <x:v>2-09-06-01</x:v>
      </x:c>
      <x:c r="J591" s="39" t="str">
        <x:v>视觉传达设计人员</x:v>
      </x:c>
      <x:c r="K591" s="39" t="str">
        <x:v>艺术/设计总监是文化/传媒行业中至关重要的角色之一，尤其在影视/媒体领域中扮演着创意引领者的角色。作为视觉传达的灵魂人物，他们不仅负责塑造品牌形象，还直接参与产品或项目的创意构思与视觉风格制定，确保作品的艺术质量和市场竞争力。 艺术/设计总监的核心目标在于通过创新的设计方案提升公司品牌的知名度与影响力，为公司创造更大的商业价值。他们需要密切关注行业趋势，结合…</x:v>
      </x:c>
      <x:c r="L591" s="39" t="str">
        <x:v>1. 负责制定并执行整体视觉风格和品牌形象设计策略，确保所有输出内容符合公司定位及市场需求。 2. 领导并激励设计团队，提供专业指导和支持，激发团队成员的创造力，保证项目按时按质完成。 3. 与客户或其他业务部门密切配合，准确理解需求，提出有效的解决方案，维护良好的客户关系。 4. 关注国内外设计潮流和技术发展，持续优化工作流程，推动团队技能升级。 5. 定…</x:v>
      </x:c>
    </x:row>
    <x:row r="592" ht="52" customHeight="1">
      <x:c r="A592" s="42" t="n">
        <x:v>261</x:v>
      </x:c>
      <x:c r="B592" s="39" t="str">
        <x:v>艺术/设计总监</x:v>
      </x:c>
      <x:c r="C592" s="39" t="str">
        <x:v>条件合并（先修分类）</x:v>
      </x:c>
      <x:c r="D592" s="39" t="str">
        <x:v>艺术/设计总监</x:v>
      </x:c>
      <x:c r="E592" s="42" t="n">
        <x:v>978</x:v>
      </x:c>
      <x:c r="F592" s="39" t="str">
        <x:v>IC-L3-1129</x:v>
      </x:c>
      <x:c r="G592" s="42" t="n">
        <x:v>1129</x:v>
      </x:c>
      <x:c r="H592" s="39" t="str">
        <x:v>设计 &gt; 工业设计 &gt; 艺术/设计总监</x:v>
      </x:c>
      <x:c r="I592" s="39" t="str">
        <x:v>2-02-07-01</x:v>
      </x:c>
      <x:c r="J592" s="39" t="str">
        <x:v>机械设计工程技术人员</x:v>
      </x:c>
      <x:c r="K592" s="39" t="str">
        <x:v>艺术/设计总监是专门从事工业设计创意与战略规划的专业人员。该职位的核心目标是通过领导设计团队，打造创新且实用的产品设计方案，实现品牌价值提升。在日常工作中，需要进行设计方向把控、项目进度管理、跨部门协作沟通等工作。</x:v>
      </x:c>
      <x:c r="L592" s="39" t="str">
        <x:v>1. 制定设计战略方向 2. 主导产品设计开发 3. 把控设计质量标准 4. 管理设计团队运作 5. 协调跨部门合作 6. 跟踪行业趋势动态</x:v>
      </x:c>
    </x:row>
    <x:row r="593" ht="52" customHeight="1">
      <x:c r="A593" s="42" t="n">
        <x:v>262</x:v>
      </x:c>
      <x:c r="B593" s="39" t="str">
        <x:v>音乐老师</x:v>
      </x:c>
      <x:c r="C593" s="39" t="str">
        <x:v>可直接合并</x:v>
      </x:c>
      <x:c r="D593" s="39" t="str">
        <x:v>音乐老师</x:v>
      </x:c>
      <x:c r="E593" s="42" t="n">
        <x:v>828</x:v>
      </x:c>
      <x:c r="F593" s="39" t="str">
        <x:v>IC-L3-979</x:v>
      </x:c>
      <x:c r="G593" s="42" t="n">
        <x:v>979</x:v>
      </x:c>
      <x:c r="H593" s="39" t="str">
        <x:v>生活服务/零售 &gt; 服务员 &gt; 音乐老师</x:v>
      </x:c>
      <x:c r="I593" s="39" t="str">
        <x:v>2-09-07-01</x:v>
      </x:c>
      <x:c r="J593" s="39" t="str">
        <x:v>教练员</x:v>
      </x:c>
      <x:c r="K593" s="39" t="str">
        <x:v>音乐老师是专门从事音乐教育的专业人员。该职位的核心目标是通过音乐教学，提升服务员的艺术素养和服务品质。在日常工作中，需要进行音乐课程设计、乐器/声乐教学、团队音乐活动组织等工作。</x:v>
      </x:c>
      <x:c r="L593" s="39" t="str">
        <x:v>1. 教授基础音乐知识 2. 指导乐器演奏技巧 3. 组织音乐表演活动 4. 制定教学课程计划 5. 评估学生音乐水平 6. 维护乐器设备状态</x:v>
      </x:c>
    </x:row>
    <x:row r="594" ht="52" customHeight="1">
      <x:c r="A594" s="42" t="n">
        <x:v>262</x:v>
      </x:c>
      <x:c r="B594" s="39" t="str">
        <x:v>音乐老师</x:v>
      </x:c>
      <x:c r="C594" s="39" t="str">
        <x:v>可直接合并</x:v>
      </x:c>
      <x:c r="D594" s="39" t="str">
        <x:v>音乐老师</x:v>
      </x:c>
      <x:c r="E594" s="42" t="n">
        <x:v>893</x:v>
      </x:c>
      <x:c r="F594" s="39" t="str">
        <x:v>IC-L3-1044</x:v>
      </x:c>
      <x:c r="G594" s="42" t="n">
        <x:v>1044</x:v>
      </x:c>
      <x:c r="H594" s="39" t="str">
        <x:v>科研/教育/培训 &gt; 教师 &gt; 音乐老师</x:v>
      </x:c>
      <x:c r="I594" s="39" t="str">
        <x:v>2-09-07-01</x:v>
      </x:c>
      <x:c r="J594" s="39" t="str">
        <x:v>教练员</x:v>
      </x:c>
      <x:c r="K594" s="39" t="str">
        <x:v>音乐老师是科研/教育/培训行业中不可或缺的专业人才，他们不仅负责传授音乐知识与技能，还肩负着培养学生艺术修养及审美情趣的重要使命。音乐老师的教学活动对于丰富学生的精神世界、促进个性发展具有不可替代的作用，同时也有助于传承和发展人类文明中的音乐艺术遗产。 作为音乐老师，其核心目标在于激发学生的音乐兴趣，提高他们的音乐素养，帮助学生掌握基本的音乐理论知识和演奏技…</x:v>
      </x:c>
      <x:c r="L594" s="39" t="str">
        <x:v>1. 负责音乐课程的教学工作，包括声乐、器乐等多个领域，确保教学质量达到学校要求。 2. 组织并指导各类音乐活动，如校内外演出、比赛等，提高学生的实践能力和舞台表现力。 3. 定期评估学生的学习进度，及时调整教学计划，满足不同层次学生的需求。 4. 与家长保持良好沟通，定期反馈学生在校表现，协助解决学习过程中遇到的问题。 5. 参加学校组织的教研会议，分享教…</x:v>
      </x:c>
    </x:row>
    <x:row r="595" ht="52" customHeight="1">
      <x:c r="A595" s="42" t="n">
        <x:v>263</x:v>
      </x:c>
      <x:c r="B595" s="39" t="str">
        <x:v>用户研究</x:v>
      </x:c>
      <x:c r="C595" s="39" t="str">
        <x:v>条件合并（先修分类）</x:v>
      </x:c>
      <x:c r="D595" s="39" t="str">
        <x:v>用户研究</x:v>
      </x:c>
      <x:c r="E595" s="42" t="n">
        <x:v>104</x:v>
      </x:c>
      <x:c r="F595" s="39" t="str">
        <x:v>IC-L3-255</x:v>
      </x:c>
      <x:c r="G595" s="42" t="n">
        <x:v>255</x:v>
      </x:c>
      <x:c r="H595" s="39" t="str">
        <x:v>产品 &gt; 互联网产品经理 &gt; 用户研究</x:v>
      </x:c>
      <x:c r="I595" s="39" t="str">
        <x:v>2-02-10-03</x:v>
      </x:c>
      <x:c r="J595" s="39" t="str">
        <x:v>计算机软件工程技术人员</x:v>
      </x:c>
      <x:c r="K595" s="39" t="str">
        <x:v>用户研究作为互联网产品经理的一个重要方向，在产品开发过程中扮演着至关重要的角色。通过深入了解目标用户的需求、行为习惯以及偏好，用户研究能够帮助企业更精准地定位市场，设计出符合用户期待的产品和服务。该职位不仅能够推动产品迭代与创新，还能有效降低开发成本，提高市场竞争力。 用户研究的核心目标在于收集并分析用户数据，提炼出有价值的洞察，为产品策略提供科学依据。这包…</x:v>
      </x:c>
      <x:c r="L595" s="39" t="str">
        <x:v>1. 设计并执行用户调研计划，涵盖在线调查、面对面访谈等多种形式，以全面了解用户需求及痛点。 2. 分析用户行为数据，运用定量和定性的研究方法，撰写详细的用户研究报告，为产品决策提供有力支持。 3. 与跨职能团队密切配合，将用户研究结果融入产品设计流程中，持续改进产品的易用性和满意度。 4. 跟踪竞品动态，定期进行市场趋势分析，预测未来发展方向，协助制定长期…</x:v>
      </x:c>
    </x:row>
    <x:row r="596" ht="52" customHeight="1">
      <x:c r="A596" s="42" t="n">
        <x:v>263</x:v>
      </x:c>
      <x:c r="B596" s="39" t="str">
        <x:v>用户研究</x:v>
      </x:c>
      <x:c r="C596" s="39" t="str">
        <x:v>条件合并（先修分类）</x:v>
      </x:c>
      <x:c r="D596" s="39" t="str">
        <x:v>用户研究</x:v>
      </x:c>
      <x:c r="E596" s="42" t="n">
        <x:v>959</x:v>
      </x:c>
      <x:c r="F596" s="39" t="str">
        <x:v>IC-L3-1110</x:v>
      </x:c>
      <x:c r="G596" s="42" t="n">
        <x:v>1110</x:v>
      </x:c>
      <x:c r="H596" s="39" t="str">
        <x:v>设计 &gt; 互联网设计 &gt; 用户研究</x:v>
      </x:c>
      <x:c r="I596" s="39" t="str">
        <x:v>2-09-06-01</x:v>
      </x:c>
      <x:c r="J596" s="39" t="str">
        <x:v>视觉传达设计人员</x:v>
      </x:c>
      <x:c r="K596" s="39" t="str">
        <x:v>用户研究作为互联网设计领域的重要组成部分，其核心在于通过深入理解用户需求和行为模式，为企业提供精准的产品和服务优化建议。这一职位不仅要求具备扎实的研究方法论基础，还需要能够灵活运用多种工具和技术手段来收集并分析数据。 该职位的主要目标是确保产品从概念到发布的每一个环节都能以用户为中心，通过持续地监测市场趋势及用户反馈，帮助公司准确把握目标群体的需求变化，从而…</x:v>
      </x:c>
      <x:c r="L596" s="39" t="str">
        <x:v>1. 设计并执行用户研究计划，涵盖定量调研（如在线问卷）和定性访谈（如深度访谈、焦点小组），旨在深入了解目标用户的偏好和行为习惯。 2. 分析研究数据，提炼关键洞察，撰写详尽的研究报告，为产品设计和策略调整提供科学依据。 3. 与跨职能团队沟通研究成果，确保所有相关方都充分理解用户需求，并据此制定或优化设计方案。 4. 定期跟踪竞品动态及行业趋势，评估外部因…</x:v>
      </x:c>
    </x:row>
    <x:row r="597" ht="52" customHeight="1">
      <x:c r="A597" s="42" t="n">
        <x:v>264</x:v>
      </x:c>
      <x:c r="B597" s="39" t="str">
        <x:v>用户运营</x:v>
      </x:c>
      <x:c r="C597" s="39" t="str">
        <x:v>可直接合并</x:v>
      </x:c>
      <x:c r="D597" s="39" t="str">
        <x:v>用户运营</x:v>
      </x:c>
      <x:c r="E597" s="42" t="n">
        <x:v>84</x:v>
      </x:c>
      <x:c r="F597" s="39" t="str">
        <x:v>IC-L3-235</x:v>
      </x:c>
      <x:c r="G597" s="42" t="n">
        <x:v>235</x:v>
      </x:c>
      <x:c r="H597" s="39" t="str">
        <x:v>互联网技术 &gt; 运维/技术支持 &gt; 用户运营</x:v>
      </x:c>
      <x:c r="I597" s="39" t="str">
        <x:v>4-04-05-01</x:v>
      </x:c>
      <x:c r="J597" s="39" t="str">
        <x:v>计算机程序设计员</x:v>
      </x:c>
      <x:c r="K597" s="39" t="str">
        <x:v>用户运营是专门从事用户关系管理与价值提升的专业人员。该职位的核心目标是通过优化用户体验和建立长期互动机制，实现用户留存率和满意度的持续提升。在日常工作中，需要进行用户需求分析、问题反馈处理、运营活动策划及数据监控优化等工作。</x:v>
      </x:c>
      <x:c r="L597" s="39" t="str">
        <x:v>1. 制定运营策略 2. 优化用户体验 3. 处理用户反馈 4. 分析运营数据 5. 维护用户关系 6. 提升用户粘性</x:v>
      </x:c>
    </x:row>
    <x:row r="598" ht="52" customHeight="1">
      <x:c r="A598" s="42" t="n">
        <x:v>264</x:v>
      </x:c>
      <x:c r="B598" s="39" t="str">
        <x:v>用户运营</x:v>
      </x:c>
      <x:c r="C598" s="39" t="str">
        <x:v>可直接合并</x:v>
      </x:c>
      <x:c r="D598" s="39" t="str">
        <x:v>用户运营</x:v>
      </x:c>
      <x:c r="E598" s="42" t="n">
        <x:v>1086</x:v>
      </x:c>
      <x:c r="F598" s="39" t="str">
        <x:v>IC-L3-1237</x:v>
      </x:c>
      <x:c r="G598" s="42" t="n">
        <x:v>1237</x:v>
      </x:c>
      <x:c r="H598" s="39" t="str">
        <x:v>运营 &gt; 业务运营 &gt; 用户运营</x:v>
      </x:c>
      <x:c r="I598" s="39" t="str">
        <x:v>4-04-05-01</x:v>
      </x:c>
      <x:c r="J598" s="39" t="str">
        <x:v>计算机程序设计员</x:v>
      </x:c>
      <x:c r="K598" s="39" t="str">
        <x:v>用户运营是运营领域中至关重要的环节之一，它专注于通过各种策略和活动来提升用户体验，增强用户粘性，从而促进用户的活跃度与忠诚度。该职位不仅在推动产品或服务的发展上扮演着核心角色，还直接关系到企业品牌形象的建立与维护。 作为用户运营专员，您的主要任务是制定并执行有效的用户增长计划，确保新用户的获取及现有用户的留存。您将负责分析用户行为数据，识别潜在问题点，并提出…</x:v>
      </x:c>
      <x:c r="L598" s="39" t="str">
        <x:v>1. 负责制定并执行用户增长策略，定期评估效果并进行调整优化，以达到既定的用户规模目标。 2. 分析用户行为数据，挖掘用户需求与痛点，据此设计有针对性的运营活动，提高用户满意度和参与度。 3. 与产品和技术团队沟通协作，推动功能改进和服务升级，确保能够满足不同层次用户的需求。 4. 组织并管理线上线下的社区活动，建立和维护积极健康的用户生态，促进良好口碑的传…</x:v>
      </x:c>
    </x:row>
    <x:row r="599" ht="52" customHeight="1">
      <x:c r="A599" s="42" t="n">
        <x:v>265</x:v>
      </x:c>
      <x:c r="B599" s="39" t="str">
        <x:v>游戏测试</x:v>
      </x:c>
      <x:c r="C599" s="39" t="str">
        <x:v>可直接合并</x:v>
      </x:c>
      <x:c r="D599" s="39" t="str">
        <x:v>游戏测试</x:v>
      </x:c>
      <x:c r="E599" s="42" t="n">
        <x:v>61</x:v>
      </x:c>
      <x:c r="F599" s="39" t="str">
        <x:v>IC-L3-212</x:v>
      </x:c>
      <x:c r="G599" s="42" t="n">
        <x:v>212</x:v>
      </x:c>
      <x:c r="H599" s="39" t="str">
        <x:v>互联网技术 &gt; 测试 &gt; 游戏测试</x:v>
      </x:c>
      <x:c r="I599" s="39" t="str">
        <x:v>2-09-06-01</x:v>
      </x:c>
      <x:c r="J599" s="39" t="str">
        <x:v>视觉传达设计人员</x:v>
      </x:c>
      <x:c r="K599" s="39" t="str">
        <x:v>游戏测试工程师是互联网技术领域中不可或缺的角色，特别是在游戏开发过程中，他们通过严谨细致的测试工作确保产品质量，提升用户体验，对产品的成功发布起到关键作用。该职位的核心目标在于发现并记录软件缺陷，协助开发团队优化产品性能，确保游戏的稳定性和兼容性，从而提高用户满意度和市场竞争力，对公司的品牌建设和长远发展具有重要意义。游戏测试工程师不仅与开发、设计等多部门紧…</x:v>
      </x:c>
      <x:c r="L599" s="39" t="str">
        <x:v>1. 负责游戏功能、界面、性能等方面的全面测试，确保每个环节均符合设计要求和质量标准。 2. 编写详细的测试计划和测试用例，执行测试流程，准确记录测试结果，及时反馈问题并跟踪修复情况。 3. 与开发人员密切沟通，快速定位并解决游戏中出现的技术难题，保证项目按时上线。 4. 参与需求评审会议，从测试角度提出建议，预防潜在风险，优化产品设计。 5. 定期总结测试…</x:v>
      </x:c>
    </x:row>
    <x:row r="600" ht="52" customHeight="1">
      <x:c r="A600" s="42" t="n">
        <x:v>265</x:v>
      </x:c>
      <x:c r="B600" s="39" t="str">
        <x:v>游戏测试</x:v>
      </x:c>
      <x:c r="C600" s="39" t="str">
        <x:v>可直接合并</x:v>
      </x:c>
      <x:c r="D600" s="39" t="str">
        <x:v>游戏测试</x:v>
      </x:c>
      <x:c r="E600" s="42" t="n">
        <x:v>66</x:v>
      </x:c>
      <x:c r="F600" s="39" t="str">
        <x:v>IC-L3-217</x:v>
      </x:c>
      <x:c r="G600" s="42" t="n">
        <x:v>217</x:v>
      </x:c>
      <x:c r="H600" s="39" t="str">
        <x:v>互联网技术 &gt; 游戏开发 &gt; 游戏测试</x:v>
      </x:c>
      <x:c r="I600" s="39" t="str">
        <x:v>2-09-06-01</x:v>
      </x:c>
      <x:c r="J600" s="39" t="str">
        <x:v>视觉传达设计人员</x:v>
      </x:c>
      <x:c r="K600" s="39" t="str">
        <x:v>游戏测试是专门从事游戏质量保障的专业人员。该职位的核心目标是通过系统化测试流程，确保游戏产品的功能完整性和用户体验。在日常工作中，需要进行用例设计、缺陷跟踪、兼容性测试及性能测试等工作。</x:v>
      </x:c>
      <x:c r="L600" s="39" t="str">
        <x:v>1. 执行功能测试 2. 发现游戏缺陷 3. 记录测试结果 4. 验证修复效果 5. 评估游戏体验 6. 编写测试报告</x:v>
      </x:c>
    </x:row>
    <x:row r="601" ht="52" customHeight="1">
      <x:c r="A601" s="42" t="n">
        <x:v>266</x:v>
      </x:c>
      <x:c r="B601" s="39" t="str">
        <x:v>游戏动画师</x:v>
      </x:c>
      <x:c r="C601" s="39" t="str">
        <x:v>可直接合并</x:v>
      </x:c>
      <x:c r="D601" s="39" t="str">
        <x:v>游戏动画师</x:v>
      </x:c>
      <x:c r="E601" s="42" t="n">
        <x:v>70</x:v>
      </x:c>
      <x:c r="F601" s="39" t="str">
        <x:v>IC-L3-221</x:v>
      </x:c>
      <x:c r="G601" s="42" t="n">
        <x:v>221</x:v>
      </x:c>
      <x:c r="H601" s="39" t="str">
        <x:v>互联网技术 &gt; 游戏开发 &gt; 游戏动画师</x:v>
      </x:c>
      <x:c r="I601" s="39" t="str">
        <x:v>2-09-06-01</x:v>
      </x:c>
      <x:c r="J601" s="39" t="str">
        <x:v>视觉传达设计人员</x:v>
      </x:c>
      <x:c r="K601" s="39" t="str">
        <x:v>游戏动画师是专门从事游戏角色和场景动画创作的专业人员。该职位的核心目标是通过制作高质量的动作和特效动画，提升游戏的表现力和沉浸感。在日常工作中，需要进行角色动画设计、动作捕捉处理、动画资源优化等工作。</x:v>
      </x:c>
      <x:c r="L601" s="39" t="str">
        <x:v>1. 制作游戏角色动画 2. 设计动作过渡效果 3. 优化动画性能表现 4. 配合程序实现动画 5. 调整动画节奏细节 6. 维护动画资源库</x:v>
      </x:c>
    </x:row>
    <x:row r="602" ht="52" customHeight="1">
      <x:c r="A602" s="42" t="n">
        <x:v>266</x:v>
      </x:c>
      <x:c r="B602" s="39" t="str">
        <x:v>游戏动画师</x:v>
      </x:c>
      <x:c r="C602" s="39" t="str">
        <x:v>可直接合并</x:v>
      </x:c>
      <x:c r="D602" s="39" t="str">
        <x:v>游戏动画师</x:v>
      </x:c>
      <x:c r="E602" s="42" t="n">
        <x:v>1022</x:v>
      </x:c>
      <x:c r="F602" s="39" t="str">
        <x:v>IC-L3-1173</x:v>
      </x:c>
      <x:c r="G602" s="42" t="n">
        <x:v>1173</x:v>
      </x:c>
      <x:c r="H602" s="39" t="str">
        <x:v>设计 &gt; 游戏设计 &gt; 游戏动画师</x:v>
      </x:c>
      <x:c r="I602" s="39" t="str">
        <x:v>2-09-06-01</x:v>
      </x:c>
      <x:c r="J602" s="39" t="str">
        <x:v>视觉传达设计人员</x:v>
      </x:c>
      <x:c r="K602" s="39" t="str">
        <x:v>游戏动画师是游戏开发中不可或缺的角色，他们通过精湛的技术将游戏角色的动作、表情等元素生动地呈现给玩家，极大地提升了游戏的沉浸感和娱乐性。在游戏设计领域，游戏动画师不仅负责创建高质量的动画效果，还承担着优化游戏性能的任务，确保动画流畅运行的同时，减少资源消耗，从而提高整体游戏体验，增加用户满意度和忠诚度。此外，游戏动画师经常与美术设计师、程序员以及项目管理团队…</x:v>
      </x:c>
      <x:c r="L602" s="39" t="str">
        <x:v>1. 负责游戏中角色、道具、场景等元素的动画制作，确保符合项目风格要求，提升视觉效果。 2. 与美术部门沟通协作，准确理解原画设定，将静态概念转化为动态表现，增强游戏故事叙述力。 3. 运用专业软件（如Maya, 3ds Max）完成从模型绑定到最终渲染的全流程操作，保证动画质量达到高标准。 4. 对现有动画资源进行优化，降低内存占用，加快加载速度，改善玩家…</x:v>
      </x:c>
    </x:row>
    <x:row r="603" ht="52" customHeight="1">
      <x:c r="A603" s="42" t="n">
        <x:v>267</x:v>
      </x:c>
      <x:c r="B603" s="39" t="str">
        <x:v>游戏数值策划</x:v>
      </x:c>
      <x:c r="C603" s="39" t="str">
        <x:v>可直接合并</x:v>
      </x:c>
      <x:c r="D603" s="39" t="str">
        <x:v>游戏数值策划</x:v>
      </x:c>
      <x:c r="E603" s="42" t="n">
        <x:v>118</x:v>
      </x:c>
      <x:c r="F603" s="39" t="str">
        <x:v>IC-L3-269</x:v>
      </x:c>
      <x:c r="G603" s="42" t="n">
        <x:v>269</x:v>
      </x:c>
      <x:c r="H603" s="39" t="str">
        <x:v>产品 &gt; 游戏策划 &gt; 游戏数值策划</x:v>
      </x:c>
      <x:c r="I603" s="39" t="str">
        <x:v>2-09-06-01</x:v>
      </x:c>
      <x:c r="J603" s="39" t="str">
        <x:v>视觉传达设计人员</x:v>
      </x:c>
      <x:c r="K603" s="39" t="str">
        <x:v>游戏数值策划是游戏开发过程中的关键角色之一，负责游戏内各种数据的设计与平衡，确保玩家体验的趣味性和挑战性。通过精准的数据分析和设计，数值策划能够直接影响游戏的经济系统、战斗机制等核心玩法，从而提升游戏的整体质量和市场竞争力。此外，该职位需要与美术、程序、测试等多个部门紧密合作，共同推动项目进展，同时也有着广阔的职业发展空间，如高级策划、项目经理等。</x:v>
      </x:c>
      <x:c r="L603" s="39" t="str">
        <x:v>1. 负责游戏中所有数值系统的规划与设计工作，包括但不限于角色属性、技能效果、道具价格等，确保数值体系的合理性与平衡性。 2. 运用统计学方法对游戏数据进行深入分析，及时发现并解决数值不平衡问题，持续优化玩家的游戏体验。 3. 与美术、程序等部门保持良好沟通，准确传达数值需求，确保设计方案能够被正确实现。 4. 定期收集用户反馈，评估数值调整方案的效果，根据…</x:v>
      </x:c>
    </x:row>
    <x:row r="604" ht="52" customHeight="1">
      <x:c r="A604" s="42" t="n">
        <x:v>267</x:v>
      </x:c>
      <x:c r="B604" s="39" t="str">
        <x:v>游戏数值策划</x:v>
      </x:c>
      <x:c r="C604" s="39" t="str">
        <x:v>可直接合并</x:v>
      </x:c>
      <x:c r="D604" s="39" t="str">
        <x:v>游戏数值策划</x:v>
      </x:c>
      <x:c r="E604" s="42" t="n">
        <x:v>1028</x:v>
      </x:c>
      <x:c r="F604" s="39" t="str">
        <x:v>IC-L3-1179</x:v>
      </x:c>
      <x:c r="G604" s="42" t="n">
        <x:v>1179</x:v>
      </x:c>
      <x:c r="H604" s="39" t="str">
        <x:v>设计 &gt; 游戏设计 &gt; 游戏数值策划</x:v>
      </x:c>
      <x:c r="I604" s="39" t="str">
        <x:v>2-09-06-01</x:v>
      </x:c>
      <x:c r="J604" s="39" t="str">
        <x:v>视觉传达设计人员</x:v>
      </x:c>
      <x:c r="K604" s="39" t="str">
        <x:v>游戏数值策划是专门从事游戏系统数值设计与平衡的专业人员。该职位的核心目标是通过构建合理的数值模型，实现游戏体验的平衡性与可玩性。在日常工作中，需要进行数值体系设计、平衡性测试、经济系统优化、成长曲线调整等工作。</x:v>
      </x:c>
      <x:c r="L604" s="39" t="str">
        <x:v>1. 设计游戏数值体系 2. 平衡角色属性成长 3. 调整战斗公式参数 4. 优化经济系统模型 5. 验证数值设计合理性 6. 编写数值配置文档</x:v>
      </x:c>
    </x:row>
    <x:row r="605" ht="52" customHeight="1">
      <x:c r="A605" s="42" t="n">
        <x:v>268</x:v>
      </x:c>
      <x:c r="B605" s="39" t="str">
        <x:v>游戏特效设计师</x:v>
      </x:c>
      <x:c r="C605" s="39" t="str">
        <x:v>可直接合并</x:v>
      </x:c>
      <x:c r="D605" s="39" t="str">
        <x:v>游戏特效设计师</x:v>
      </x:c>
      <x:c r="E605" s="42" t="n">
        <x:v>69</x:v>
      </x:c>
      <x:c r="F605" s="39" t="str">
        <x:v>IC-L3-220</x:v>
      </x:c>
      <x:c r="G605" s="42" t="n">
        <x:v>220</x:v>
      </x:c>
      <x:c r="H605" s="39" t="str">
        <x:v>互联网技术 &gt; 游戏开发 &gt; 游戏特效设计师</x:v>
      </x:c>
      <x:c r="I605" s="39" t="str">
        <x:v>2-09-06-01</x:v>
      </x:c>
      <x:c r="J605" s="39" t="str">
        <x:v>视觉传达设计人员</x:v>
      </x:c>
      <x:c r="K605" s="39" t="str">
        <x:v>游戏特效设计师是专门从事游戏视觉特效创作的专业人员。该职位的核心目标是通过设计高质量的特效效果，提升游戏的表现力和沉浸感。在日常工作中，需要进行特效创意设计、动画制作、粒子系统调试以及与其他美术和程序团队协作等工作。</x:v>
      </x:c>
      <x:c r="L605" s="39" t="str">
        <x:v>1. 设计游戏特效方案 2. 制作视觉特效素材 3. 优化特效性能表现 4. 配合程序实现特效 5. 测试特效实际效果 6. 跟进特效迭代更新</x:v>
      </x:c>
    </x:row>
    <x:row r="606" ht="52" customHeight="1">
      <x:c r="A606" s="42" t="n">
        <x:v>268</x:v>
      </x:c>
      <x:c r="B606" s="39" t="str">
        <x:v>游戏特效设计师</x:v>
      </x:c>
      <x:c r="C606" s="39" t="str">
        <x:v>可直接合并</x:v>
      </x:c>
      <x:c r="D606" s="39" t="str">
        <x:v>游戏特效设计师</x:v>
      </x:c>
      <x:c r="E606" s="42" t="n">
        <x:v>1025</x:v>
      </x:c>
      <x:c r="F606" s="39" t="str">
        <x:v>IC-L3-1176</x:v>
      </x:c>
      <x:c r="G606" s="42" t="n">
        <x:v>1176</x:v>
      </x:c>
      <x:c r="H606" s="39" t="str">
        <x:v>设计 &gt; 游戏设计 &gt; 游戏特效设计师</x:v>
      </x:c>
      <x:c r="I606" s="39" t="str">
        <x:v>2-09-06-01</x:v>
      </x:c>
      <x:c r="J606" s="39" t="str">
        <x:v>视觉传达设计人员</x:v>
      </x:c>
      <x:c r="K606" s="39" t="str">
        <x:v>游戏特效设计师是游戏开发团队中不可或缺的一员，他们通过创造性的视觉效果增强游戏的沉浸感和吸引力，对于提升玩家体验起着至关重要的作用。作为游戏特效设计师，其核心任务在于设计并实现各种动态效果，如技能释放、环境互动等，这些元素不仅能够丰富游戏内容，还能有效传达情感与故事背景，从而增加产品的市场竞争力。此外，本职位还需要与其他美术、程序等部门紧密合作，确保所有视觉…</x:v>
      </x:c>
      <x:c r="L606" s="39" t="str">
        <x:v>1. 负责游戏中各类特效的设计与制作，包括但不限于粒子系统、光影变化等，以提高游戏的视觉冲击力。 2. 与策划、程序等团队成员沟通协作，准确理解需求并按时高质量完成任务，确保特效表现满足预期效果。 3. 根据项目进度调整工作计划，优化现有特效资源，降低内存占用和运行效率，保证游戏性能稳定。 4. 持续关注行业动态和技术革新，学习新的特效制作工具和方法，不断探…</x:v>
      </x:c>
    </x:row>
    <x:row r="607" ht="52" customHeight="1">
      <x:c r="A607" s="42" t="n">
        <x:v>269</x:v>
      </x:c>
      <x:c r="B607" s="39" t="str">
        <x:v>游戏运营</x:v>
      </x:c>
      <x:c r="C607" s="39" t="str">
        <x:v>可直接合并</x:v>
      </x:c>
      <x:c r="D607" s="39" t="str">
        <x:v>游戏运营</x:v>
      </x:c>
      <x:c r="E607" s="42" t="n">
        <x:v>67</x:v>
      </x:c>
      <x:c r="F607" s="39" t="str">
        <x:v>IC-L3-218</x:v>
      </x:c>
      <x:c r="G607" s="42" t="n">
        <x:v>218</x:v>
      </x:c>
      <x:c r="H607" s="39" t="str">
        <x:v>互联网技术 &gt; 游戏开发 &gt; 游戏运营</x:v>
      </x:c>
      <x:c r="I607" s="39" t="str">
        <x:v>2-09-06-01</x:v>
      </x:c>
      <x:c r="J607" s="39" t="str">
        <x:v>视觉传达设计人员</x:v>
      </x:c>
      <x:c r="K607" s="39" t="str">
        <x:v>游戏运营是专门从事游戏产品生命周期管理和用户维护的专业人员。该职位的核心目标是通过精细化运营策略，提升游戏用户活跃度和商业价值。在日常工作中，需要进行版本活动策划、数据分析、用户反馈收集及社区运营等工作。</x:v>
      </x:c>
      <x:c r="L607" s="39" t="str">
        <x:v>1. 策划运营活动方案 2. 监控游戏数据指标 3. 维护玩家社群关系 4. 制定版本更新计划 5. 分析竞品市场动态 6. 优化商业变现策略</x:v>
      </x:c>
    </x:row>
    <x:row r="608" ht="52" customHeight="1">
      <x:c r="A608" s="42" t="n">
        <x:v>269</x:v>
      </x:c>
      <x:c r="B608" s="39" t="str">
        <x:v>游戏运营</x:v>
      </x:c>
      <x:c r="C608" s="39" t="str">
        <x:v>可直接合并</x:v>
      </x:c>
      <x:c r="D608" s="39" t="str">
        <x:v>游戏运营</x:v>
      </x:c>
      <x:c r="E608" s="42" t="n">
        <x:v>1085</x:v>
      </x:c>
      <x:c r="F608" s="39" t="str">
        <x:v>IC-L3-1236</x:v>
      </x:c>
      <x:c r="G608" s="42" t="n">
        <x:v>1236</x:v>
      </x:c>
      <x:c r="H608" s="39" t="str">
        <x:v>运营 &gt; 业务运营 &gt; 游戏运营</x:v>
      </x:c>
      <x:c r="I608" s="39" t="str">
        <x:v>2-09-06-01</x:v>
      </x:c>
      <x:c r="J608" s="39" t="str">
        <x:v>视觉传达设计人员</x:v>
      </x:c>
      <x:c r="K608" s="39" t="str">
        <x:v>游戏运营业务作为运营领域的一个重要分支，在游戏行业中扮演着至关重要的角色。它不仅连接了产品与用户之间的桥梁，还肩负着提升用户体验、促进用户活跃度及留存率的重要使命。通过精准的市场分析、有效的活动策划以及用户行为数据的深度挖掘，游戏运营能够为公司创造持续稳定的收入来源，同时帮助公司树立良好的品牌形象，增强市场竞争力。 该职位不仅需要与研发、市场等部门紧密合作，…</x:v>
      </x:c>
      <x:c r="L608" s="39" t="str">
        <x:v>1. 负责制定并执行游戏运营策略，包括但不限于版本更新、活动策划等，旨在提高用户满意度和活跃度。 2. 分析用户反馈和行为数据，及时调整运营方案，解决用户问题，优化用户体验，以达成提高用户留存率的目标。 3. 协调内部资源，与研发、客服等部门密切配合，确保游戏产品的顺利上线及稳定运行，保障游戏服务质量。 4. 关注行业趋势，研究竞品动向，定期向管理层汇报运营…</x:v>
      </x:c>
    </x:row>
    <x:row r="609" ht="52" customHeight="1">
      <x:c r="A609" s="42" t="n">
        <x:v>270</x:v>
      </x:c>
      <x:c r="B609" s="39" t="str">
        <x:v>游戏制作人</x:v>
      </x:c>
      <x:c r="C609" s="39" t="str">
        <x:v>可直接合并</x:v>
      </x:c>
      <x:c r="D609" s="39" t="str">
        <x:v>游戏制作人</x:v>
      </x:c>
      <x:c r="E609" s="42" t="n">
        <x:v>68</x:v>
      </x:c>
      <x:c r="F609" s="39" t="str">
        <x:v>IC-L3-219</x:v>
      </x:c>
      <x:c r="G609" s="42" t="n">
        <x:v>219</x:v>
      </x:c>
      <x:c r="H609" s="39" t="str">
        <x:v>互联网技术 &gt; 游戏开发 &gt; 游戏制作人</x:v>
      </x:c>
      <x:c r="I609" s="39" t="str">
        <x:v>2-09-06-01</x:v>
      </x:c>
      <x:c r="J609" s="39" t="str">
        <x:v>视觉传达设计人员</x:v>
      </x:c>
      <x:c r="K609" s="39" t="str">
        <x:v>游戏制作人是负责游戏项目全生命周期管理的专业人员。该职位的核心目标是通过协调开发团队、把控项目进度和品质，实现高质量游戏产品的成功交付。在日常工作中，需要进行项目规划、资源调配、团队协调、质量把控和风险管理等工作。</x:v>
      </x:c>
      <x:c r="L609" s="39" t="str">
        <x:v>1. 制定游戏开发计划 2. 把控产品开发进度 3. 协调跨部门资源 4. 管理项目开发预算 5. 评估市场需求趋势 6. 确保产品质量标准</x:v>
      </x:c>
    </x:row>
    <x:row r="610" ht="52" customHeight="1">
      <x:c r="A610" s="42" t="n">
        <x:v>270</x:v>
      </x:c>
      <x:c r="B610" s="39" t="str">
        <x:v>游戏制作人</x:v>
      </x:c>
      <x:c r="C610" s="39" t="str">
        <x:v>可直接合并</x:v>
      </x:c>
      <x:c r="D610" s="39" t="str">
        <x:v>游戏制作人</x:v>
      </x:c>
      <x:c r="E610" s="42" t="n">
        <x:v>117</x:v>
      </x:c>
      <x:c r="F610" s="39" t="str">
        <x:v>IC-L3-268</x:v>
      </x:c>
      <x:c r="G610" s="42" t="n">
        <x:v>268</x:v>
      </x:c>
      <x:c r="H610" s="39" t="str">
        <x:v>产品 &gt; 游戏策划 &gt; 游戏制作人</x:v>
      </x:c>
      <x:c r="I610" s="39" t="str">
        <x:v>2-09-06-01</x:v>
      </x:c>
      <x:c r="J610" s="39" t="str">
        <x:v>视觉传达设计人员</x:v>
      </x:c>
      <x:c r="K610" s="39" t="str">
        <x:v>游戏制作人在产品行业中扮演着至关重要的角色，他们是连接创意与商业成功之间的桥梁。通过精准把握市场趋势与玩家需求，游戏制作人负责整个游戏产品的生命周期管理，从概念设计到最终上线运营，确保产品质量与用户体验达到最优水平。 该职位的核心目标在于打造具有高度吸引力及竞争力的游戏作品，为公司创造显著的经济效益与品牌影响力。通过不断优化产品功能、提升用户留存率以及扩大市…</x:v>
      </x:c>
      <x:c r="L610" s="39" t="str">
        <x:v>1. 负责游戏项目的整体规划与执行，包括但不限于立项评估、市场调研、产品定位等工作，以确保项目按计划高质量完成。 2. 与研发团队密切配合，监督并指导游戏的设计、开发、测试等各个环节，确保产品符合预期标准和市场需求。 3. 定期收集用户反馈，分析数据表现，及时调整产品策略，提高用户满意度及活跃度。 4. 协调内外部资源，解决项目推进过程中遇到的各种问题，保障…</x:v>
      </x:c>
    </x:row>
    <x:row r="611" ht="52" customHeight="1">
      <x:c r="A611" s="42" t="n">
        <x:v>271</x:v>
      </x:c>
      <x:c r="B611" s="39" t="str">
        <x:v>幼教</x:v>
      </x:c>
      <x:c r="C611" s="39" t="str">
        <x:v>可直接合并</x:v>
      </x:c>
      <x:c r="D611" s="39" t="str">
        <x:v>幼教</x:v>
      </x:c>
      <x:c r="E611" s="42" t="n">
        <x:v>879</x:v>
      </x:c>
      <x:c r="F611" s="39" t="str">
        <x:v>IC-L3-1030</x:v>
      </x:c>
      <x:c r="G611" s="42" t="n">
        <x:v>1030</x:v>
      </x:c>
      <x:c r="H611" s="39" t="str">
        <x:v>科研/教育/培训 &gt; 教师 &gt; 幼教</x:v>
      </x:c>
      <x:c r="I611" s="39" t="str">
        <x:v>2-08-03-00</x:v>
      </x:c>
      <x:c r="J611" s="39" t="str">
        <x:v>幼儿园教师</x:v>
      </x:c>
      <x:c r="K611" s="39" t="str">
        <x:v>幼儿教师是科研/教育/培训行业中不可或缺的一部分，他们不仅是孩子们的第一任老师，更是孩子成长道路上的重要引路人。在孩子性格形成的关键时期，幼儿教师通过科学的方法和丰富的经验，帮助孩子们建立正确的价值观和世界观，促进其全面发展。 幼儿教师的核心目标在于为学龄前儿童提供一个安全、健康、快乐的学习环境，激发他们的学习兴趣和探索欲望，培养良好的生活习惯与社交能力。同…</x:v>
      </x:c>
      <x:c r="L611" s="39" t="str">
        <x:v>1. 根据幼儿身心发展特点设计并组织丰富多彩的教学活动，如游戏、绘画、音乐等，激发学生学习兴趣。 2. 观察记录幼儿在日常生活中的表现，定期向家长反馈孩子的发展状况，提出合理建议。 3. 与同事配合完成班级管理工作，维护教室秩序，保证幼儿安全。 4. 参加校内外组织的专业培训和研讨会，不断更新知识体系，提高教育教学水平。 5. 积极参与幼儿园文化建设，营造温…</x:v>
      </x:c>
    </x:row>
    <x:row r="612" ht="52" customHeight="1">
      <x:c r="A612" s="42" t="n">
        <x:v>271</x:v>
      </x:c>
      <x:c r="B612" s="39" t="str">
        <x:v>幼教</x:v>
      </x:c>
      <x:c r="C612" s="39" t="str">
        <x:v>可直接合并</x:v>
      </x:c>
      <x:c r="D612" s="39" t="str">
        <x:v>幼教</x:v>
      </x:c>
      <x:c r="E612" s="42" t="n">
        <x:v>916</x:v>
      </x:c>
      <x:c r="F612" s="39" t="str">
        <x:v>IC-L3-1067</x:v>
      </x:c>
      <x:c r="G612" s="42" t="n">
        <x:v>1067</x:v>
      </x:c>
      <x:c r="H612" s="39" t="str">
        <x:v>科研/教育/培训 &gt; 特长教育/培训 &gt; 幼教</x:v>
      </x:c>
      <x:c r="I612" s="39" t="str">
        <x:v>2-08-03-00</x:v>
      </x:c>
      <x:c r="J612" s="39" t="str">
        <x:v>幼儿园教师</x:v>
      </x:c>
      <x:c r="K612" s="39" t="str">
        <x:v>幼教是专门从事幼儿早期教育与特长培养的专业人员。该职位的核心目标是通过科学的教学方法和个性化培养方案，促进幼儿全面发展并激发其特长潜能。在日常工作中，需要进行课程设计与实施、幼儿行为观察与评估、家长沟通与指导等工作。</x:v>
      </x:c>
      <x:c r="L612" s="39" t="str">
        <x:v>1. 设计特色课程 2. 实施教学活动 3. 观察评估幼儿 4. 培养特长能力 5. 沟通家长需求 6. 维护教学环境</x:v>
      </x:c>
    </x:row>
    <x:row r="613" ht="52" customHeight="1">
      <x:c r="A613" s="42" t="n">
        <x:v>272</x:v>
      </x:c>
      <x:c r="B613" s="39" t="str">
        <x:v>语音/视频/图形开发</x:v>
      </x:c>
      <x:c r="C613" s="39" t="str">
        <x:v>条件合并（先修分类）</x:v>
      </x:c>
      <x:c r="D613" s="39" t="str">
        <x:v>语音/视频/图形开发</x:v>
      </x:c>
      <x:c r="E613" s="42" t="n">
        <x:v>28</x:v>
      </x:c>
      <x:c r="F613" s="39" t="str">
        <x:v>IC-L3-179</x:v>
      </x:c>
      <x:c r="G613" s="42" t="n">
        <x:v>179</x:v>
      </x:c>
      <x:c r="H613" s="39" t="str">
        <x:v>互联网技术 &gt; 后端开发 &gt; 语音/视频/图形开发</x:v>
      </x:c>
      <x:c r="I613" s="39" t="str">
        <x:v>2-02-10-03</x:v>
      </x:c>
      <x:c r="J613" s="39" t="str">
        <x:v>计算机软件工程技术人员</x:v>
      </x:c>
      <x:c r="K613" s="39" t="str">
        <x:v>语音/视频/图形开发工程师是互联网技术领域中至关重要的角色，他们专注于多媒体处理技术的研发与实现，确保用户能够享受流畅、高质量的音视频体验。通过优化算法和架构设计，这些工程师不仅提升了产品的核心竞争力，还推动了公司技术实力的增长，为用户提供更加丰富多样的交互方式，增强用户体验的同时，也为公司赢得了良好的市场口碑。此外，该职位要求与前端开发、产品设计等多个团队…</x:v>
      </x:c>
      <x:c r="L613" s="39" t="str">
        <x:v>1. 负责语音、视频及图像处理相关功能模块的设计与开发工作，确保技术方案符合项目需求并具备高效性。 2. 针对现有系统进行性能分析与优化，解决音视频传输过程中的延迟、卡顿等问题，提高服务稳定性和用户体验。 3. 参与制定和完善多媒体处理的技术规范和流程标准，指导团队成员执行最佳实践。 4. 与产品经理、UI设计师等跨部门人员密切沟通，理解业务需求，提出创新性…</x:v>
      </x:c>
    </x:row>
    <x:row r="614" ht="52" customHeight="1">
      <x:c r="A614" s="42" t="n">
        <x:v>272</x:v>
      </x:c>
      <x:c r="B614" s="39" t="str">
        <x:v>语音/视频/图形开发</x:v>
      </x:c>
      <x:c r="C614" s="39" t="str">
        <x:v>条件合并（先修分类）</x:v>
      </x:c>
      <x:c r="D614" s="39" t="str">
        <x:v>语音/视频/图形开发</x:v>
      </x:c>
      <x:c r="E614" s="42" t="n">
        <x:v>1189</x:v>
      </x:c>
      <x:c r="F614" s="39" t="str">
        <x:v>IC-L3-1340</x:v>
      </x:c>
      <x:c r="G614" s="42" t="n">
        <x:v>1340</x:v>
      </x:c>
      <x:c r="H614" s="39" t="str">
        <x:v>通信/电子 &gt; 硬件开发 &gt; 语音/视频/图形开发</x:v>
      </x:c>
      <x:c r="I614" s="39" t="str">
        <x:v>2-02-09-02</x:v>
      </x:c>
      <x:c r="J614" s="39" t="str">
        <x:v>电子元器件工程技术人员</x:v>
      </x:c>
      <x:c r="K614" s="39" t="str">
        <x:v>语音/视频/图形开发是专门从事多媒体硬件系统开发的专业人员。该职位的核心目标是通过设计优化音视频处理算法及图形渲染技术，实现高性能多媒体硬件解决方案。在日常工作中，需要进行编解码器开发、GPU加速优化、实时信号处理及硬件接口调试等工作。</x:v>
      </x:c>
      <x:c r="L614" s="39" t="str">
        <x:v>1. 开发音视频处理算法 2. 优化图形渲染性能 3. 设计硬件编解码方案 4. 调试多媒体传输协议 5. 实现低延迟处理技术 6. 测试硬件兼容性能</x:v>
      </x:c>
    </x:row>
    <x:row r="615" ht="52" customHeight="1">
      <x:c r="A615" s="42" t="n">
        <x:v>273</x:v>
      </x:c>
      <x:c r="B615" s="39" t="str">
        <x:v>园艺/园林/景观设计</x:v>
      </x:c>
      <x:c r="C615" s="39" t="str">
        <x:v>条件合并（先修分类）</x:v>
      </x:c>
      <x:c r="D615" s="39" t="str">
        <x:v>园艺/园林/景观设计</x:v>
      </x:c>
      <x:c r="E615" s="42" t="n">
        <x:v>456</x:v>
      </x:c>
      <x:c r="F615" s="39" t="str">
        <x:v>IC-L3-607</x:v>
      </x:c>
      <x:c r="G615" s="42" t="n">
        <x:v>607</x:v>
      </x:c>
      <x:c r="H615" s="39" t="str">
        <x:v>建筑/房地产 &gt; 建筑规划与设计 &gt; 园艺/园林/景观设计</x:v>
      </x:c>
      <x:c r="I615" s="39" t="str">
        <x:v>2-02-18-01</x:v>
      </x:c>
      <x:c r="J615" s="39" t="str">
        <x:v>建筑和市政设计工程技术人员</x:v>
      </x:c>
      <x:c r="K615" s="39" t="str">
        <x:v>园艺/园林/景观设计师是建筑规划与设计领域中不可或缺的专业人才，他们负责创造既美观又实用的户外空间，通过巧妙地结合自然元素与人工构造，提升人们的生活质量。该职位不仅关注于环境美学，更强调生态平衡与可持续发展的重要性，是实现绿色建筑理念的关键力量。 在具体项目中，景观设计师的核心目标是根据客户需求及场地条件，制定出符合城市规划要求的设计方案，从概念草图到施工图…</x:v>
      </x:c>
      <x:c r="L615" s="39" t="str">
        <x:v>1. 负责项目前期调研，收集分析相关资料，为景观设计提供依据。 2. 根据项目定位及客户要求，进行创意构思并绘制初步设计图。 3. 与团队成员密切配合，优化设计方案，确保其可行性与创新性。 4. 参与现场勘查，监督施工过程，确保施工质量达到设计标准。 5. 定期向客户汇报项目进度，及时调整方案以满足客户需求。</x:v>
      </x:c>
    </x:row>
    <x:row r="616" ht="52" customHeight="1">
      <x:c r="A616" s="42" t="n">
        <x:v>273</x:v>
      </x:c>
      <x:c r="B616" s="39" t="str">
        <x:v>园艺/园林/景观设计</x:v>
      </x:c>
      <x:c r="C616" s="39" t="str">
        <x:v>条件合并（先修分类）</x:v>
      </x:c>
      <x:c r="D616" s="39" t="str">
        <x:v>园艺/园林/景观设计</x:v>
      </x:c>
      <x:c r="E616" s="42" t="n">
        <x:v>995</x:v>
      </x:c>
      <x:c r="F616" s="39" t="str">
        <x:v>IC-L3-1146</x:v>
      </x:c>
      <x:c r="G616" s="42" t="n">
        <x:v>1146</x:v>
      </x:c>
      <x:c r="H616" s="39" t="str">
        <x:v>设计 &gt; 建筑/室内设计 &gt; 园艺/园林/景观设计</x:v>
      </x:c>
      <x:c r="I616" s="39" t="str">
        <x:v>2-09-06-01</x:v>
      </x:c>
      <x:c r="J616" s="39" t="str">
        <x:v>视觉传达设计人员</x:v>
      </x:c>
      <x:c r="K616" s="39" t="str">
        <x:v>园艺/园林/景观设计师是建筑设计领域不可或缺的专业人才，他们专注于户外空间的设计与美化，旨在创造既实用又美观的生活环境。通过将自然元素与人工构建巧妙结合，这一角色不仅提升了项目整体的视觉吸引力，还促进了人与自然之间的和谐共生。作为公司创意团队的一员，景观设计师负责从概念阶段到最终实施的全过程管理，确保设计方案符合客户的需求同时实现公司的商业目标。此外，该职位…</x:v>
      </x:c>
      <x:c r="L616" s="39" t="str">
        <x:v>1. 负责收集并分析项目所在地的地理、气候、文化等背景资料，为制定合理的景观设计方案提供依据。 2. 与客户沟通交流，了解其需求和期望，结合实际情况提出专业的建议和解决方案。 3. 使用专业软件（如AutoCAD、SketchUp等）绘制平面图、立面图、剖面图以及三维效果图，清晰表达设计意图。 4. 协调供应商、承包商等相关方，监督施工过程中的质量控制，确保…</x:v>
      </x:c>
    </x:row>
    <x:row r="617" ht="52" customHeight="1">
      <x:c r="A617" s="42" t="n">
        <x:v>274</x:v>
      </x:c>
      <x:c r="B617" s="39" t="str">
        <x:v>原画师</x:v>
      </x:c>
      <x:c r="C617" s="39" t="str">
        <x:v>可直接合并</x:v>
      </x:c>
      <x:c r="D617" s="39" t="str">
        <x:v>原画师</x:v>
      </x:c>
      <x:c r="E617" s="42" t="n">
        <x:v>964</x:v>
      </x:c>
      <x:c r="F617" s="39" t="str">
        <x:v>IC-L3-1115</x:v>
      </x:c>
      <x:c r="G617" s="42" t="n">
        <x:v>1115</x:v>
      </x:c>
      <x:c r="H617" s="39" t="str">
        <x:v>设计 &gt; 动画设计 &gt; 原画师</x:v>
      </x:c>
      <x:c r="I617" s="39" t="str">
        <x:v>2-09-06-01</x:v>
      </x:c>
      <x:c r="J617" s="39" t="str">
        <x:v>视觉传达设计人员</x:v>
      </x:c>
      <x:c r="K617" s="39" t="str">
        <x:v>原画师是动画设计领域中不可或缺的专业人才，他们负责创作动画作品的基础视觉元素，为整个项目提供创意和技术支持。作为动画制作流程中的核心环节，原画师的工作直接决定了作品的艺术风格和质量水平，对于提升品牌影响力和市场竞争力具有重要意义。 原画师的主要任务是根据剧本和导演的要求绘制出高质量的角色设定、场景构图及动作草图等，确保这些视觉素材能够准确传达故事情节并满足观…</x:v>
      </x:c>
      <x:c r="L617" s="39" t="str">
        <x:v>1. 负责动画项目的角色设定、场景绘制等工作，确保画面风格统一且符合项目要求。 2. 根据剧本和导演指导，创作出具有创意性的原画稿件，精准表现故事情感氛围。 3. 与编剧、导演及其他相关部门密切协作，及时调整设计思路，保证作品质量达到预期标准。 4. 参与项目前期策划会议，提出建设性意见，协助完善整体方案。 5. 关注行业动态，持续学习新知识新技术，不断提升…</x:v>
      </x:c>
    </x:row>
    <x:row r="618" ht="52" customHeight="1">
      <x:c r="A618" s="42" t="n">
        <x:v>274</x:v>
      </x:c>
      <x:c r="B618" s="39" t="str">
        <x:v>原画师</x:v>
      </x:c>
      <x:c r="C618" s="39" t="str">
        <x:v>可直接合并</x:v>
      </x:c>
      <x:c r="D618" s="39" t="str">
        <x:v>原画师</x:v>
      </x:c>
      <x:c r="E618" s="42" t="n">
        <x:v>985</x:v>
      </x:c>
      <x:c r="F618" s="39" t="str">
        <x:v>IC-L3-1136</x:v>
      </x:c>
      <x:c r="G618" s="42" t="n">
        <x:v>1136</x:v>
      </x:c>
      <x:c r="H618" s="39" t="str">
        <x:v>设计 &gt; 平面设计 &gt; 原画师</x:v>
      </x:c>
      <x:c r="I618" s="39" t="str">
        <x:v>2-09-06-01</x:v>
      </x:c>
      <x:c r="J618" s="39" t="str">
        <x:v>视觉传达设计人员</x:v>
      </x:c>
      <x:c r="K618" s="39" t="str">
        <x:v>原画师是专门从事创意视觉表现的专业人员。该职位的核心目标是通过原创绘画设计，为平面设计项目提供核心视觉元素。在日常工作中，需要进行概念草图创作、色彩方案设计、细节刻画及风格统一等工作。</x:v>
      </x:c>
      <x:c r="L618" s="39" t="str">
        <x:v>1. 创作概念原画设计 2. 绘制角色场景设定 3. 完成色彩光影设计 4. 配合项目需求修改 5. 保持风格统一性 6. 输出高质量设计稿</x:v>
      </x:c>
    </x:row>
    <x:row r="619" ht="52" customHeight="1">
      <x:c r="A619" s="42" t="n">
        <x:v>275</x:v>
      </x:c>
      <x:c r="B619" s="39" t="str">
        <x:v>展览/展示/店面设计</x:v>
      </x:c>
      <x:c r="C619" s="39" t="str">
        <x:v>可直接合并</x:v>
      </x:c>
      <x:c r="D619" s="39" t="str">
        <x:v>展览/展示/店面设计</x:v>
      </x:c>
      <x:c r="E619" s="42" t="n">
        <x:v>971</x:v>
      </x:c>
      <x:c r="F619" s="39" t="str">
        <x:v>IC-L3-1122</x:v>
      </x:c>
      <x:c r="G619" s="42" t="n">
        <x:v>1122</x:v>
      </x:c>
      <x:c r="H619" s="39" t="str">
        <x:v>设计 &gt; 工业设计 &gt; 展览/展示/店面设计</x:v>
      </x:c>
      <x:c r="I619" s="39" t="str">
        <x:v>2-09-06-01</x:v>
      </x:c>
      <x:c r="J619" s="39" t="str">
        <x:v>视觉传达设计人员</x:v>
      </x:c>
      <x:c r="K619" s="39" t="str">
        <x:v>展览/展示/店面设计师是工业设计领域中不可或缺的角色，他们通过创意设计与空间布局，将品牌理念与产品特色生动地呈现给消费者，从而提升品牌形象与市场竞争力。该职位的核心目标在于通过创新的设计方案，优化客户体验，增强顾客对品牌的认知度和忠诚度，同时提高销售转化率，为公司创造更大的商业价值。此外，展览/展示/店面设计师通常需要与项目管理、营销、工程等多个部门密切合作…</x:v>
      </x:c>
      <x:c r="L619" s="39" t="str">
        <x:v>1. 负责展览、展示及店面的空间规划与设计工作，确保设计方案符合品牌定位和市场需求，能够有效传达品牌故事和产品特点。 2. 与客户进行深入沟通，了解其需求与期望，结合市场趋势，提出富有创意且具可行性的设计方案，并在规定时间内完成高质量的设计稿件。 3. 协调内部资源，如结构工程师、材料供应商等，确保设计方案从概念到落地的每个环节都能高效执行，最终达到预期效果…</x:v>
      </x:c>
    </x:row>
    <x:row r="620" ht="52" customHeight="1">
      <x:c r="A620" s="42" t="n">
        <x:v>275</x:v>
      </x:c>
      <x:c r="B620" s="39" t="str">
        <x:v>展览/展示/店面设计</x:v>
      </x:c>
      <x:c r="C620" s="39" t="str">
        <x:v>可直接合并</x:v>
      </x:c>
      <x:c r="D620" s="39" t="str">
        <x:v>展览/展示/店面设计</x:v>
      </x:c>
      <x:c r="E620" s="42" t="n">
        <x:v>988</x:v>
      </x:c>
      <x:c r="F620" s="39" t="str">
        <x:v>IC-L3-1139</x:v>
      </x:c>
      <x:c r="G620" s="42" t="n">
        <x:v>1139</x:v>
      </x:c>
      <x:c r="H620" s="39" t="str">
        <x:v>设计 &gt; 平面设计 &gt; 展览/展示/店面设计</x:v>
      </x:c>
      <x:c r="I620" s="39" t="str">
        <x:v>2-09-06-01</x:v>
      </x:c>
      <x:c r="J620" s="39" t="str">
        <x:v>视觉传达设计人员</x:v>
      </x:c>
      <x:c r="K620" s="39" t="str">
        <x:v>展览/展示/店面设计是专门从事商业空间视觉规划和创意呈现的专业人员。该职位的核心目标是通过创新的设计解决方案，提升品牌形象和消费体验。在日常工作中，需要进行空间布局规划、视觉元素设计、材料选择及3D效果呈现等工作。</x:v>
      </x:c>
      <x:c r="L620" s="39" t="str">
        <x:v>1. 设计展示空间方案 2. 制作三维效果图纸 3. 选择合适展示材料 4. 把控施工制作质量 5. 协调跨部门需求 6. 跟进项目落地执行</x:v>
      </x:c>
    </x:row>
    <x:row r="621" ht="52" customHeight="1">
      <x:c r="A621" s="42" t="n">
        <x:v>276</x:v>
      </x:c>
      <x:c r="B621" s="39" t="str">
        <x:v>照明设计</x:v>
      </x:c>
      <x:c r="C621" s="39" t="str">
        <x:v>可直接合并</x:v>
      </x:c>
      <x:c r="D621" s="39" t="str">
        <x:v>照明设计</x:v>
      </x:c>
      <x:c r="E621" s="42" t="n">
        <x:v>974</x:v>
      </x:c>
      <x:c r="F621" s="39" t="str">
        <x:v>IC-L3-1125</x:v>
      </x:c>
      <x:c r="G621" s="42" t="n">
        <x:v>1125</x:v>
      </x:c>
      <x:c r="H621" s="39" t="str">
        <x:v>设计 &gt; 工业设计 &gt; 照明设计</x:v>
      </x:c>
      <x:c r="I621" s="39" t="str">
        <x:v>2-09-06-01</x:v>
      </x:c>
      <x:c r="J621" s="39" t="str">
        <x:v>视觉传达设计人员</x:v>
      </x:c>
      <x:c r="K621" s="39" t="str">
        <x:v>照明设计师是工业设计领域中不可或缺的专业人才，他们通过创新的设计理念和技术手段，提升产品的视觉效果和用户体验，从而为用户创造更加舒适和安全的生活环境。在公司内部，照明设计师负责开发和优化照明产品，确保其符合市场需求的同时，也能够体现公司的品牌形象与技术实力，提高市场竞争力。此外，该职位需要与多个部门紧密合作，如研发、销售和生产等，共同推动项目的顺利进行；同时…</x:v>
      </x:c>
      <x:c r="L621" s="39" t="str">
        <x:v>1. 负责照明产品的外观造型及结构设计，确保设计方案既美观又实用，满足客户的个性化需求。 2. 与研发团队密切配合，参与新产品从概念阶段到最终量产的全过程，解决设计过程中出现的技术问题。 3. 定期收集并分析市场趋势，结合公司战略规划，提出具有前瞻性的照明解决方案。 4. 参与客户沟通会议，准确理解客户需求，提供专业意见，并将这些意见转化为实际的设计方案。 …</x:v>
      </x:c>
    </x:row>
    <x:row r="622" ht="52" customHeight="1">
      <x:c r="A622" s="42" t="n">
        <x:v>276</x:v>
      </x:c>
      <x:c r="B622" s="39" t="str">
        <x:v>照明设计</x:v>
      </x:c>
      <x:c r="C622" s="39" t="str">
        <x:v>可直接合并</x:v>
      </x:c>
      <x:c r="D622" s="39" t="str">
        <x:v>照明设计</x:v>
      </x:c>
      <x:c r="E622" s="42" t="n">
        <x:v>1009</x:v>
      </x:c>
      <x:c r="F622" s="39" t="str">
        <x:v>IC-L3-1160</x:v>
      </x:c>
      <x:c r="G622" s="42" t="n">
        <x:v>1160</x:v>
      </x:c>
      <x:c r="H622" s="39" t="str">
        <x:v>设计 &gt; 建筑/室内设计 &gt; 照明设计</x:v>
      </x:c>
      <x:c r="I622" s="39" t="str">
        <x:v>2-09-06-01</x:v>
      </x:c>
      <x:c r="J622" s="39" t="str">
        <x:v>视觉传达设计人员</x:v>
      </x:c>
      <x:c r="K622" s="39" t="str">
        <x:v>照明设计师是建筑设计与室内设计领域中不可或缺的专业人才，通过创造性的照明方案，不仅能够提升空间的美观度，还能改善人们的生活质量和工作效率。此职位负责根据项目需求和环境特点，制定并实施有效的照明设计方案，以实现节能、环保的同时，营造出符合功能要求及审美标准的空间氛围，对增强公司竞争力、树立品牌形象具有重要意义。在工作中，照明设计师需要与其他设计师、工程师以及客…</x:v>
      </x:c>
      <x:c r="L622" s="39" t="str">
        <x:v>1. 负责项目的照明系统规划与设计，包括但不限于自然光利用、人工光源选择、灯具布局等，旨在创建舒适和谐的视觉环境。 2. 依据项目预算和时间表，提出合理的材料清单和施工建议，监督施工过程中的灯光安装质量，确保最终效果满足设计初衷。 3. 定期参加行业培训和研讨会，了解最新的照明技术和趋势，将前沿知识应用于实际工作中，持续优化设计方案。 4. 与建筑师、室内设…</x:v>
      </x:c>
    </x:row>
    <x:row r="623" ht="52" customHeight="1">
      <x:c r="A623" s="42" t="n">
        <x:v>277</x:v>
      </x:c>
      <x:c r="B623" s="39" t="str">
        <x:v>针灸/推拿</x:v>
      </x:c>
      <x:c r="C623" s="39" t="str">
        <x:v>条件合并（先修分类）</x:v>
      </x:c>
      <x:c r="D623" s="39" t="str">
        <x:v>针灸/推拿</x:v>
      </x:c>
      <x:c r="E623" s="42" t="n">
        <x:v>184</x:v>
      </x:c>
      <x:c r="F623" s="39" t="str">
        <x:v>IC-L3-335</x:v>
      </x:c>
      <x:c r="G623" s="42" t="n">
        <x:v>335</x:v>
      </x:c>
      <x:c r="H623" s="39" t="str">
        <x:v>医药/医疗 &gt; 医生/医技 &gt; 针灸/推拿</x:v>
      </x:c>
      <x:c r="I623" s="39" t="str">
        <x:v>2-05-01-19</x:v>
      </x:c>
      <x:c r="J623" s="39" t="str">
        <x:v>全科医师</x:v>
      </x:c>
      <x:c r="K623" s="39" t="str">
        <x:v>针灸/推拿师是医药/医疗行业中不可或缺的专业人才，他们通过运用传统中医理论和技术，如针灸、推拿等方法，帮助患者缓解疼痛、治疗疾病、恢复健康。作为医疗领域的重要组成部分，针灸/推拿师不仅能够提供有效的治疗方案，还能促进患者身心健康的全面发展，满足人们日益增长的健康需求。 该职位的核心目标在于运用专业知识和技能，为患者提供安全有效的治疗服务，减轻或消除患者的痛苦…</x:v>
      </x:c>
      <x:c r="L623" s="39" t="str">
        <x:v>1. 负责对患者进行详细的问诊，了解病情及既往病史，准确判断适应症，制定个性化针灸/推拿治疗方案。 2. 运用针灸、推拿等技术为患者实施治疗，操作规范，确保疗效，同时注意观察患者反应，及时调整治疗方案。 3. 与临床医师保持良好沟通，参与多学科会诊，共同探讨疑难病例，优化治疗流程。 4. 定期参加专业培训，持续学习最新医学知识和技术，不断提升个人专业水平和服…</x:v>
      </x:c>
    </x:row>
    <x:row r="624" ht="52" customHeight="1">
      <x:c r="A624" s="42" t="n">
        <x:v>277</x:v>
      </x:c>
      <x:c r="B624" s="39" t="str">
        <x:v>针灸/推拿</x:v>
      </x:c>
      <x:c r="C624" s="39" t="str">
        <x:v>条件合并（先修分类）</x:v>
      </x:c>
      <x:c r="D624" s="39" t="str">
        <x:v>针灸/推拿</x:v>
      </x:c>
      <x:c r="E624" s="42" t="n">
        <x:v>214</x:v>
      </x:c>
      <x:c r="F624" s="39" t="str">
        <x:v>IC-L3-365</x:v>
      </x:c>
      <x:c r="G624" s="42" t="n">
        <x:v>365</x:v>
      </x:c>
      <x:c r="H624" s="39" t="str">
        <x:v>医药/医疗 &gt; 护理/护士 &gt; 针灸/推拿</x:v>
      </x:c>
      <x:c r="I624" s="39" t="str">
        <x:v>2-05-08-01</x:v>
      </x:c>
      <x:c r="J624" s="39" t="str">
        <x:v>内科护士</x:v>
      </x:c>
      <x:c r="K624" s="39" t="str">
        <x:v>针灸/推拿是专门从事中医传统疗法治疗与康复护理的专业人员。该职位的核心目标是通过针灸、推拿等中医疗法，实现患者疼痛缓解与机能恢复。在日常工作中，需要进行穴位定位与针刺治疗、推拿手法操作、疗效评估及康复指导等工作。</x:v>
      </x:c>
      <x:c r="L624" s="39" t="str">
        <x:v>1. 实施针灸治疗操作 2. 开展推拿理疗服务 3. 评估患者康复效果 4. 记录治疗过程数据 5. 维护医疗设备完好 6. 指导患者康复训练</x:v>
      </x:c>
    </x:row>
    <x:row r="625" ht="52" customHeight="1">
      <x:c r="A625" s="42" t="n">
        <x:v>278</x:v>
      </x:c>
      <x:c r="B625" s="39" t="str">
        <x:v>证券/期货/外汇经纪人</x:v>
      </x:c>
      <x:c r="C625" s="39" t="str">
        <x:v>可直接合并</x:v>
      </x:c>
      <x:c r="D625" s="39" t="str">
        <x:v>证券/期货/外汇经纪人</x:v>
      </x:c>
      <x:c r="E625" s="42" t="n">
        <x:v>1275</x:v>
      </x:c>
      <x:c r="F625" s="39" t="str">
        <x:v>IC-L3-1426</x:v>
      </x:c>
      <x:c r="G625" s="42" t="n">
        <x:v>1426</x:v>
      </x:c>
      <x:c r="H625" s="39" t="str">
        <x:v>金融 &gt; 期货 &gt; 证券/期货/外汇经纪人</x:v>
      </x:c>
      <x:c r="I625" s="39" t="str">
        <x:v>2-06-11-03</x:v>
      </x:c>
      <x:c r="J625" s="39" t="str">
        <x:v>证券投资专业人员</x:v>
      </x:c>
      <x:c r="K625" s="39" t="str">
        <x:v>证券/期货/外汇经纪人在金融市场中扮演着至关重要的角色。他们不仅是投资者与市场之间的桥梁，还负责提供专业的投资建议和服务，帮助客户实现财富增长。作为金融市场的核心参与者之一，他们对于促进资本流动、提高市场效率具有不可替代的作用。 该职位的核心目标在于通过精准的市场分析和有效的客户沟通，吸引并维护高质量的客户群体，从而为公司带来持续稳定的收益。此外，证券/期货…</x:v>
      </x:c>
      <x:c r="L625" s="39" t="str">
        <x:v>1. 为客户提供全面的金融服务，包括但不限于证券、期货及外汇产品的咨询、开户指导以及交易操作等，旨在提升客户满意度和忠诚度。 2. 定期进行市场调研，分析宏观经济环境、政策变化等因素对市场的影响，撰写研究报告并向客户分享最新资讯，协助客户做出明智的投资决策。 3. 制定个性化投资计划，根据客户的风险偏好、资金规模等因素量身定制投资组合，定期评估投资表现并适时…</x:v>
      </x:c>
    </x:row>
    <x:row r="626" ht="52" customHeight="1">
      <x:c r="A626" s="42" t="n">
        <x:v>278</x:v>
      </x:c>
      <x:c r="B626" s="39" t="str">
        <x:v>证券/期货/外汇经纪人</x:v>
      </x:c>
      <x:c r="C626" s="39" t="str">
        <x:v>可直接合并</x:v>
      </x:c>
      <x:c r="D626" s="39" t="str">
        <x:v>证券/期货/外汇经纪人</x:v>
      </x:c>
      <x:c r="E626" s="42" t="n">
        <x:v>1281</x:v>
      </x:c>
      <x:c r="F626" s="39" t="str">
        <x:v>IC-L3-1432</x:v>
      </x:c>
      <x:c r="G626" s="42" t="n">
        <x:v>1432</x:v>
      </x:c>
      <x:c r="H626" s="39" t="str">
        <x:v>金融 &gt; 证券 &gt; 证券/期货/外汇经纪人</x:v>
      </x:c>
      <x:c r="I626" s="39" t="str">
        <x:v>2-06-11-03</x:v>
      </x:c>
      <x:c r="J626" s="39" t="str">
        <x:v>证券投资专业人员</x:v>
      </x:c>
      <x:c r="K626" s="39" t="str">
        <x:v>证券/期货/外汇经纪人是金融市场中不可或缺的专业人才，他们不仅为客户提供投资建议，还负责执行交易指令，在促进资本流动与市场活跃度方面发挥着重要作用。作为连接投资者与市场的桥梁，经纪人需具备敏锐的市场洞察力和丰富的金融知识，通过提供精准的投资方案和高效的交易服务，帮助客户实现资产增值的同时，也为公司带来稳定的佣金收入及良好的口碑。此外，该职位与研究分析、风险管…</x:v>
      </x:c>
      <x:c r="L626" s="39" t="str">
        <x:v>1. 负责开发新客户并维护现有客户关系，定期沟通了解客户需求，提供个性化的投资咨询与指导。 2. 分析市场动态，及时向客户传达重要信息，协助其做出合理决策，确保交易活动符合法律法规要求。 3. 执行客户的买卖指令，确保交易过程准确无误，提高成交效率，降低操作风险。 4. 定期参与专业培训，不断提升自身业务水平和服务质量，以适应快速变化的市场环境。 5. 协同…</x:v>
      </x:c>
    </x:row>
    <x:row r="627" ht="52" customHeight="1">
      <x:c r="A627" s="42" t="n">
        <x:v>279</x:v>
      </x:c>
      <x:c r="B627" s="39" t="str">
        <x:v>直播运营</x:v>
      </x:c>
      <x:c r="C627" s="39" t="str">
        <x:v>可直接合并</x:v>
      </x:c>
      <x:c r="D627" s="39" t="str">
        <x:v>直播运营</x:v>
      </x:c>
      <x:c r="E627" s="42" t="n">
        <x:v>87</x:v>
      </x:c>
      <x:c r="F627" s="39" t="str">
        <x:v>IC-L3-238</x:v>
      </x:c>
      <x:c r="G627" s="42" t="n">
        <x:v>238</x:v>
      </x:c>
      <x:c r="H627" s="39" t="str">
        <x:v>互联网技术 &gt; 运维/技术支持 &gt; 直播运营</x:v>
      </x:c>
      <x:c r="I627" s="39" t="str">
        <x:v>4-04-05-01</x:v>
      </x:c>
      <x:c r="J627" s="39" t="str">
        <x:v>计算机程序设计员</x:v>
      </x:c>
      <x:c r="K627" s="39" t="str">
        <x:v>直播运营是专门从事直播平台运维与技术支持的专业人员。该职位的核心目标是通过优化直播技术流程，确保平台稳定高效运行。在日常工作中，需要进行直播设备调试、网络环境监测、技术故障排查及用户技术支持等工作。</x:v>
      </x:c>
      <x:c r="L627" s="39" t="str">
        <x:v>1. 策划直播内容方案 2. 管理直播设备运维 3. 监控直播技术指标 4. 协调技术团队配合 5. 优化直播流程体验 6. 分析数据改进效果</x:v>
      </x:c>
    </x:row>
    <x:row r="628" ht="52" customHeight="1">
      <x:c r="A628" s="42" t="n">
        <x:v>279</x:v>
      </x:c>
      <x:c r="B628" s="39" t="str">
        <x:v>直播运营</x:v>
      </x:c>
      <x:c r="C628" s="39" t="str">
        <x:v>可直接合并</x:v>
      </x:c>
      <x:c r="D628" s="39" t="str">
        <x:v>直播运营</x:v>
      </x:c>
      <x:c r="E628" s="42" t="n">
        <x:v>1097</x:v>
      </x:c>
      <x:c r="F628" s="39" t="str">
        <x:v>IC-L3-1248</x:v>
      </x:c>
      <x:c r="G628" s="42" t="n">
        <x:v>1248</x:v>
      </x:c>
      <x:c r="H628" s="39" t="str">
        <x:v>运营 &gt; 内容运营 &gt; 直播运营</x:v>
      </x:c>
      <x:c r="I628" s="39" t="str">
        <x:v>4-04-05-01</x:v>
      </x:c>
      <x:c r="J628" s="39" t="str">
        <x:v>计算机程序设计员</x:v>
      </x:c>
      <x:c r="K628" s="39" t="str">
        <x:v>直播运营是内容运营领域中一个至关重要的角色，主要负责通过直播平台吸引并维护用户群体，提高品牌影响力与用户粘性。在当前互联网时代背景下，随着直播行业的蓬勃发展，直播运营已成为企业实现营销目标不可或缺的一环，其重要性日益凸显。 该职位的核心目标在于优化直播内容的质量与多样性，确保直播活动顺利进行，并通过创新手段提升观众参与度和互动频率，最终达到增加销售额、扩大品…</x:v>
      </x:c>
      <x:c r="L628" s="39" t="str">
        <x:v>1. 负责制定并执行直播计划，包括但不限于选题策划、脚本编写、嘉宾邀请等工作，确保每次直播都能精准触达目标受众。 2. 监控直播过程中的各项数据指标（如在线人数、点赞量、评论数等），及时调整策略以优化用户体验，提高用户留存率。 3. 与技术团队沟通协调，保障直播技术平台的稳定运行，解决突发技术问题，确保直播活动顺利开展。 4. 分析竞品动态及市场趋势，结合自…</x:v>
      </x:c>
    </x:row>
    <x:row r="629" ht="52" customHeight="1">
      <x:c r="A629" s="42" t="n">
        <x:v>280</x:v>
      </x:c>
      <x:c r="B629" s="39" t="str">
        <x:v>质量工程师</x:v>
      </x:c>
      <x:c r="C629" s="39" t="str">
        <x:v>可直接合并</x:v>
      </x:c>
      <x:c r="D629" s="39" t="str">
        <x:v>质量工程师</x:v>
      </x:c>
      <x:c r="E629" s="42" t="n">
        <x:v>749</x:v>
      </x:c>
      <x:c r="F629" s="39" t="str">
        <x:v>IC-L3-900</x:v>
      </x:c>
      <x:c r="G629" s="42" t="n">
        <x:v>900</x:v>
      </x:c>
      <x:c r="H629" s="39" t="str">
        <x:v>生产制造 &gt; 质量管理 &gt; 质量工程师</x:v>
      </x:c>
      <x:c r="I629" s="39" t="str">
        <x:v>2-02-29-03</x:v>
      </x:c>
      <x:c r="J629" s="39" t="str">
        <x:v>质量管理工程技术人员</x:v>
      </x:c>
      <x:c r="K629" s="39" t="str">
        <x:v>质量工程师是生产制造行业中不可或缺的角色，负责确保产品从设计到生产的每一个环节都符合既定的质量标准。这一职位不仅直接关系到产品的最终品质，也是公司品牌信誉的重要保障。通过实施有效的质量控制措施，质量工程师能够帮助公司减少废品率、降低返工成本，提高客户满意度，从而增强市场竞争力。此外，质量工程师通常需要与研发、生产、采购等多个部门紧密合作，共同解决质量问题，推…</x:v>
      </x:c>
      <x:c r="L629" s="39" t="str">
        <x:v>1. 制定并执行全面的质量保证计划，以确保所有生产过程和最终产品均达到或超过客户和法规要求。 2. 定期审查生产流程，识别潜在的质量问题，提出预防措施，减少不良品的产生。 3. 与供应商合作，建立供应商质量管理体系，确保原材料和外购件的质量符合公司标准。 4. 负责产品质量数据的收集、分析及报告工作，为管理层提供决策支持，促进质量水平的持续提升。 5. 组织…</x:v>
      </x:c>
    </x:row>
    <x:row r="630" ht="52" customHeight="1">
      <x:c r="A630" s="42" t="n">
        <x:v>280</x:v>
      </x:c>
      <x:c r="B630" s="39" t="str">
        <x:v>质量工程师</x:v>
      </x:c>
      <x:c r="C630" s="39" t="str">
        <x:v>可直接合并</x:v>
      </x:c>
      <x:c r="D630" s="39" t="str">
        <x:v>质量工程师</x:v>
      </x:c>
      <x:c r="E630" s="42" t="n">
        <x:v>943</x:v>
      </x:c>
      <x:c r="F630" s="39" t="str">
        <x:v>IC-L3-1094</x:v>
      </x:c>
      <x:c r="G630" s="42" t="n">
        <x:v>1094</x:v>
      </x:c>
      <x:c r="H630" s="39" t="str">
        <x:v>能源/环保/化工 &gt; 环保 &gt; 质量工程师</x:v>
      </x:c>
      <x:c r="I630" s="39" t="str">
        <x:v>2-02-29-03</x:v>
      </x:c>
      <x:c r="J630" s="39" t="str">
        <x:v>质量管理工程技术人员</x:v>
      </x:c>
      <x:c r="K630" s="39" t="str">
        <x:v>质量工程师是专门从事环保产品质量控制和过程改进的专业人员。该职位的核心目标是通过建立完善的质量管理体系，确保环保产品和服务符合行业标准及客户要求。在日常工作中，需要进行质量检验、数据分析、流程优化及供应商质量评估等工作。</x:v>
      </x:c>
      <x:c r="L630" s="39" t="str">
        <x:v>1. 制定质量标准 2. 监督环保生产 3. 检测产品性能 4. 分析质量数据 5. 改进环保工艺 6. 处理质量投诉</x:v>
      </x:c>
    </x:row>
    <x:row r="631" ht="52" customHeight="1">
      <x:c r="A631" s="42" t="n">
        <x:v>281</x:v>
      </x:c>
      <x:c r="B631" s="39" t="str">
        <x:v>珠宝销售顾问</x:v>
      </x:c>
      <x:c r="C631" s="39" t="str">
        <x:v>可直接合并</x:v>
      </x:c>
      <x:c r="D631" s="39" t="str">
        <x:v>珠宝销售顾问</x:v>
      </x:c>
      <x:c r="E631" s="42" t="n">
        <x:v>279</x:v>
      </x:c>
      <x:c r="F631" s="39" t="str">
        <x:v>IC-L3-430</x:v>
      </x:c>
      <x:c r="G631" s="42" t="n">
        <x:v>430</x:v>
      </x:c>
      <x:c r="H631" s="39" t="str">
        <x:v>销售/客服 &gt; 服务业销售 &gt; 珠宝销售顾问</x:v>
      </x:c>
      <x:c r="I631" s="39" t="str">
        <x:v>4-01-02-01</x:v>
      </x:c>
      <x:c r="J631" s="39" t="str">
        <x:v>营销员</x:v>
      </x:c>
      <x:c r="K631" s="39" t="str">
        <x:v>珠宝销售顾问是销售/客服行业中不可或缺的角色，特别是在服务业销售领域，他们不仅代表着公司的形象，更是连接顾客与品牌的桥梁。通过专业的知识和服务，他们能够准确地理解客户需求，提供个性化的产品推荐，从而促进销售增长，提升客户满意度和忠诚度，为公司创造显著的经济效益。此外，珠宝销售顾问还需与其他部门如市场部、产品部等密切合作，共同推动项目的顺利进行；同时，这一职位…</x:v>
      </x:c>
      <x:c r="L631" s="39" t="str">
        <x:v>1. 主动迎接并接待每一位到店顾客，运用专业知识为顾客介绍各类珠宝首饰的特点及保养方法，确保顾客获得满意的购物体验。 2. 通过观察和询问了解顾客的需求偏好，精准推荐符合其风格和预算的商品，努力实现销售目标。 3. 定期参加公司组织的产品培训，不断更新自己的专业知识，以便更好地服务顾客。 4. 维护良好的客户关系，记录顾客购买历史和反馈意见，为后续跟进和服务…</x:v>
      </x:c>
    </x:row>
    <x:row r="632" ht="52" customHeight="1">
      <x:c r="A632" s="42" t="n">
        <x:v>281</x:v>
      </x:c>
      <x:c r="B632" s="39" t="str">
        <x:v>珠宝销售顾问</x:v>
      </x:c>
      <x:c r="C632" s="39" t="str">
        <x:v>可直接合并</x:v>
      </x:c>
      <x:c r="D632" s="39" t="str">
        <x:v>珠宝销售顾问</x:v>
      </x:c>
      <x:c r="E632" s="42" t="n">
        <x:v>862</x:v>
      </x:c>
      <x:c r="F632" s="39" t="str">
        <x:v>IC-L3-1013</x:v>
      </x:c>
      <x:c r="G632" s="42" t="n">
        <x:v>1013</x:v>
      </x:c>
      <x:c r="H632" s="39" t="str">
        <x:v>生活服务/零售 &gt; 零售 &gt; 珠宝销售顾问</x:v>
      </x:c>
      <x:c r="I632" s="39" t="str">
        <x:v>4-01-02-01</x:v>
      </x:c>
      <x:c r="J632" s="39" t="str">
        <x:v>营销员</x:v>
      </x:c>
      <x:c r="K632" s="39" t="str">
        <x:v>珠宝销售顾问是生活服务/零售行业中不可或缺的角色，负责通过专业的销售技巧和服务意识，提升顾客购物体验并推动销售额的增长。作为与客户直接接触的一线员工，珠宝销售顾问不仅是商品的推销者，更是品牌形象的传递者，他们通过提供个性化、专业化的咨询服务，帮助顾客挑选合适的珠宝产品，从而实现销售目标的同时也增强了品牌的市场影响力。此外，珠宝销售顾问还需要与其他部门密切合作…</x:v>
      </x:c>
      <x:c r="L632" s="39" t="str">
        <x:v>1. 了解客户需求，运用专业知识为顾客提供个性化推荐服务，确保顾客满意度达到90%以上。 2. 掌握公司各类珠宝产品的特点及卖点，能够清晰地向顾客介绍产品优势，促成交易。 3. 定期参与培训学习，不断提升个人销售技能和服务水平，以适应市场变化。 4. 维护良好的客户关系，建立稳定的客户群，提高客户的复购率和转介绍率。 5. 协助完成店铺日常运营工作，如整理货…</x:v>
      </x:c>
    </x:row>
    <x:row r="633" ht="52" customHeight="1">
      <x:c r="A633" s="42" t="n">
        <x:v>282</x:v>
      </x:c>
      <x:c r="B633" s="39" t="str">
        <x:v>注塑工程师</x:v>
      </x:c>
      <x:c r="C633" s="39" t="str">
        <x:v>条件合并（先修分类）</x:v>
      </x:c>
      <x:c r="D633" s="39" t="str">
        <x:v>注塑工程师</x:v>
      </x:c>
      <x:c r="E633" s="42" t="n">
        <x:v>647</x:v>
      </x:c>
      <x:c r="F633" s="39" t="str">
        <x:v>IC-L3-798</x:v>
      </x:c>
      <x:c r="G633" s="42" t="n">
        <x:v>798</x:v>
      </x:c>
      <x:c r="H633" s="39" t="str">
        <x:v>生产制造 &gt; 工程/机械 &gt; 注塑工程师</x:v>
      </x:c>
      <x:c r="I633" s="39" t="str">
        <x:v>2-02-07-01</x:v>
      </x:c>
      <x:c r="J633" s="39" t="str">
        <x:v>机械设计工程技术人员</x:v>
      </x:c>
      <x:c r="K633" s="39" t="str">
        <x:v>### 岗位简介 注塑工程师在生产制造行业中扮演着至关重要的角色，尤其是在涉及塑料制品生产的领域。他们不仅负责确保生产设备的高效运行，还通过优化工艺流程来提高产品质量和生产效率，是连接设计与制造的关键桥梁。 该职位的核心目标在于通过持续的技术创新和工艺改进，减少生产成本并提升产品竞争力。注塑工程师需深入分析现有生产流程，识别潜在的问题点，并提出有效的解决方案…</x:v>
      </x:c>
      <x:c r="L633" s="39" t="str">
        <x:v>注塑工程师的主要职责包括：负责注塑工艺的设计与优化，确保产品质量和生产效率；制定注塑模具的设计方案，并与模具供应商沟通协调；监控生产过程，解决生产中出现的技术问题；进行注塑材料的选择与测试，优化注塑配方；参与新产品开发，进行注塑工艺的可行性分析与验证；编写注塑工艺文件和操作手册，培训操作人员。</x:v>
      </x:c>
    </x:row>
    <x:row r="634" ht="52" customHeight="1">
      <x:c r="A634" s="42" t="n">
        <x:v>282</x:v>
      </x:c>
      <x:c r="B634" s="39" t="str">
        <x:v>注塑工程师</x:v>
      </x:c>
      <x:c r="C634" s="39" t="str">
        <x:v>条件合并（先修分类）</x:v>
      </x:c>
      <x:c r="D634" s="39" t="str">
        <x:v>注塑工程师</x:v>
      </x:c>
      <x:c r="E634" s="42" t="n">
        <x:v>677</x:v>
      </x:c>
      <x:c r="F634" s="39" t="str">
        <x:v>IC-L3-828</x:v>
      </x:c>
      <x:c r="G634" s="42" t="n">
        <x:v>828</x:v>
      </x:c>
      <x:c r="H634" s="39" t="str">
        <x:v>生产制造 &gt; 技工 &gt; 注塑工程师</x:v>
      </x:c>
      <x:c r="I634" s="39" t="str">
        <x:v>6-31-01-01</x:v>
      </x:c>
      <x:c r="J634" s="39" t="str">
        <x:v>设备点检员</x:v>
      </x:c>
      <x:c r="K634" s="39" t="str">
        <x:v>注塑工程师是专门从事塑料成型工艺设计与优化的专业人员。该职位的核心目标是通过注塑工艺技术管理，实现产品质量提升和生产成本控制。在日常工作中，需要进行模具调试、工艺参数设定、设备维护及生产问题解决等工作。</x:v>
      </x:c>
      <x:c r="L634" s="39" t="str">
        <x:v>1. 设计注塑工艺流程 2. 调试注塑设备参数 3. 解决生产品质问题 4. 优化模具设计方案 5. 控制生产成本预算 6. 培训技术操作人员</x:v>
      </x:c>
    </x:row>
    <x:row r="635" ht="52" customHeight="1">
      <x:c r="A635" s="42" t="n">
        <x:v>283</x:v>
      </x:c>
      <x:c r="B635" s="39" t="str">
        <x:v>专柜彩妆顾问</x:v>
      </x:c>
      <x:c r="C635" s="39" t="str">
        <x:v>条件合并（先修分类）</x:v>
      </x:c>
      <x:c r="D635" s="39" t="str">
        <x:v>专柜彩妆顾问</x:v>
      </x:c>
      <x:c r="E635" s="42" t="n">
        <x:v>271</x:v>
      </x:c>
      <x:c r="F635" s="39" t="str">
        <x:v>IC-L3-422</x:v>
      </x:c>
      <x:c r="G635" s="42" t="n">
        <x:v>422</x:v>
      </x:c>
      <x:c r="H635" s="39" t="str">
        <x:v>销售/客服 &gt; 服务业销售 &gt; 专柜彩妆顾问</x:v>
      </x:c>
      <x:c r="I635" s="39" t="str">
        <x:v>4-01-02-01</x:v>
      </x:c>
      <x:c r="J635" s="39" t="str">
        <x:v>营销员</x:v>
      </x:c>
      <x:c r="K635" s="39" t="str">
        <x:v>专柜彩妆顾问是销售与客服领域中一个至关重要的角色，尤其在竞争激烈的零售服务业中扮演着品牌代表的关键角色。他们不仅是产品的直接推广者，更是品牌形象的塑造者，通过专业的服务和沟通技巧，提升顾客体验，建立品牌的良好口碑。 该职位的核心目标在于通过高质量的客户服务，促进产品销售并维护客户关系，从而为公司创造持续稳定的收入来源。作为前线销售人员，彩妆顾问需具备出色的产…</x:v>
      </x:c>
      <x:c r="L635" s="39" t="str">
        <x:v>1. 为进店顾客提供专业彩妆咨询服务，包括但不限于皮肤分析、色彩搭配等，帮助顾客挑选最适合自己的彩妆产品。 2. 定期参加培训课程，更新自身关于最新彩妆趋势、技术及产品信息的知识库，以提高服务质量。 3. 维护良好的客户关系，记录并跟踪客户购买历史与偏好，定期进行回访，增强客户的忠诚度。 4. 协助组织店内各类促销活动，如新品发布会、节日特卖等，积极参与现场…</x:v>
      </x:c>
    </x:row>
    <x:row r="636" ht="52" customHeight="1">
      <x:c r="A636" s="42" t="n">
        <x:v>283</x:v>
      </x:c>
      <x:c r="B636" s="39" t="str">
        <x:v>专柜彩妆顾问</x:v>
      </x:c>
      <x:c r="C636" s="39" t="str">
        <x:v>条件合并（先修分类）</x:v>
      </x:c>
      <x:c r="D636" s="39" t="str">
        <x:v>专柜彩妆顾问</x:v>
      </x:c>
      <x:c r="E636" s="42" t="n">
        <x:v>836</x:v>
      </x:c>
      <x:c r="F636" s="39" t="str">
        <x:v>IC-L3-987</x:v>
      </x:c>
      <x:c r="G636" s="42" t="n">
        <x:v>987</x:v>
      </x:c>
      <x:c r="H636" s="39" t="str">
        <x:v>生活服务/零售 &gt; 美容美发 &gt; 专柜彩妆顾问</x:v>
      </x:c>
      <x:c r="I636" s="39" t="str">
        <x:v>4-10-03-01</x:v>
      </x:c>
      <x:c r="J636" s="39" t="str">
        <x:v>美容师</x:v>
      </x:c>
      <x:c r="K636" s="39" t="str">
        <x:v>专柜彩妆顾问是生活服务与零售行业中不可或缺的角色，他们不仅代表着品牌的形象，也是顾客与产品之间的桥梁。通过专业的知识和服务，彩妆顾问能够帮助消费者找到最适合自己的产品，提升其购物体验，同时增强品牌忠诚度。 该职位的核心目标在于通过提供个性化咨询和高质量的服务，促进产品销售，提高客户满意度及复购率，进而为公司创造更多的经济效益。此外，彩妆顾问还需定期参加培训以…</x:v>
      </x:c>
      <x:c r="L636" s="39" t="str">
        <x:v>1. 为进店顾客提供专业彩妆咨询服务，了解客户需求并推荐合适的产品组合。 2. 负责专柜内产品的陈列布置、清洁保养工作，确保良好的展示效果。 3. 定期参与公司组织的专业培训，掌握最新美妆技术和流行趋势。 4. 积极参与店内促销活动策划执行，协助完成销售任务。 5. 收集顾客反馈意见，及时向上级汇报并提出改进建议。</x:v>
      </x:c>
    </x:row>
    <x:row r="637" ht="52" customHeight="1">
      <x:c r="A637" s="42" t="n">
        <x:v>284</x:v>
      </x:c>
      <x:c r="B637" s="39" t="str">
        <x:v>资产管理</x:v>
      </x:c>
      <x:c r="C637" s="39" t="str">
        <x:v>条件合并（先修分类）</x:v>
      </x:c>
      <x:c r="D637" s="39" t="str">
        <x:v>资产管理</x:v>
      </x:c>
      <x:c r="E637" s="42" t="n">
        <x:v>1080</x:v>
      </x:c>
      <x:c r="F637" s="39" t="str">
        <x:v>IC-L3-1231</x:v>
      </x:c>
      <x:c r="G637" s="42" t="n">
        <x:v>1231</x:v>
      </x:c>
      <x:c r="H637" s="39" t="str">
        <x:v>财务/税务/法务 &gt; 高级财务管理 &gt; 资产管理</x:v>
      </x:c>
      <x:c r="I637" s="39" t="str">
        <x:v>2-06-03-00</x:v>
      </x:c>
      <x:c r="J637" s="39" t="str">
        <x:v>会计专业人员</x:v>
      </x:c>
      <x:c r="K637" s="39" t="str">
        <x:v>资产管理是专门从事资产配置、投资分析和风险管控的高级财务专业人员。该职位的核心目标是通过优化资产组合和提升投资回报率，实现公司资产保值增值。在日常工作中，需要进行投资策略制定、资产绩效评估、市场趋势分析及风险管理等工作。</x:v>
      </x:c>
      <x:c r="L637" s="39" t="str">
        <x:v>1. 制定资产配置方案 2. 优化投资组合结构 3. 监控市场风险变化 4. 评估资产运营效益 5. 编制财务分析报告 6. 执行资产处置决策</x:v>
      </x:c>
    </x:row>
    <x:row r="638" ht="52" customHeight="1">
      <x:c r="A638" s="42" t="n">
        <x:v>284</x:v>
      </x:c>
      <x:c r="B638" s="39" t="str">
        <x:v>资产管理</x:v>
      </x:c>
      <x:c r="C638" s="39" t="str">
        <x:v>条件合并（先修分类）</x:v>
      </x:c>
      <x:c r="D638" s="39" t="str">
        <x:v>资产管理</x:v>
      </x:c>
      <x:c r="E638" s="42" t="n">
        <x:v>1313</x:v>
      </x:c>
      <x:c r="F638" s="39" t="str">
        <x:v>IC-L3-1464</x:v>
      </x:c>
      <x:c r="G638" s="42" t="n">
        <x:v>1464</x:v>
      </x:c>
      <x:c r="H638" s="39" t="str">
        <x:v>金融 &gt; 银行 &gt; 资产管理</x:v>
      </x:c>
      <x:c r="I638" s="39" t="str">
        <x:v>2-06-11-01</x:v>
      </x:c>
      <x:c r="J638" s="39" t="str">
        <x:v>证券保荐承销专业人员</x:v>
      </x:c>
      <x:c r="K638" s="39" t="str">
        <x:v>资产管理师在银行业务中扮演着至关重要的角色，负责客户资产的增长与保值。通过制定并执行有效的投资策略，资产管理师不仅能够帮助个人或机构投资者实现财富增长的目标，同时也促进了金融市场资源的有效配置。 本职位的核心目标是通过深入分析市场动态及客户需求，为客户量身定制投资组合方案，确保其资产安全的同时追求最大化的收益回报。资产管理师的工作对于提升银行的品牌形象、增强…</x:v>
      </x:c>
      <x:c r="L638" s="39" t="str">
        <x:v>1. 负责了解和分析客户的财务状况、风险偏好及投资需求，为其提供专业化的资产管理建议。 2. 根据市场趋势和经济形势的变化，定期审查并优化投资组合，确保符合既定的投资目标。 3. 与相关部门紧密沟通，协调解决投资过程中出现的问题，保障客户利益不受损害。 4. 持续关注国内外金融市场的发展动态，研究新的投资工具和技术，提高资产管理水平。 5. 定期向客户报告投…</x:v>
      </x:c>
    </x:row>
    <x:row r="639" ht="52" customHeight="1">
      <x:c r="A639" s="42" t="n">
        <x:v>285</x:v>
      </x:c>
      <x:c r="B639" s="39" t="str">
        <x:v>自动化运维工程师</x:v>
      </x:c>
      <x:c r="C639" s="39" t="str">
        <x:v>可直接合并</x:v>
      </x:c>
      <x:c r="D639" s="39" t="str">
        <x:v>自动化运维工程师</x:v>
      </x:c>
      <x:c r="E639" s="42" t="n">
        <x:v>79</x:v>
      </x:c>
      <x:c r="F639" s="39" t="str">
        <x:v>IC-L3-230</x:v>
      </x:c>
      <x:c r="G639" s="42" t="n">
        <x:v>230</x:v>
      </x:c>
      <x:c r="H639" s="39" t="str">
        <x:v>互联网技术 &gt; 运维/技术支持 &gt; 自动化运维工程师</x:v>
      </x:c>
      <x:c r="I639" s="39" t="str">
        <x:v>4-04-05-01</x:v>
      </x:c>
      <x:c r="J639" s="39" t="str">
        <x:v>计算机程序设计员</x:v>
      </x:c>
      <x:c r="K639" s="39" t="str">
        <x:v>自动化运维工程师是互联网技术领域中不可或缺的专业人才，他们通过开发和维护自动化工具，确保系统的高效稳定运行，对于提高企业服务质量和运营效率至关重要。作为公司的技术保障力量，该职位的核心目标在于构建和优化自动化运维平台，减少人工操作错误，加快故障响应速度，从而提升整体IT服务水平，为企业创造更大的商业价值。此外，自动化运维工程师将与开发、测试等多部门紧密合作，…</x:v>
      </x:c>
      <x:c r="L639" s="39" t="str">
        <x:v>1. 负责设计并实施自动化运维解决方案，涵盖配置管理、持续集成与交付、监控报警等环节，以降低日常维护成本和提高系统可用性。 2. 利用脚本语言（如Python、Shell）编写定制化的运维脚本，实现服务器部署、数据备份、日志分析等功能的自动化处理，确保流程标准化和可重复性。 3. 对现有IT基础设施进行定期评估和性能调优，识别潜在风险点，提出改进建议，预防并…</x:v>
      </x:c>
    </x:row>
    <x:row r="640" ht="52" customHeight="1">
      <x:c r="A640" s="42" t="n">
        <x:v>285</x:v>
      </x:c>
      <x:c r="B640" s="39" t="str">
        <x:v>自动化运维工程师</x:v>
      </x:c>
      <x:c r="C640" s="39" t="str">
        <x:v>可直接合并</x:v>
      </x:c>
      <x:c r="D640" s="39" t="str">
        <x:v>自动化运维工程师</x:v>
      </x:c>
      <x:c r="E640" s="42" t="n">
        <x:v>662</x:v>
      </x:c>
      <x:c r="F640" s="39" t="str">
        <x:v>IC-L3-813</x:v>
      </x:c>
      <x:c r="G640" s="42" t="n">
        <x:v>813</x:v>
      </x:c>
      <x:c r="H640" s="39" t="str">
        <x:v>生产制造 &gt; 工程/机械 &gt; 自动化运维工程师</x:v>
      </x:c>
      <x:c r="I640" s="39" t="str">
        <x:v>4-04-05-01</x:v>
      </x:c>
      <x:c r="J640" s="39" t="str">
        <x:v>计算机程序设计员</x:v>
      </x:c>
      <x:c r="K640" s="39" t="str">
        <x:v>自动化运维工程师是专门从事机械自动化系统运维的专业人员。该职位的核心目标是通过自动化运维技术，保障生产设备的高效稳定运行。在日常工作中，需要进行自动化系统监控、故障诊断与排除、运维流程优化等工作。</x:v>
      </x:c>
      <x:c r="L640" s="39" t="str">
        <x:v>1. 设计自动化运维方案 2. 部署机械运维系统 3. 监控设备运行状态 4. 优化生产流程效率 5. 处理系统异常故障 6. 编写技术文档报告</x:v>
      </x:c>
    </x:row>
    <x:row r="641" ht="52" customHeight="1">
      <x:c r="A641" s="42" t="n">
        <x:v>286</x:v>
      </x:c>
      <x:c r="B641" s="39" t="str">
        <x:v>总编/副总编</x:v>
      </x:c>
      <x:c r="C641" s="39" t="str">
        <x:v>可直接合并</x:v>
      </x:c>
      <x:c r="D641" s="39" t="str">
        <x:v>总编/副总编</x:v>
      </x:c>
      <x:c r="E641" s="42" t="n">
        <x:v>529</x:v>
      </x:c>
      <x:c r="F641" s="39" t="str">
        <x:v>IC-L3-680</x:v>
      </x:c>
      <x:c r="G641" s="42" t="n">
        <x:v>680</x:v>
      </x:c>
      <x:c r="H641" s="39" t="str">
        <x:v>文化/传媒 &gt; 影视/媒体 &gt; 总编/副总编</x:v>
      </x:c>
      <x:c r="I641" s="39" t="str">
        <x:v>2-09-06-01</x:v>
      </x:c>
      <x:c r="J641" s="39" t="str">
        <x:v>视觉传达设计人员</x:v>
      </x:c>
      <x:c r="K641" s="39" t="str">
        <x:v>总编/副总编是专门从事影视媒体内容策划与管理的专业人员。该职位的核心目标是通过制定内容战略和把控创作方向，提升媒体品牌影响力。在日常工作中，需要进行选题策划、内容审核、团队管理等工作。</x:v>
      </x:c>
      <x:c r="L641" s="39" t="str">
        <x:v>1. 制定内容发展战略 2. 把控影视内容质量 3. 指导选题策划方向 4. 统筹编审工作流程 5. 管理编辑团队建设 6. 评估传播效果数据</x:v>
      </x:c>
    </x:row>
    <x:row r="642" ht="52" customHeight="1">
      <x:c r="A642" s="42" t="n">
        <x:v>286</x:v>
      </x:c>
      <x:c r="B642" s="39" t="str">
        <x:v>总编/副总编</x:v>
      </x:c>
      <x:c r="C642" s="39" t="str">
        <x:v>可直接合并</x:v>
      </x:c>
      <x:c r="D642" s="39" t="str">
        <x:v>总编/副总编</x:v>
      </x:c>
      <x:c r="E642" s="42" t="n">
        <x:v>544</x:v>
      </x:c>
      <x:c r="F642" s="39" t="str">
        <x:v>IC-L3-695</x:v>
      </x:c>
      <x:c r="G642" s="42" t="n">
        <x:v>695</x:v>
      </x:c>
      <x:c r="H642" s="39" t="str">
        <x:v>文化/传媒 &gt; 编辑/出版 &gt; 总编/副总编</x:v>
      </x:c>
      <x:c r="I642" s="39" t="str">
        <x:v>2-09-06-01</x:v>
      </x:c>
      <x:c r="J642" s="39" t="str">
        <x:v>视觉传达设计人员</x:v>
      </x:c>
      <x:c r="K642" s="39" t="str">
        <x:v>总编/副总编是文化/传媒行业中至关重要的领导角色，他们不仅负责编辑部的日常运作，还肩负着引领媒体发展方向的重大责任。作为内容质量和方向的把关人，他们对于塑造媒体形象、提升品牌影响力具有决定性作用。 在公司层面，总编/副总编的主要目标是确保所有发布的内容符合法律法规要求，同时满足读者需求，提高用户粘性和市场竞争力。通过优化编辑流程、培养高质量的编辑团队以及创新…</x:v>
      </x:c>
      <x:c r="L642" s="39" t="str">
        <x:v>1. 负责审核并批准最终发布的内容，确保其准确无误、合法合规，达到预期的质量标准。 2. 制定编辑方针和工作计划，指导编辑团队完成选题策划、稿件采编等工作，以实现公司设定的目标。 3. 监控行业动态及竞争对手情况，定期分析数据报告，调整策略以应对市场变化。 4. 与相关机构建立良好关系，拓展资源渠道，为公司获取更多优质内容和合作伙伴。 5. 组织培训活动，提…</x:v>
      </x:c>
    </x:row>
    <x:row r="643" ht="52" customHeight="1">
      <x:c r="A643" s="42" t="n">
        <x:v>287</x:v>
      </x:c>
      <x:c r="B643" s="39" t="str">
        <x:v>总工程师/副总工程师</x:v>
      </x:c>
      <x:c r="C643" s="39" t="str">
        <x:v>条件合并（先修分类）</x:v>
      </x:c>
      <x:c r="D643" s="39" t="str">
        <x:v>总工程师/副总工程师</x:v>
      </x:c>
      <x:c r="E643" s="42" t="n">
        <x:v>712</x:v>
      </x:c>
      <x:c r="F643" s="39" t="str">
        <x:v>IC-L3-863</x:v>
      </x:c>
      <x:c r="G643" s="42" t="n">
        <x:v>863</x:v>
      </x:c>
      <x:c r="H643" s="39" t="str">
        <x:v>生产制造 &gt; 生产/营运 &gt; 总工程师/副总工程师</x:v>
      </x:c>
      <x:c r="I643" s="39" t="str">
        <x:v>6-31-01-01</x:v>
      </x:c>
      <x:c r="J643" s="39" t="str">
        <x:v>设备点检员</x:v>
      </x:c>
      <x:c r="K643" s="39" t="str">
        <x:v>总工程师/副总工程师是生产制造行业中至关重要的高级技术管理职位，主要负责企业技术战略的制定与实施，确保产品从设计到生产的全过程高效、高质量地进行。作为企业的技术领导者，总工程师/副总工程师不仅需要具备深厚的专业知识和技术能力，还需要拥有卓越的领导力和决策力，以引领技术创新和优化生产工艺，推动企业持续发展。此外，该职位还需与其他部门密切合作，如研发、采购、销售…</x:v>
      </x:c>
      <x:c r="L643" s="39" t="str">
        <x:v>1. 负责公司技术发展战略的规划与执行，指导并监督各部门完成技术改进项目，确保技术方案符合行业标准及客户需求。 2. 组织开展新产品的开发工作，从概念设计到量产阶段全程参与，确保产品性能达到预期目标，同时控制成本，提高市场竞争力。 3. 定期审查现有生产流程，识别潜在问题点，提出改进建议，通过引入先进的生产设备和技术手段，不断优化生产工艺，降低能耗，提高产能…</x:v>
      </x:c>
    </x:row>
    <x:row r="644" ht="52" customHeight="1">
      <x:c r="A644" s="42" t="n">
        <x:v>287</x:v>
      </x:c>
      <x:c r="B644" s="39" t="str">
        <x:v>总工程师/副总工程师</x:v>
      </x:c>
      <x:c r="C644" s="39" t="str">
        <x:v>条件合并（先修分类）</x:v>
      </x:c>
      <x:c r="D644" s="39" t="str">
        <x:v>总工程师/副总工程师</x:v>
      </x:c>
      <x:c r="E644" s="42" t="n">
        <x:v>940</x:v>
      </x:c>
      <x:c r="F644" s="39" t="str">
        <x:v>IC-L3-1091</x:v>
      </x:c>
      <x:c r="G644" s="42" t="n">
        <x:v>1091</x:v>
      </x:c>
      <x:c r="H644" s="39" t="str">
        <x:v>能源/环保/化工 &gt; 环保 &gt; 总工程师/副总工程师</x:v>
      </x:c>
      <x:c r="I644" s="39" t="str">
        <x:v>2-02-27-06</x:v>
      </x:c>
      <x:c r="J644" s="39" t="str">
        <x:v>健康安全环境工程技术人员</x:v>
      </x:c>
      <x:c r="K644" s="39" t="str">
        <x:v>总工程师/副总工程师是专门从事环保工程技术管理的专业人员。该职位的核心目标是通过优化技术方案和工程管理，实现环保项目的高效实施和质量达标。在日常工作中，需要进行技术方案评审、工程进度把控、质量安全管理以及团队技术指导等工作。</x:v>
      </x:c>
      <x:c r="L644" s="39" t="str">
        <x:v>1. 制定环保技术方案 2. 监督工程实施质量 3. 优化环保工艺流程 4. 指导技术团队工作 5. 审核环保项目设计 6. 解决重大技术难题</x:v>
      </x:c>
    </x:row>
    <x:row r="645" ht="52" customHeight="1">
      <x:c r="A645" s="42" t="n">
        <x:v>288</x:v>
      </x:c>
      <x:c r="B645" s="39" t="str">
        <x:v>总装工程师</x:v>
      </x:c>
      <x:c r="C645" s="39" t="str">
        <x:v>可直接合并</x:v>
      </x:c>
      <x:c r="D645" s="39" t="str">
        <x:v>总装工程师</x:v>
      </x:c>
      <x:c r="E645" s="42" t="n">
        <x:v>283</x:v>
      </x:c>
      <x:c r="F645" s="39" t="str">
        <x:v>IC-L3-434</x:v>
      </x:c>
      <x:c r="G645" s="42" t="n">
        <x:v>434</x:v>
      </x:c>
      <x:c r="H645" s="39" t="str">
        <x:v>销售/客服 &gt; 汽车销售 &gt; 总装工程师</x:v>
      </x:c>
      <x:c r="I645" s="39" t="str">
        <x:v>2-02-07-11</x:v>
      </x:c>
      <x:c r="J645" s="39" t="str">
        <x:v>汽车工程技术人员</x:v>
      </x:c>
      <x:c r="K645" s="39" t="str">
        <x:v>总装工程师是专门从事汽车总装工艺设计与优化的专业人员。该职位的核心目标是通过高效的总装流程管理，实现产品质量提升和生产效率优化。在日常工作中，需要进行装配工艺设计、生产线问题解决、装配标准制定以及跨部门协调等工作。</x:v>
      </x:c>
      <x:c r="L645" s="39" t="str">
        <x:v>1. 制定装配工艺流程 2. 监督总装生产线运行 3. 优化装配效率质量 4. 解决生产现场问题 5. 协调零部件供应衔接 6. 培训装配操作人员</x:v>
      </x:c>
    </x:row>
    <x:row r="646" ht="52" customHeight="1">
      <x:c r="A646" s="42" t="n">
        <x:v>288</x:v>
      </x:c>
      <x:c r="B646" s="39" t="str">
        <x:v>总装工程师</x:v>
      </x:c>
      <x:c r="C646" s="39" t="str">
        <x:v>可直接合并</x:v>
      </x:c>
      <x:c r="D646" s="39" t="str">
        <x:v>总装工程师</x:v>
      </x:c>
      <x:c r="E646" s="42" t="n">
        <x:v>561</x:v>
      </x:c>
      <x:c r="F646" s="39" t="str">
        <x:v>IC-L3-712</x:v>
      </x:c>
      <x:c r="G646" s="42" t="n">
        <x:v>712</x:v>
      </x:c>
      <x:c r="H646" s="39" t="str">
        <x:v>汽车 &gt; 汽车制造 &gt; 总装工程师</x:v>
      </x:c>
      <x:c r="I646" s="39" t="str">
        <x:v>2-02-07-11</x:v>
      </x:c>
      <x:c r="J646" s="39" t="str">
        <x:v>汽车工程技术人员</x:v>
      </x:c>
      <x:c r="K646" s="39" t="str">
        <x:v>总装工程师是汽车制造行业中不可或缺的关键角色，负责确保汽车装配过程的高效与质量。该职位不仅涉及到技术层面的操作，如生产线的设计与优化，还承担着确保生产流程符合安全标准和环保要求的重要责任，是连接设计、采购、生产和质量控制等多部门的核心枢纽。 总装工程师的核心目标在于通过优化装配线布局、改进工艺流程以及提高自动化水平，实现生产效率的最大化及成本的有效控制，从而…</x:v>
      </x:c>
      <x:c r="L646" s="39" t="str">
        <x:v>1. 负责整车装配线的整体规划与设计，确保生产线布局合理、操作便捷，达到预期的生产能力。 2. 对现有生产工艺进行持续改进，采用先进技术和设备，减少浪费，提高工作效率，降低成本。 3. 制定并实施严格的品质管理体系，监督生产过程中的每一个环节，确保最终产品的质量和可靠性。 4. 协调各部门资源，解决生产中出现的技术问题，保障生产线稳定运行。 5. 关注行业动…</x:v>
      </x:c>
    </x:row>
    <x:row r="647" ht="52" customHeight="1">
      <x:c r="A647" s="42" t="n">
        <x:v>289</x:v>
      </x:c>
      <x:c r="B647" s="39" t="str">
        <x:v>作家/撰稿人</x:v>
      </x:c>
      <x:c r="C647" s="39" t="str">
        <x:v>可直接合并</x:v>
      </x:c>
      <x:c r="D647" s="39" t="str">
        <x:v>作家/撰稿人</x:v>
      </x:c>
      <x:c r="E647" s="42" t="n">
        <x:v>528</x:v>
      </x:c>
      <x:c r="F647" s="39" t="str">
        <x:v>IC-L3-679</x:v>
      </x:c>
      <x:c r="G647" s="42" t="n">
        <x:v>679</x:v>
      </x:c>
      <x:c r="H647" s="39" t="str">
        <x:v>文化/传媒 &gt; 影视/媒体 &gt; 作家/撰稿人</x:v>
      </x:c>
      <x:c r="I647" s="39" t="str">
        <x:v>2-09-06-01</x:v>
      </x:c>
      <x:c r="J647" s="39" t="str">
        <x:v>视觉传达设计人员</x:v>
      </x:c>
      <x:c r="K647" s="39" t="str">
        <x:v>作家/撰稿人是专门从事影视媒体内容创作的专业人员。该职位的核心目标是通过撰写高质量的文字作品，实现内容传播与品牌影响力提升。在日常工作中，需要进行剧本创作、专题文章撰写、宣传文案策划及内容创意开发等工作。</x:v>
      </x:c>
      <x:c r="L647" s="39" t="str">
        <x:v>1. 创作影视剧本内容 2. 撰写媒体宣传文案 3. 策划专题报道选题 4. 修改完善稿件内容 5. 跟进项目创作进度 6. 收集行业热点素材</x:v>
      </x:c>
    </x:row>
    <x:row r="648" ht="52" customHeight="1">
      <x:c r="A648" s="42" t="n">
        <x:v>289</x:v>
      </x:c>
      <x:c r="B648" s="39" t="str">
        <x:v>作家/撰稿人</x:v>
      </x:c>
      <x:c r="C648" s="39" t="str">
        <x:v>可直接合并</x:v>
      </x:c>
      <x:c r="D648" s="39" t="str">
        <x:v>作家/撰稿人</x:v>
      </x:c>
      <x:c r="E648" s="42" t="n">
        <x:v>542</x:v>
      </x:c>
      <x:c r="F648" s="39" t="str">
        <x:v>IC-L3-693</x:v>
      </x:c>
      <x:c r="G648" s="42" t="n">
        <x:v>693</x:v>
      </x:c>
      <x:c r="H648" s="39" t="str">
        <x:v>文化/传媒 &gt; 编辑/出版 &gt; 作家/撰稿人</x:v>
      </x:c>
      <x:c r="I648" s="39" t="str">
        <x:v>2-09-06-01</x:v>
      </x:c>
      <x:c r="J648" s="39" t="str">
        <x:v>视觉传达设计人员</x:v>
      </x:c>
      <x:c r="K648" s="39" t="str">
        <x:v>作家/撰稿人在文化与传媒行业中扮演着至关重要的角色，他们是内容创作的灵魂，通过文字的力量传递信息、激发情感并塑造观点。他们不仅负责撰写高质量的文章，还需要具备敏锐的市场洞察力，能够捕捉社会热点，引领潮流趋势，为读者提供有价值的内容体验。在公司内部，作家/撰稿人通常会与其他部门紧密合作，如设计、营销等，以确保内容的视觉呈现和传播效果达到最佳状态；同时，随着个人…</x:v>
      </x:c>
      <x:c r="L648" s="39" t="str">
        <x:v>1. 根据公司定位及市场需求，进行选题策划，撰写原创文章，确保内容的原创性、准确性和吸引力。 2. 跟踪时事动态和社会热点，快速响应，完成专题报道或评论文章的撰写工作，提高品牌知名度。 3. 与设计团队沟通协作，共同优化图文排版，使内容更加生动有趣，增强用户的阅读体验。 4. 参与用户互动，收集反馈意见，持续改进内容质量，提升用户满意度。 5. 定期分析数据…</x:v>
      </x:c>
    </x:row>
    <x:row r="649" ht="52" customHeight="1">
      <x:c r="A649" s="42" t="n">
        <x:v>290</x:v>
      </x:c>
      <x:c r="B649" s="39" t="str">
        <x:v>CNC/数控操机</x:v>
      </x:c>
      <x:c r="C649" s="39" t="str">
        <x:v>条件合并（先修分类）</x:v>
      </x:c>
      <x:c r="D649" s="39" t="str">
        <x:v>CNC/数控操机</x:v>
      </x:c>
      <x:c r="E649" s="42" t="n">
        <x:v>623</x:v>
      </x:c>
      <x:c r="F649" s="39" t="str">
        <x:v>IC-L3-774</x:v>
      </x:c>
      <x:c r="G649" s="42" t="n">
        <x:v>774</x:v>
      </x:c>
      <x:c r="H649" s="39" t="str">
        <x:v>生产制造 &gt; 工程/机械 &gt; CNC/数控操机</x:v>
      </x:c>
      <x:c r="I649" s="39" t="str">
        <x:v>2-02-07-01</x:v>
      </x:c>
      <x:c r="J649" s="39" t="str">
        <x:v>机械设计工程技术人员</x:v>
      </x:c>
      <x:c r="K649" s="39" t="str">
        <x:v>CNC/数控操机是在生产制造行业中不可或缺的技术岗位，尤其在工程和机械领域，该职位通过精密操作数控机床来确保产品加工的高效与精准。作为连接设计与生产的桥梁，数控操机人员不仅负责将工程师的设计图纸转化为实际产品，还需不断优化加工流程，提高生产效率和产品质量，减少材料浪费。在日常工作中，数控操机人员需要与工艺工程师、质量检测员等多部门密切合作，共同解决生产中遇到…</x:v>
      </x:c>
      <x:c r="L649" s="39" t="str">
        <x:v>1. 根据生产计划及工艺文件要求，正确设置并操作数控机床完成零件加工任务，确保加工精度符合标准。 2. 定期维护保养所使用的设备，检查机床运行状态，及时排除故障，保证设备正常运转。 3. 记录生产过程中的各项数据，分析加工效果，提出改进措施以提升工作效率。 4. 与团队成员沟通协调，参与产品设计评审和技术交流会议，为优化生产工艺提供意见。 5. 遵守公司安全…</x:v>
      </x:c>
    </x:row>
    <x:row r="650" ht="52" customHeight="1">
      <x:c r="A650" s="42" t="n">
        <x:v>290</x:v>
      </x:c>
      <x:c r="B650" s="39" t="str">
        <x:v>CNC/数控操机</x:v>
      </x:c>
      <x:c r="C650" s="39" t="str">
        <x:v>条件合并（先修分类）</x:v>
      </x:c>
      <x:c r="D650" s="39" t="str">
        <x:v>CNC/数控操机</x:v>
      </x:c>
      <x:c r="E650" s="42" t="n">
        <x:v>703</x:v>
      </x:c>
      <x:c r="F650" s="39" t="str">
        <x:v>IC-L3-854</x:v>
      </x:c>
      <x:c r="G650" s="42" t="n">
        <x:v>854</x:v>
      </x:c>
      <x:c r="H650" s="39" t="str">
        <x:v>生产制造 &gt; 机械加工 &gt; CNC/数控操机</x:v>
      </x:c>
      <x:c r="I650" s="39" t="str">
        <x:v>6-31-01-01</x:v>
      </x:c>
      <x:c r="J650" s="39" t="str">
        <x:v>设备点检员</x:v>
      </x:c>
      <x:c r="K650" s="39" t="str">
        <x:v>CNC/数控操机是生产制造行业中机械加工领域的重要角色，主要负责操作数控机床进行精密加工，确保产品质量符合标准。这一职位不仅需要具备扎实的专业技能，还需要有良好的责任心和细致的工作态度，以适应快速变化的生产需求和技术革新。 该职位的核心目标在于高效准确地完成零件的加工任务，通过优化加工参数和工艺流程来提高生产效率，降低生产成本，同时保证产品的一致性和稳定性，…</x:v>
      </x:c>
      <x:c r="L650" s="39" t="str">
        <x:v>1. 根据图纸要求设置并调整数控机床的各项参数，确保加工精度达到规定标准。 2. 对加工过程中出现的问题及时作出判断与处理，采取有效措施防止不良品产生。 3. 定期检查和维护所使用的机械设备，记录设备运行状态，预防故障发生。 4. 参与新产品的试制工作，提出合理的改进建议，协助工程师完善生产工艺。 5. 遵守安全生产规范，保持作业现场整洁有序，营造良好的工作…</x:v>
      </x:c>
    </x:row>
    <x:row r="651" ht="52" customHeight="1">
      <x:c r="A651" s="42" t="n">
        <x:v>291</x:v>
      </x:c>
      <x:c r="B651" s="39" t="str">
        <x:v>EHS安全工程师</x:v>
      </x:c>
      <x:c r="C651" s="39" t="str">
        <x:v>可直接合并</x:v>
      </x:c>
      <x:c r="D651" s="39" t="str">
        <x:v>EHS安全工程师</x:v>
      </x:c>
      <x:c r="E651" s="42" t="n">
        <x:v>725</x:v>
      </x:c>
      <x:c r="F651" s="39" t="str">
        <x:v>IC-L3-876</x:v>
      </x:c>
      <x:c r="G651" s="42" t="n">
        <x:v>876</x:v>
      </x:c>
      <x:c r="H651" s="39" t="str">
        <x:v>生产制造 &gt; 生产安全 &gt; EHS安全工程师</x:v>
      </x:c>
      <x:c r="I651" s="39" t="str">
        <x:v>2-02-28-03</x:v>
      </x:c>
      <x:c r="J651" s="39" t="str">
        <x:v>安全生产管理工程技术人员</x:v>
      </x:c>
      <x:c r="K651" s="39" t="str">
        <x:v>EHS安全工程师是生产制造行业中不可或缺的专业角色，负责确保企业遵守所有相关的环境、健康与安全法规，同时维护员工的安全和健康。这一职位不仅能够帮助企业避免潜在的法律风险，还能通过预防事故的发生，提高工作效率，减少因工伤导致的成本损失，从而为公司创造长期的价值。此外，EHS安全工程师还需与其他部门紧密合作，如生产、人力资源和技术团队，共同制定并实施有效的安全策…</x:v>
      </x:c>
      <x:c r="L651" s="39" t="str">
        <x:v>1. 负责制定和完善公司EHS管理体系，确保所有操作流程符合国家及地方的法律法规要求，以降低企业运营中的安全风险。 2. 定期组织现场安全检查，识别潜在的安全隐患，提出整改建议并跟踪落实情况，确保工作环境的安全性。 3. 对员工进行定期的安全培训和应急演练，提升全员的安全意识和应对突发事件的能力，减少事故发生率。 4. 分析安全事故案例，编写事故报告，提出改…</x:v>
      </x:c>
    </x:row>
    <x:row r="652" ht="52" customHeight="1">
      <x:c r="A652" s="42" t="n">
        <x:v>291</x:v>
      </x:c>
      <x:c r="B652" s="39" t="str">
        <x:v>EHS安全工程师</x:v>
      </x:c>
      <x:c r="C652" s="39" t="str">
        <x:v>可直接合并</x:v>
      </x:c>
      <x:c r="D652" s="39" t="str">
        <x:v>EHS安全工程师</x:v>
      </x:c>
      <x:c r="E652" s="42" t="n">
        <x:v>730</x:v>
      </x:c>
      <x:c r="F652" s="39" t="str">
        <x:v>IC-L3-881</x:v>
      </x:c>
      <x:c r="G652" s="42" t="n">
        <x:v>881</x:v>
      </x:c>
      <x:c r="H652" s="39" t="str">
        <x:v>生产制造 &gt; 质量管理 &gt; EHS安全工程师</x:v>
      </x:c>
      <x:c r="I652" s="39" t="str">
        <x:v>2-02-28-03</x:v>
      </x:c>
      <x:c r="J652" s="39" t="str">
        <x:v>安全生产管理工程技术人员</x:v>
      </x:c>
      <x:c r="K652" s="39" t="str">
        <x:v>EHS（环境、健康与安全）安全工程师是生产制造行业中不可或缺的角色，他们负责确保工作场所的安全与环保标准，预防事故和环境污染的发生，保障员工的健康。通过制定并实施有效的EHS管理体系，EHS安全工程师不仅能够帮助企业遵守相关法律法规，还能提升企业的社会责任感和公众形象，从而为公司创造长期价值。此外，该职位需要与其他部门紧密合作，如生产、采购和技术等，以实现跨…</x:v>
      </x:c>
      <x:c r="L652" s="39" t="str">
        <x:v>1. 负责制定和完善EHS相关的政策、程序和操作指南，确保所有活动符合国家及地方的法律法规要求。 2. 定期进行现场检查，识别潜在的安全隐患和环境风险，提出改进措施并监督执行，减少事故发生率。 3. 组织开展EHS培训项目，提高全体员工的安全意识和应急处理能力，促进形成良好的安全生产文化。 4. 协调内外部资源，参与事故调查分析，制定预防措施，防止类似事件再…</x:v>
      </x:c>
    </x:row>
    <x:row r="653" ht="52" customHeight="1">
      <x:c r="A653" s="42" t="n">
        <x:v>292</x:v>
      </x:c>
      <x:c r="B653" s="39" t="str">
        <x:v>EHS安全经理/主管</x:v>
      </x:c>
      <x:c r="C653" s="39" t="str">
        <x:v>可直接合并</x:v>
      </x:c>
      <x:c r="D653" s="39" t="str">
        <x:v>EHS安全经理/主管</x:v>
      </x:c>
      <x:c r="E653" s="42" t="n">
        <x:v>726</x:v>
      </x:c>
      <x:c r="F653" s="39" t="str">
        <x:v>IC-L3-877</x:v>
      </x:c>
      <x:c r="G653" s="42" t="n">
        <x:v>877</x:v>
      </x:c>
      <x:c r="H653" s="39" t="str">
        <x:v>生产制造 &gt; 生产安全 &gt; EHS安全经理/主管</x:v>
      </x:c>
      <x:c r="I653" s="39" t="str">
        <x:v>2-02-28-03</x:v>
      </x:c>
      <x:c r="J653" s="39" t="str">
        <x:v>安全生产管理工程技术人员</x:v>
      </x:c>
      <x:c r="K653" s="39" t="str">
        <x:v>EHS安全经理/主管是生产制造行业中至关重要的角色，主要负责确保企业的环境、健康与安全（EHS）标准符合国家法规要求，维护员工健康及企业财产安全。通过实施有效的安全管理措施，预防工作场所事故的发生，降低生产过程中的风险，从而提高工作效率和产品质量。作为公司内部的重要岗位，EHS安全经理/主管不仅需要与其他部门紧密合作，共同推进安全生产文化，还需关注个人职业发…</x:v>
      </x:c>
      <x:c r="L653" s="39" t="str">
        <x:v>EHS安全经理/主管的主要职责包括：制定并实施公司的EHS政策和程序，确保符合相关法律法规；定期组织安全培训和应急演练，提高员工的安全意识和应急处理能力；监督日常安全检查，及时发现并消除安全隐患；负责工伤事故的调查和处理，制定预防措施；协调内外部资源，推动EHS管理体系的建立和完善；与政府监管部门保持良好沟通，确保公司合规运营。</x:v>
      </x:c>
    </x:row>
    <x:row r="654" ht="52" customHeight="1">
      <x:c r="A654" s="42" t="n">
        <x:v>292</x:v>
      </x:c>
      <x:c r="B654" s="39" t="str">
        <x:v>EHS安全经理/主管</x:v>
      </x:c>
      <x:c r="C654" s="39" t="str">
        <x:v>可直接合并</x:v>
      </x:c>
      <x:c r="D654" s="39" t="str">
        <x:v>EHS安全经理/主管</x:v>
      </x:c>
      <x:c r="E654" s="42" t="n">
        <x:v>731</x:v>
      </x:c>
      <x:c r="F654" s="39" t="str">
        <x:v>IC-L3-882</x:v>
      </x:c>
      <x:c r="G654" s="42" t="n">
        <x:v>882</x:v>
      </x:c>
      <x:c r="H654" s="39" t="str">
        <x:v>生产制造 &gt; 质量管理 &gt; EHS安全经理/主管</x:v>
      </x:c>
      <x:c r="I654" s="39" t="str">
        <x:v>2-02-28-03</x:v>
      </x:c>
      <x:c r="J654" s="39" t="str">
        <x:v>安全生产管理工程技术人员</x:v>
      </x:c>
      <x:c r="K654" s="39" t="str">
        <x:v>EHS安全经理/主管是生产制造行业中不可或缺的角色，负责确保企业运营符合环境、健康与安全（EHS）法规要求。此职位不仅对员工的安全负有重大责任，而且对企业形象和社会责任有着深远影响，是连接公司管理层与一线操作人员的重要桥梁。 该职位的核心目标在于建立并维护一套全面的EHS管理体系，通过预防措施减少事故发生的可能性，提高工作效率，降低运营成本。同时，EHS安全…</x:v>
      </x:c>
      <x:c r="L654" s="39" t="str">
        <x:v>EHS安全经理/主管的主要职责包括：制定并实施公司的EHS政策和程序，确保符合相关法律法规；定期组织安全培训和应急演练，提高员工的安全意识和应急处理能力；监督日常安全检查，及时发现并消除安全隐患；负责工伤事故的调查和处理，制定预防措施；协调内外部资源，推动EHS管理体系的建立和完善；与政府监管部门保持良好沟通，确保公司合规运营。</x:v>
      </x:c>
    </x:row>
    <x:row r="655" ht="52" customHeight="1">
      <x:c r="A655" s="42" t="n">
        <x:v>293</x:v>
      </x:c>
      <x:c r="B655" s="39" t="str">
        <x:v>ERP实施顾问</x:v>
      </x:c>
      <x:c r="C655" s="39" t="str">
        <x:v>条件合并（先修分类）</x:v>
      </x:c>
      <x:c r="D655" s="39" t="str">
        <x:v>ERP实施顾问</x:v>
      </x:c>
      <x:c r="E655" s="42" t="n">
        <x:v>72</x:v>
      </x:c>
      <x:c r="F655" s="39" t="str">
        <x:v>IC-L3-223</x:v>
      </x:c>
      <x:c r="G655" s="42" t="n">
        <x:v>223</x:v>
      </x:c>
      <x:c r="H655" s="39" t="str">
        <x:v>互联网技术 &gt; 运维/技术支持 &gt; ERP实施顾问</x:v>
      </x:c>
      <x:c r="I655" s="39" t="str">
        <x:v>4-04-05-01</x:v>
      </x:c>
      <x:c r="J655" s="39" t="str">
        <x:v>计算机程序设计员</x:v>
      </x:c>
      <x:c r="K655" s="39" t="str">
        <x:v>ERP实施顾问是互联网技术行业中不可或缺的专业人才，他们负责将企业资源计划（ERP）系统成功地部署到客户环境中，确保系统的稳定运行与高效利用，从而为企业提供强大的管理支持和技术保障。作为连接技术与业务的关键桥梁，ERP实施顾问通过深入了解客户的业务流程和需求，定制化配置ERP解决方案，优化资源配置，提升企业运营效率，降低运营成本，助力企业在激烈的市场竞争中保…</x:v>
      </x:c>
      <x:c r="L655" s="39" t="str">
        <x:v>1. 负责ERP项目的整体规划与执行，从需求分析、方案设计到系统上线的全过程管理，确保项目按时按质完成。 2. 与客户进行深入交流，准确把握其业务需求，制定合理的ERP实施策略，帮助客户实现业务流程的标准化和自动化。 3. 对ERP系统进行功能测试、数据迁移及用户培训等工作，保证系统上线后能够平稳运行并满足客户预期。 4. 在项目实施阶段，及时响应并解决客户…</x:v>
      </x:c>
    </x:row>
    <x:row r="656" ht="52" customHeight="1">
      <x:c r="A656" s="42" t="n">
        <x:v>293</x:v>
      </x:c>
      <x:c r="B656" s="39" t="str">
        <x:v>ERP实施顾问</x:v>
      </x:c>
      <x:c r="C656" s="39" t="str">
        <x:v>条件合并（先修分类）</x:v>
      </x:c>
      <x:c r="D656" s="39" t="str">
        <x:v>ERP实施顾问</x:v>
      </x:c>
      <x:c r="E656" s="42" t="n">
        <x:v>1320</x:v>
      </x:c>
      <x:c r="F656" s="39" t="str">
        <x:v>IC-L3-1471</x:v>
      </x:c>
      <x:c r="G656" s="42" t="n">
        <x:v>1471</x:v>
      </x:c>
      <x:c r="H656" s="39" t="str">
        <x:v>项目经理/管理 &gt; 项目经理/管理 &gt; ERP实施顾问</x:v>
      </x:c>
      <x:c r="I656" s="39" t="str">
        <x:v>2-02-30-04</x:v>
      </x:c>
      <x:c r="J656" s="39" t="str">
        <x:v>项目管理工程技术人员</x:v>
      </x:c>
      <x:c r="K656" s="39" t="str">
        <x:v>ERP实施顾问是企业资源计划（ERP）系统成功部署与优化的关键角色。在现代企业管理中，该职位不仅需要具备深厚的技术背景，还应拥有良好的沟通协调能力，以确保项目能够按时按质完成，同时满足业务需求，促进企业内部流程的标准化和效率提升。作为连接技术与业务的桥梁，ERP实施顾问需要与不同部门紧密合作，通过持续的培训和支持，帮助员工掌握新系统的使用方法，推动项目的顺利…</x:v>
      </x:c>
      <x:c r="L656" s="39" t="str">
        <x:v>1. 负责客户需求调研与分析，结合公司产品特点制定详细的ERP实施方案，确保方案符合客户实际业务流程及管理要求。 2. 组织并参与ERP系统的安装调试工作，解决实施过程中出现的各种技术问题，保证系统稳定运行，达到预期效果。 3. 与销售、技术等部门密切配合，提供专业的咨询建议和技术支持，协助客户顺利完成数据迁移、用户培训等关键环节。 4. 定期收集反馈信息，…</x:v>
      </x:c>
    </x:row>
    <x:row r="657" ht="52" customHeight="1">
      <x:c r="A657" s="42" t="n">
        <x:v>294</x:v>
      </x:c>
      <x:c r="B657" s="39" t="str">
        <x:v>PCB工程师</x:v>
      </x:c>
      <x:c r="C657" s="39" t="str">
        <x:v>条件合并（先修分类）</x:v>
      </x:c>
      <x:c r="D657" s="39" t="str">
        <x:v>PCB工程师</x:v>
      </x:c>
      <x:c r="E657" s="42" t="n">
        <x:v>951</x:v>
      </x:c>
      <x:c r="F657" s="39" t="str">
        <x:v>IC-L3-1102</x:v>
      </x:c>
      <x:c r="G657" s="42" t="n">
        <x:v>1102</x:v>
      </x:c>
      <x:c r="H657" s="39" t="str">
        <x:v>能源/环保/化工 &gt; 能源 &gt; PCB工程师</x:v>
      </x:c>
      <x:c r="I657" s="39" t="str">
        <x:v>2-02-38-05</x:v>
      </x:c>
      <x:c r="J657" s="39" t="str">
        <x:v>智能制造工程技术人员</x:v>
      </x:c>
      <x:c r="K657" s="39" t="str">
        <x:v>PCB工程师是专门从事印刷电路板设计与制造的专业人员。该职位的核心目标是通过优化PCB设计方案，确保能源类电子产品的可靠性和高效性。在日常工作中，需要进行电路原理图设计、PCB布局布线、信号完整性分析及生产文件输出等工作。</x:v>
      </x:c>
      <x:c r="L657" s="39" t="str">
        <x:v>1. 设计PCB电路板 2. 优化能源系统布局 3. 测试电路性能参数 4. 解决生产质量问题 5. 编写技术文档报告 6. 跟进项目进度节点</x:v>
      </x:c>
    </x:row>
    <x:row r="658" ht="52" customHeight="1">
      <x:c r="A658" s="42" t="n">
        <x:v>294</x:v>
      </x:c>
      <x:c r="B658" s="39" t="str">
        <x:v>PCB工程师</x:v>
      </x:c>
      <x:c r="C658" s="39" t="str">
        <x:v>条件合并（先修分类）</x:v>
      </x:c>
      <x:c r="D658" s="39" t="str">
        <x:v>PCB工程师</x:v>
      </x:c>
      <x:c r="E658" s="42" t="n">
        <x:v>1147</x:v>
      </x:c>
      <x:c r="F658" s="39" t="str">
        <x:v>IC-L3-1298</x:v>
      </x:c>
      <x:c r="G658" s="42" t="n">
        <x:v>1298</x:v>
      </x:c>
      <x:c r="H658" s="39" t="str">
        <x:v>通信/电子 &gt; 电子/电器/仪器仪表 &gt; PCB工程师</x:v>
      </x:c>
      <x:c r="I658" s="39" t="str">
        <x:v>2-02-09-02</x:v>
      </x:c>
      <x:c r="J658" s="39" t="str">
        <x:v>电子元器件工程技术人员</x:v>
      </x:c>
      <x:c r="K658" s="39" t="str">
        <x:v>PCB工程师是通信/电子行业中不可或缺的专业技术人才，负责设计和优化印刷电路板（PCB），以确保电子设备的功能性和可靠性。这一职位不仅要求具备扎实的理论知识，还要求有丰富的实践经验，是连接产品概念与实际生产的关键桥梁。 该职位的核心目标在于通过创新的设计方法和先进的技术手段，提高PCB的性能、降低成本并缩短开发周期，从而为公司带来竞争优势。PCB工程师需要密…</x:v>
      </x:c>
      <x:c r="L658" s="39" t="str">
        <x:v>1. 负责新产品的PCB布局设计及优化工作，确保设计符合功能需求和生产标准。 2. 对现有产品进行技术改进，提高其稳定性和生产效率，降低不良率。 3. 参与项目初期评审会议，提供专业的PCB设计建议，规避潜在风险。 4. 与采购部门紧密配合，选择合适的元器件供应商，保证材料质量和成本控制。 5. 编写详细的PCB设计文档，包括原理图、布线规则等，以便于生产和…</x:v>
      </x:c>
    </x:row>
    <x:row r="659" ht="52" customHeight="1">
      <x:c r="A659" s="42" t="n">
        <x:v>295</x:v>
      </x:c>
      <x:c r="B659" s="39" t="str">
        <x:v>UI设计师</x:v>
      </x:c>
      <x:c r="C659" s="39" t="str">
        <x:v>可直接合并</x:v>
      </x:c>
      <x:c r="D659" s="39" t="str">
        <x:v>UI设计师</x:v>
      </x:c>
      <x:c r="E659" s="42" t="n">
        <x:v>953</x:v>
      </x:c>
      <x:c r="F659" s="39" t="str">
        <x:v>IC-L3-1104</x:v>
      </x:c>
      <x:c r="G659" s="42" t="n">
        <x:v>1104</x:v>
      </x:c>
      <x:c r="H659" s="39" t="str">
        <x:v>设计 &gt; 互联网设计 &gt; UI设计师</x:v>
      </x:c>
      <x:c r="I659" s="39" t="str">
        <x:v>2-09-06-01</x:v>
      </x:c>
      <x:c r="J659" s="39" t="str">
        <x:v>视觉传达设计人员</x:v>
      </x:c>
      <x:c r="K659" s="39" t="str">
        <x:v>UI设计师是互联网设计领域中不可或缺的角色，他们通过创造直观、美观且用户友好的界面来提升用户体验，从而在激烈的市场竞争中脱颖而出。作为连接技术和用户的桥梁，UI设计师的核心目标是确保产品的视觉表现与品牌形象相一致，同时优化用户交互流程，提高用户满意度和忠诚度，这对于公司品牌形象的建立和市场竞争力的增强至关重要。在日常工作中，UI设计师需要与产品经理、开发人员…</x:v>
      </x:c>
      <x:c r="L659" s="39" t="str">
        <x:v>1. 负责产品界面的整体风格设计，包括但不限于色彩搭配、图标绘制等元素，确保设计符合品牌调性和用户需求。 2. 根据用户研究结果及业务需求，进行界面布局优化，改善用户体验，提升产品可用性。 3. 与前端工程师密切配合，确保设计方案能够准确无误地实现于实际产品中，保证最终效果与设计稿一致。 4. 定期收集并分析用户反馈，持续迭代改进现有产品界面，以适应市场变化…</x:v>
      </x:c>
    </x:row>
    <x:row r="660" ht="52" customHeight="1">
      <x:c r="A660" s="43" t="n">
        <x:v>295</x:v>
      </x:c>
      <x:c r="B660" s="40" t="str">
        <x:v>UI设计师</x:v>
      </x:c>
      <x:c r="C660" s="40" t="str">
        <x:v>可直接合并</x:v>
      </x:c>
      <x:c r="D660" s="40" t="str">
        <x:v>UI设计师</x:v>
      </x:c>
      <x:c r="E660" s="43" t="n">
        <x:v>984</x:v>
      </x:c>
      <x:c r="F660" s="40" t="str">
        <x:v>IC-L3-1135</x:v>
      </x:c>
      <x:c r="G660" s="43" t="n">
        <x:v>1135</x:v>
      </x:c>
      <x:c r="H660" s="40" t="str">
        <x:v>设计 &gt; 平面设计 &gt; UI设计师</x:v>
      </x:c>
      <x:c r="I660" s="40" t="str">
        <x:v>2-09-06-01</x:v>
      </x:c>
      <x:c r="J660" s="40" t="str">
        <x:v>视觉传达设计人员</x:v>
      </x:c>
      <x:c r="K660" s="40" t="str">
        <x:v>UI设计师是专门从事用户界面视觉设计的专业人员。该职位的核心目标是通过创新设计语言，提升产品视觉体验和用户交互品质。在日常工作中，需要进行界面原型设计、视觉元素创作、设计规范制定等工作。</x:v>
      </x:c>
      <x:c r="L660" s="40" t="str">
        <x:v>1. 设计用户界面方案 2. 制作视觉设计稿 3. 优化交互体验 4. 制定设计规范 5. 配合开发实现 6. 跟进设计效果</x:v>
      </x:c>
    </x:row>
  </x:sheetData>
  <x:conditionalFormatting sqref="C2:C660">
    <x:cfRule type="containsText" dxfId="8" priority="1" operator="containsText" text="可直接合并"/>
    <x:cfRule type="containsText" dxfId="9" priority="2" operator="containsText" text="条件合并"/>
    <x:cfRule type="containsText" dxfId="10" priority="3" operator="containsText" text="需拆分"/>
    <x:cfRule type="containsText" dxfId="11" priority="4" operator="containsText" text="不建议直接合并"/>
  </x:conditionalFormatting>
  <x:pageMargins left="0.7" right="0.7" top="0.75" bottom="0.75" header="0.3" footer="0.3"/>
  <x:tableParts count="1">
    <x:tablePart xmlns:r="http://schemas.openxmlformats.org/officeDocument/2006/relationships" r:id="R79f31976b59b4b3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3" hidden="0" customWidth="1"/>
    <x:col min="3" max="3" width="23" hidden="0" customWidth="1"/>
    <x:col min="4" max="4" width="11" hidden="0" customWidth="1"/>
    <x:col min="5" max="5" width="28" hidden="0" customWidth="1"/>
    <x:col min="6" max="6" width="52" hidden="0" customWidth="1"/>
    <x:col min="7" max="7" width="24" hidden="0" customWidth="1"/>
    <x:col min="8" max="8" width="28" hidden="0" customWidth="1"/>
    <x:col min="9" max="9" width="11" hidden="0" customWidth="1"/>
    <x:col min="10" max="10" width="11" hidden="0" customWidth="1"/>
    <x:col min="11" max="11" width="16" hidden="0" customWidth="1"/>
    <x:col min="12" max="12" width="16" hidden="0" customWidth="1"/>
  </x:cols>
  <x:sheetData>
    <x:row r="1" ht="28" customHeight="1">
      <x:c r="A1" s="14" t="str">
        <x:v>序号</x:v>
      </x:c>
      <x:c r="B1" s="30" t="str">
        <x:v>岗位名A</x:v>
      </x:c>
      <x:c r="C1" s="30" t="str">
        <x:v>岗位名B</x:v>
      </x:c>
      <x:c r="D1" s="30" t="str">
        <x:v>涉及记录数</x:v>
      </x:c>
      <x:c r="E1" s="30" t="str">
        <x:v>建议</x:v>
      </x:c>
      <x:c r="F1" s="30" t="str">
        <x:v>判断理由</x:v>
      </x:c>
      <x:c r="G1" s="30" t="str">
        <x:v>共享职业代码</x:v>
      </x:c>
      <x:c r="H1" s="30" t="str">
        <x:v>共享职业名称</x:v>
      </x:c>
      <x:c r="I1" s="30" t="str">
        <x:v>名称相似度</x:v>
      </x:c>
      <x:c r="J1" s="30" t="str">
        <x:v>职责相似度</x:v>
      </x:c>
      <x:c r="K1" s="30" t="str">
        <x:v>A源表行号</x:v>
      </x:c>
      <x:c r="L1" s="15" t="str">
        <x:v>B源表行号</x:v>
      </x:c>
    </x:row>
    <x:row r="2" ht="44" customHeight="1">
      <x:c r="A2" s="38" t="n">
        <x:v>1</x:v>
      </x:c>
      <x:c r="B2" s="38" t="str">
        <x:v>C#后端开发</x:v>
      </x:c>
      <x:c r="C2" s="38" t="str">
        <x:v>C/C++后端开发</x:v>
      </x:c>
      <x:c r="D2" s="41" t="n">
        <x:v>2</x:v>
      </x:c>
      <x:c r="E2" s="38" t="str">
        <x:v>不建议直接合并（仅名称相近）</x:v>
      </x:c>
      <x:c r="F2" s="38" t="str">
        <x:v>名称相近不等于岗位重复；技术方向、工作对象或层级不同，应分别保留。</x:v>
      </x:c>
      <x:c r="G2" s="38" t="str">
        <x:v>2-02-10-03</x:v>
      </x:c>
      <x:c r="H2" s="38" t="str">
        <x:v>计算机软件工程技术人员</x:v>
      </x:c>
      <x:c r="I2" s="67" t="n">
        <x:v>0.8</x:v>
      </x:c>
      <x:c r="J2" s="67" t="n">
        <x:v>0.194</x:v>
      </x:c>
      <x:c r="K2" s="38" t="str">
        <x:v>16</x:v>
      </x:c>
      <x:c r="L2" s="38" t="str">
        <x:v>17</x:v>
      </x:c>
    </x:row>
    <x:row r="3" ht="44" customHeight="1">
      <x:c r="A3" s="39" t="n">
        <x:v>2</x:v>
      </x:c>
      <x:c r="B3" s="39" t="str">
        <x:v>业务分析经理/主管</x:v>
      </x:c>
      <x:c r="C3" s="39" t="str">
        <x:v>财务分析经理/主管</x:v>
      </x:c>
      <x:c r="D3" s="42" t="n">
        <x:v>2</x:v>
      </x:c>
      <x:c r="E3" s="39" t="str">
        <x:v>不建议直接合并（层级不同）</x:v>
      </x:c>
      <x:c r="F3" s="39" t="str">
        <x:v>名称包含明确的职级或辅助岗位差异；可归入同一岗位族，但不能合并为同一个标准岗位。</x:v>
      </x:c>
      <x:c r="G3" s="39" t="str"/>
      <x:c r="H3" s="39" t="str"/>
      <x:c r="I3" s="68" t="n">
        <x:v>0.75</x:v>
      </x:c>
      <x:c r="J3" s="68" t="n">
        <x:v>0.114</x:v>
      </x:c>
      <x:c r="K3" s="39" t="str">
        <x:v>306</x:v>
      </x:c>
      <x:c r="L3" s="39" t="str">
        <x:v>1071</x:v>
      </x:c>
    </x:row>
    <x:row r="4" ht="44" customHeight="1">
      <x:c r="A4" s="39" t="n">
        <x:v>3</x:v>
      </x:c>
      <x:c r="B4" s="39" t="str">
        <x:v>服装/纺织设计</x:v>
      </x:c>
      <x:c r="C4" s="39" t="str">
        <x:v>服装/纺织设计总监</x:v>
      </x:c>
      <x:c r="D4" s="42" t="n">
        <x:v>5</x:v>
      </x:c>
      <x:c r="E4" s="39" t="str">
        <x:v>不建议直接合并（层级不同）</x:v>
      </x:c>
      <x:c r="F4" s="39" t="str">
        <x:v>名称包含明确的职级或辅助岗位差异；可归入同一岗位族，但不能合并为同一个标准岗位。</x:v>
      </x:c>
      <x:c r="G4" s="39" t="str">
        <x:v>6-23-01-01；2-09-06-01</x:v>
      </x:c>
      <x:c r="H4" s="39" t="str">
        <x:v>铁路机车制修工；视觉传达设计人员</x:v>
      </x:c>
      <x:c r="I4" s="68" t="n">
        <x:v>0.714</x:v>
      </x:c>
      <x:c r="J4" s="68" t="n">
        <x:v>0.146</x:v>
      </x:c>
      <x:c r="K4" s="39" t="str">
        <x:v>687；1017</x:v>
      </x:c>
      <x:c r="L4" s="39" t="str">
        <x:v>688；1018；1038</x:v>
      </x:c>
    </x:row>
    <x:row r="5" ht="44" customHeight="1">
      <x:c r="A5" s="39" t="n">
        <x:v>4</x:v>
      </x:c>
      <x:c r="B5" s="39" t="str">
        <x:v>销售工程师</x:v>
      </x:c>
      <x:c r="C5" s="39" t="str">
        <x:v>通信销售工程师</x:v>
      </x:c>
      <x:c r="D5" s="42" t="n">
        <x:v>4</x:v>
      </x:c>
      <x:c r="E5" s="39" t="str">
        <x:v>不建议直接合并（方向不同）</x:v>
      </x:c>
      <x:c r="F5" s="39" t="str">
        <x:v>属于同一岗位族，但限定词代表不同技术方向、业务范围或工作对象，应保留为专业方向岗位。</x:v>
      </x:c>
      <x:c r="G5" s="39" t="str">
        <x:v>4-04-05-01</x:v>
      </x:c>
      <x:c r="H5" s="39" t="str">
        <x:v>计算机程序设计员</x:v>
      </x:c>
      <x:c r="I5" s="68" t="n">
        <x:v>0.667</x:v>
      </x:c>
      <x:c r="J5" s="68" t="n">
        <x:v>0.333</x:v>
      </x:c>
      <x:c r="K5" s="39" t="str">
        <x:v>294；665</x:v>
      </x:c>
      <x:c r="L5" s="39" t="str">
        <x:v>300；1215</x:v>
      </x:c>
    </x:row>
    <x:row r="6" ht="44" customHeight="1">
      <x:c r="A6" s="39" t="n">
        <x:v>5</x:v>
      </x:c>
      <x:c r="B6" s="39" t="str">
        <x:v>系统工程师</x:v>
      </x:c>
      <x:c r="C6" s="39" t="str">
        <x:v>安防系统工程师</x:v>
      </x:c>
      <x:c r="D6" s="42" t="n">
        <x:v>7</x:v>
      </x:c>
      <x:c r="E6" s="39" t="str">
        <x:v>不建议直接合并（方向不同）</x:v>
      </x:c>
      <x:c r="F6" s="39" t="str">
        <x:v>属于同一岗位族，但限定词代表不同技术方向、业务范围或工作对象，应保留为专业方向岗位。</x:v>
      </x:c>
      <x:c r="G6" s="39" t="str">
        <x:v>2-02-09-02</x:v>
      </x:c>
      <x:c r="H6" s="39" t="str">
        <x:v>电子元器件工程技术人员</x:v>
      </x:c>
      <x:c r="I6" s="68" t="n">
        <x:v>0.667</x:v>
      </x:c>
      <x:c r="J6" s="68" t="n">
        <x:v>0.317</x:v>
      </x:c>
      <x:c r="K6" s="39" t="str">
        <x:v>32；75；615；655；1199</x:v>
      </x:c>
      <x:c r="L6" s="39" t="str">
        <x:v>1151；1202</x:v>
      </x:c>
    </x:row>
    <x:row r="7" ht="44" customHeight="1">
      <x:c r="A7" s="39" t="n">
        <x:v>6</x:v>
      </x:c>
      <x:c r="B7" s="39" t="str">
        <x:v>汽车电子工程师</x:v>
      </x:c>
      <x:c r="C7" s="39" t="str">
        <x:v>电子工程师</x:v>
      </x:c>
      <x:c r="D7" s="42" t="n">
        <x:v>6</x:v>
      </x:c>
      <x:c r="E7" s="39" t="str">
        <x:v>不建议直接合并（方向不同）</x:v>
      </x:c>
      <x:c r="F7" s="39" t="str">
        <x:v>属于同一岗位族，但限定词代表不同技术方向、业务范围或工作对象，应保留为专业方向岗位。</x:v>
      </x:c>
      <x:c r="G7" s="39" t="str">
        <x:v>2-02-09-02</x:v>
      </x:c>
      <x:c r="H7" s="39" t="str">
        <x:v>电子元器件工程技术人员</x:v>
      </x:c>
      <x:c r="I7" s="68" t="n">
        <x:v>0.667</x:v>
      </x:c>
      <x:c r="J7" s="68" t="n">
        <x:v>0.297</x:v>
      </x:c>
      <x:c r="K7" s="39" t="str">
        <x:v>569；586；611</x:v>
      </x:c>
      <x:c r="L7" s="39" t="str">
        <x:v>659；1145；1164</x:v>
      </x:c>
    </x:row>
    <x:row r="8" ht="44" customHeight="1">
      <x:c r="A8" s="39" t="n">
        <x:v>7</x:v>
      </x:c>
      <x:c r="B8" s="39" t="str">
        <x:v>汽车质量工程师</x:v>
      </x:c>
      <x:c r="C8" s="39" t="str">
        <x:v>质量工程师</x:v>
      </x:c>
      <x:c r="D8" s="42" t="n">
        <x:v>4</x:v>
      </x:c>
      <x:c r="E8" s="39" t="str">
        <x:v>不建议直接合并（仅名称相近）</x:v>
      </x:c>
      <x:c r="F8" s="39" t="str">
        <x:v>名称相近不等于岗位重复；技术方向、工作对象或层级不同，应分别保留。</x:v>
      </x:c>
      <x:c r="G8" s="39" t="str"/>
      <x:c r="H8" s="39" t="str"/>
      <x:c r="I8" s="68" t="n">
        <x:v>0.667</x:v>
      </x:c>
      <x:c r="J8" s="68" t="n">
        <x:v>0.26</x:v>
      </x:c>
      <x:c r="K8" s="39" t="str">
        <x:v>563；742</x:v>
      </x:c>
      <x:c r="L8" s="39" t="str">
        <x:v>749；943</x:v>
      </x:c>
    </x:row>
    <x:row r="9" ht="44" customHeight="1">
      <x:c r="A9" s="39" t="n">
        <x:v>8</x:v>
      </x:c>
      <x:c r="B9" s="39" t="str">
        <x:v>硬件工程师</x:v>
      </x:c>
      <x:c r="C9" s="39" t="str">
        <x:v>高级硬件工程师</x:v>
      </x:c>
      <x:c r="D9" s="42" t="n">
        <x:v>5</x:v>
      </x:c>
      <x:c r="E9" s="39" t="str">
        <x:v>不建议直接合并（层级不同）</x:v>
      </x:c>
      <x:c r="F9" s="39" t="str">
        <x:v>名称包含明确的职级或辅助岗位差异；可归入同一岗位族，但不能合并为同一个标准岗位。</x:v>
      </x:c>
      <x:c r="G9" s="39" t="str">
        <x:v>2-02-09-02</x:v>
      </x:c>
      <x:c r="H9" s="39" t="str">
        <x:v>电子元器件工程技术人员</x:v>
      </x:c>
      <x:c r="I9" s="68" t="n">
        <x:v>0.667</x:v>
      </x:c>
      <x:c r="J9" s="68" t="n">
        <x:v>0.234</x:v>
      </x:c>
      <x:c r="K9" s="39" t="str">
        <x:v>126；1173；1182</x:v>
      </x:c>
      <x:c r="L9" s="39" t="str">
        <x:v>1177；1184</x:v>
      </x:c>
    </x:row>
    <x:row r="10" ht="44" customHeight="1">
      <x:c r="A10" s="39" t="n">
        <x:v>9</x:v>
      </x:c>
      <x:c r="B10" s="39" t="str">
        <x:v>前期质量工程师</x:v>
      </x:c>
      <x:c r="C10" s="39" t="str">
        <x:v>质量工程师</x:v>
      </x:c>
      <x:c r="D10" s="42" t="n">
        <x:v>4</x:v>
      </x:c>
      <x:c r="E10" s="39" t="str">
        <x:v>不建议直接合并（方向不同）</x:v>
      </x:c>
      <x:c r="F10" s="39" t="str">
        <x:v>属于同一岗位族，但限定词代表不同技术方向、业务范围或工作对象，应保留为专业方向岗位。</x:v>
      </x:c>
      <x:c r="G10" s="39" t="str">
        <x:v>2-02-29-03</x:v>
      </x:c>
      <x:c r="H10" s="39" t="str">
        <x:v>质量管理工程技术人员</x:v>
      </x:c>
      <x:c r="I10" s="68" t="n">
        <x:v>0.667</x:v>
      </x:c>
      <x:c r="J10" s="68" t="n">
        <x:v>0.218</x:v>
      </x:c>
      <x:c r="K10" s="39" t="str">
        <x:v>559；735</x:v>
      </x:c>
      <x:c r="L10" s="39" t="str">
        <x:v>749；943</x:v>
      </x:c>
    </x:row>
    <x:row r="11" ht="44" customHeight="1">
      <x:c r="A11" s="39" t="n">
        <x:v>10</x:v>
      </x:c>
      <x:c r="B11" s="39" t="str">
        <x:v>销售工程师</x:v>
      </x:c>
      <x:c r="C11" s="39" t="str">
        <x:v>电子销售工程师</x:v>
      </x:c>
      <x:c r="D11" s="42" t="n">
        <x:v>3</x:v>
      </x:c>
      <x:c r="E11" s="39" t="str">
        <x:v>不建议直接合并（仅名称相近）</x:v>
      </x:c>
      <x:c r="F11" s="39" t="str">
        <x:v>名称相近不等于岗位重复；技术方向、工作对象或层级不同，应分别保留。</x:v>
      </x:c>
      <x:c r="G11" s="39" t="str"/>
      <x:c r="H11" s="39" t="str"/>
      <x:c r="I11" s="68" t="n">
        <x:v>0.667</x:v>
      </x:c>
      <x:c r="J11" s="68" t="n">
        <x:v>0.217</x:v>
      </x:c>
      <x:c r="K11" s="39" t="str">
        <x:v>294；665</x:v>
      </x:c>
      <x:c r="L11" s="39" t="str">
        <x:v>1169</x:v>
      </x:c>
    </x:row>
    <x:row r="12" ht="44" customHeight="1">
      <x:c r="A12" s="39" t="n">
        <x:v>11</x:v>
      </x:c>
      <x:c r="B12" s="39" t="str">
        <x:v>网络工程师</x:v>
      </x:c>
      <x:c r="C12" s="39" t="str">
        <x:v>通信网络工程师</x:v>
      </x:c>
      <x:c r="D12" s="42" t="n">
        <x:v>3</x:v>
      </x:c>
      <x:c r="E12" s="39" t="str">
        <x:v>不建议直接合并（方向不同）</x:v>
      </x:c>
      <x:c r="F12" s="39" t="str">
        <x:v>属于同一岗位族，但限定词代表不同技术方向、业务范围或工作对象，应保留为专业方向岗位。</x:v>
      </x:c>
      <x:c r="G12" s="39" t="str">
        <x:v>2-02-10-01</x:v>
      </x:c>
      <x:c r="H12" s="39" t="str">
        <x:v>通信工程技术人员</x:v>
      </x:c>
      <x:c r="I12" s="68" t="n">
        <x:v>0.667</x:v>
      </x:c>
      <x:c r="J12" s="68" t="n">
        <x:v>0.2</x:v>
      </x:c>
      <x:c r="K12" s="39" t="str">
        <x:v>36；78</x:v>
      </x:c>
      <x:c r="L12" s="39" t="str">
        <x:v>1213</x:v>
      </x:c>
    </x:row>
    <x:row r="13" ht="44" customHeight="1">
      <x:c r="A13" s="39" t="n">
        <x:v>12</x:v>
      </x:c>
      <x:c r="B13" s="39" t="str">
        <x:v>过程质量工程师</x:v>
      </x:c>
      <x:c r="C13" s="39" t="str">
        <x:v>质量工程师</x:v>
      </x:c>
      <x:c r="D13" s="42" t="n">
        <x:v>4</x:v>
      </x:c>
      <x:c r="E13" s="39" t="str">
        <x:v>不建议直接合并（方向不同）</x:v>
      </x:c>
      <x:c r="F13" s="39" t="str">
        <x:v>属于同一岗位族，但限定词代表不同技术方向、业务范围或工作对象，应保留为专业方向岗位。</x:v>
      </x:c>
      <x:c r="G13" s="39" t="str">
        <x:v>2-02-29-03</x:v>
      </x:c>
      <x:c r="H13" s="39" t="str">
        <x:v>质量管理工程技术人员</x:v>
      </x:c>
      <x:c r="I13" s="68" t="n">
        <x:v>0.667</x:v>
      </x:c>
      <x:c r="J13" s="68" t="n">
        <x:v>0.199</x:v>
      </x:c>
      <x:c r="K13" s="39" t="str">
        <x:v>566；750</x:v>
      </x:c>
      <x:c r="L13" s="39" t="str">
        <x:v>749；943</x:v>
      </x:c>
    </x:row>
    <x:row r="14" ht="44" customHeight="1">
      <x:c r="A14" s="39" t="n">
        <x:v>13</x:v>
      </x:c>
      <x:c r="B14" s="39" t="str">
        <x:v>销售工程师</x:v>
      </x:c>
      <x:c r="C14" s="39" t="str">
        <x:v>芯片销售工程师</x:v>
      </x:c>
      <x:c r="D14" s="42" t="n">
        <x:v>3</x:v>
      </x:c>
      <x:c r="E14" s="39" t="str">
        <x:v>不建议直接合并（方向不同）</x:v>
      </x:c>
      <x:c r="F14" s="39" t="str">
        <x:v>属于同一岗位族，但限定词代表不同技术方向、业务范围或工作对象，应保留为专业方向岗位。</x:v>
      </x:c>
      <x:c r="G14" s="39" t="str">
        <x:v>4-04-05-01</x:v>
      </x:c>
      <x:c r="H14" s="39" t="str">
        <x:v>计算机程序设计员</x:v>
      </x:c>
      <x:c r="I14" s="68" t="n">
        <x:v>0.667</x:v>
      </x:c>
      <x:c r="J14" s="68" t="n">
        <x:v>0.193</x:v>
      </x:c>
      <x:c r="K14" s="39" t="str">
        <x:v>294；665</x:v>
      </x:c>
      <x:c r="L14" s="39" t="str">
        <x:v>1132</x:v>
      </x:c>
    </x:row>
    <x:row r="15" ht="44" customHeight="1">
      <x:c r="A15" s="39" t="n">
        <x:v>14</x:v>
      </x:c>
      <x:c r="B15" s="39" t="str">
        <x:v>客户质量工程师</x:v>
      </x:c>
      <x:c r="C15" s="39" t="str">
        <x:v>质量工程师</x:v>
      </x:c>
      <x:c r="D15" s="42" t="n">
        <x:v>4</x:v>
      </x:c>
      <x:c r="E15" s="39" t="str">
        <x:v>不建议直接合并（方向不同）</x:v>
      </x:c>
      <x:c r="F15" s="39" t="str">
        <x:v>属于同一岗位族，但限定词代表不同技术方向、业务范围或工作对象，应保留为专业方向岗位。</x:v>
      </x:c>
      <x:c r="G15" s="39" t="str">
        <x:v>2-02-29-03</x:v>
      </x:c>
      <x:c r="H15" s="39" t="str">
        <x:v>质量管理工程技术人员</x:v>
      </x:c>
      <x:c r="I15" s="68" t="n">
        <x:v>0.667</x:v>
      </x:c>
      <x:c r="J15" s="68" t="n">
        <x:v>0.184</x:v>
      </x:c>
      <x:c r="K15" s="39" t="str">
        <x:v>560；739</x:v>
      </x:c>
      <x:c r="L15" s="39" t="str">
        <x:v>749；943</x:v>
      </x:c>
    </x:row>
    <x:row r="16" ht="44" customHeight="1">
      <x:c r="A16" s="39" t="n">
        <x:v>15</x:v>
      </x:c>
      <x:c r="B16" s="39" t="str">
        <x:v>测试工程师</x:v>
      </x:c>
      <x:c r="C16" s="39" t="str">
        <x:v>硬件测试工程师</x:v>
      </x:c>
      <x:c r="D16" s="42" t="n">
        <x:v>6</x:v>
      </x:c>
      <x:c r="E16" s="39" t="str">
        <x:v>不建议直接合并（方向不同）</x:v>
      </x:c>
      <x:c r="F16" s="39" t="str">
        <x:v>属于同一岗位族，但限定词代表不同技术方向、业务范围或工作对象，应保留为专业方向岗位。</x:v>
      </x:c>
      <x:c r="G16" s="39" t="str">
        <x:v>4-04-05-02；2-02-09-02</x:v>
      </x:c>
      <x:c r="H16" s="39" t="str">
        <x:v>计算机软件测试员；电子元器件工程技术人员</x:v>
      </x:c>
      <x:c r="I16" s="68" t="n">
        <x:v>0.667</x:v>
      </x:c>
      <x:c r="J16" s="68" t="n">
        <x:v>0.171</x:v>
      </x:c>
      <x:c r="K16" s="39" t="str">
        <x:v>58；660；1198</x:v>
      </x:c>
      <x:c r="L16" s="39" t="str">
        <x:v>62；1174；1183</x:v>
      </x:c>
    </x:row>
    <x:row r="17" ht="44" customHeight="1">
      <x:c r="A17" s="39" t="n">
        <x:v>16</x:v>
      </x:c>
      <x:c r="B17" s="39" t="str">
        <x:v>测试工程师</x:v>
      </x:c>
      <x:c r="C17" s="39" t="str">
        <x:v>通信测试工程师</x:v>
      </x:c>
      <x:c r="D17" s="42" t="n">
        <x:v>4</x:v>
      </x:c>
      <x:c r="E17" s="39" t="str">
        <x:v>不建议直接合并（仅名称相近）</x:v>
      </x:c>
      <x:c r="F17" s="39" t="str">
        <x:v>名称相近不等于岗位重复；技术方向、工作对象或层级不同，应分别保留。</x:v>
      </x:c>
      <x:c r="G17" s="39" t="str"/>
      <x:c r="H17" s="39" t="str"/>
      <x:c r="I17" s="68" t="n">
        <x:v>0.667</x:v>
      </x:c>
      <x:c r="J17" s="68" t="n">
        <x:v>0.164</x:v>
      </x:c>
      <x:c r="K17" s="39" t="str">
        <x:v>58；660；1198</x:v>
      </x:c>
      <x:c r="L17" s="39" t="str">
        <x:v>1211</x:v>
      </x:c>
    </x:row>
    <x:row r="18" ht="44" customHeight="1">
      <x:c r="A18" s="39" t="n">
        <x:v>17</x:v>
      </x:c>
      <x:c r="B18" s="39" t="str">
        <x:v>测试工程师</x:v>
      </x:c>
      <x:c r="C18" s="39" t="str">
        <x:v>芯片测试工程师</x:v>
      </x:c>
      <x:c r="D18" s="42" t="n">
        <x:v>4</x:v>
      </x:c>
      <x:c r="E18" s="39" t="str">
        <x:v>不建议直接合并（方向不同）</x:v>
      </x:c>
      <x:c r="F18" s="39" t="str">
        <x:v>属于同一岗位族，但限定词代表不同技术方向、业务范围或工作对象，应保留为专业方向岗位。</x:v>
      </x:c>
      <x:c r="G18" s="39" t="str">
        <x:v>2-02-09-02</x:v>
      </x:c>
      <x:c r="H18" s="39" t="str">
        <x:v>电子元器件工程技术人员</x:v>
      </x:c>
      <x:c r="I18" s="68" t="n">
        <x:v>0.667</x:v>
      </x:c>
      <x:c r="J18" s="68" t="n">
        <x:v>0.16</x:v>
      </x:c>
      <x:c r="K18" s="39" t="str">
        <x:v>58；660；1198</x:v>
      </x:c>
      <x:c r="L18" s="39" t="str">
        <x:v>1131</x:v>
      </x:c>
    </x:row>
    <x:row r="19" ht="44" customHeight="1">
      <x:c r="A19" s="39" t="n">
        <x:v>18</x:v>
      </x:c>
      <x:c r="B19" s="39" t="str">
        <x:v>游戏特效设计师</x:v>
      </x:c>
      <x:c r="C19" s="39" t="str">
        <x:v>特效设计师</x:v>
      </x:c>
      <x:c r="D19" s="42" t="n">
        <x:v>3</x:v>
      </x:c>
      <x:c r="E19" s="39" t="str">
        <x:v>不建议直接合并（方向不同）</x:v>
      </x:c>
      <x:c r="F19" s="39" t="str">
        <x:v>属于同一岗位族，但限定词代表不同技术方向、业务范围或工作对象，应保留为专业方向岗位。</x:v>
      </x:c>
      <x:c r="G19" s="39" t="str">
        <x:v>2-09-06-01</x:v>
      </x:c>
      <x:c r="H19" s="39" t="str">
        <x:v>视觉传达设计人员</x:v>
      </x:c>
      <x:c r="I19" s="68" t="n">
        <x:v>0.667</x:v>
      </x:c>
      <x:c r="J19" s="68" t="n">
        <x:v>0.158</x:v>
      </x:c>
      <x:c r="K19" s="39" t="str">
        <x:v>69；1025</x:v>
      </x:c>
      <x:c r="L19" s="39" t="str">
        <x:v>965</x:v>
      </x:c>
    </x:row>
    <x:row r="20" ht="44" customHeight="1">
      <x:c r="A20" s="39" t="n">
        <x:v>19</x:v>
      </x:c>
      <x:c r="B20" s="39" t="str">
        <x:v>药物合成/有机合成研究员</x:v>
      </x:c>
      <x:c r="C20" s="39" t="str">
        <x:v>有机合成研究员</x:v>
      </x:c>
      <x:c r="D20" s="42" t="n">
        <x:v>2</x:v>
      </x:c>
      <x:c r="E20" s="39" t="str">
        <x:v>不建议直接合并（方向不同）</x:v>
      </x:c>
      <x:c r="F20" s="39" t="str">
        <x:v>属于同一岗位族，但限定词代表不同技术方向、业务范围或工作对象，应保留为专业方向岗位。</x:v>
      </x:c>
      <x:c r="G20" s="39" t="str">
        <x:v>2-01-06-03</x:v>
      </x:c>
      <x:c r="H20" s="39" t="str">
        <x:v>化学研究人员</x:v>
      </x:c>
      <x:c r="I20" s="68" t="n">
        <x:v>0.667</x:v>
      </x:c>
      <x:c r="J20" s="68" t="n">
        <x:v>0.15</x:v>
      </x:c>
      <x:c r="K20" s="39" t="str">
        <x:v>245</x:v>
      </x:c>
      <x:c r="L20" s="39" t="str">
        <x:v>923</x:v>
      </x:c>
    </x:row>
    <x:row r="21" ht="44" customHeight="1">
      <x:c r="A21" s="39" t="n">
        <x:v>20</x:v>
      </x:c>
      <x:c r="B21" s="39" t="str">
        <x:v>系统工程师</x:v>
      </x:c>
      <x:c r="C21" s="39" t="str">
        <x:v>附件系统工程师</x:v>
      </x:c>
      <x:c r="D21" s="42" t="n">
        <x:v>6</x:v>
      </x:c>
      <x:c r="E21" s="39" t="str">
        <x:v>不建议直接合并（仅名称相近）</x:v>
      </x:c>
      <x:c r="F21" s="39" t="str">
        <x:v>名称相近不等于岗位重复；技术方向、工作对象或层级不同，应分别保留。</x:v>
      </x:c>
      <x:c r="G21" s="39" t="str"/>
      <x:c r="H21" s="39" t="str"/>
      <x:c r="I21" s="68" t="n">
        <x:v>0.667</x:v>
      </x:c>
      <x:c r="J21" s="68" t="n">
        <x:v>0.129</x:v>
      </x:c>
      <x:c r="K21" s="39" t="str">
        <x:v>32；75；615；655；1199</x:v>
      </x:c>
      <x:c r="L21" s="39" t="str">
        <x:v>595</x:v>
      </x:c>
    </x:row>
    <x:row r="22" ht="44" customHeight="1">
      <x:c r="A22" s="39" t="n">
        <x:v>21</x:v>
      </x:c>
      <x:c r="B22" s="39" t="str">
        <x:v>机电工程师</x:v>
      </x:c>
      <x:c r="C22" s="39" t="str">
        <x:v>物业机电工程师</x:v>
      </x:c>
      <x:c r="D22" s="42" t="n">
        <x:v>3</x:v>
      </x:c>
      <x:c r="E22" s="39" t="str">
        <x:v>不建议直接合并（仅名称相近）</x:v>
      </x:c>
      <x:c r="F22" s="39" t="str">
        <x:v>名称相近不等于岗位重复；技术方向、工作对象或层级不同，应分别保留。</x:v>
      </x:c>
      <x:c r="G22" s="39" t="str"/>
      <x:c r="H22" s="39" t="str"/>
      <x:c r="I22" s="68" t="n">
        <x:v>0.667</x:v>
      </x:c>
      <x:c r="J22" s="68" t="n">
        <x:v>0.122</x:v>
      </x:c>
      <x:c r="K22" s="39" t="str">
        <x:v>427；643</x:v>
      </x:c>
      <x:c r="L22" s="39" t="str">
        <x:v>491</x:v>
      </x:c>
    </x:row>
    <x:row r="23" ht="44" customHeight="1">
      <x:c r="A23" s="39" t="n">
        <x:v>22</x:v>
      </x:c>
      <x:c r="B23" s="39" t="str">
        <x:v>机电工程师</x:v>
      </x:c>
      <x:c r="C23" s="39" t="str">
        <x:v>建筑机电工程师</x:v>
      </x:c>
      <x:c r="D23" s="42" t="n">
        <x:v>3</x:v>
      </x:c>
      <x:c r="E23" s="39" t="str">
        <x:v>不建议直接合并（仅名称相近）</x:v>
      </x:c>
      <x:c r="F23" s="39" t="str">
        <x:v>名称相近不等于岗位重复；技术方向、工作对象或层级不同，应分别保留。</x:v>
      </x:c>
      <x:c r="G23" s="39" t="str"/>
      <x:c r="H23" s="39" t="str"/>
      <x:c r="I23" s="68" t="n">
        <x:v>0.667</x:v>
      </x:c>
      <x:c r="J23" s="68" t="n">
        <x:v>0.111</x:v>
      </x:c>
      <x:c r="K23" s="39" t="str">
        <x:v>427；643</x:v>
      </x:c>
      <x:c r="L23" s="39" t="str">
        <x:v>439</x:v>
      </x:c>
    </x:row>
    <x:row r="24" ht="44" customHeight="1">
      <x:c r="A24" s="39" t="n">
        <x:v>23</x:v>
      </x:c>
      <x:c r="B24" s="39" t="str">
        <x:v>系统工程师</x:v>
      </x:c>
      <x:c r="C24" s="39" t="str">
        <x:v>光伏系统工程师</x:v>
      </x:c>
      <x:c r="D24" s="42" t="n">
        <x:v>6</x:v>
      </x:c>
      <x:c r="E24" s="39" t="str">
        <x:v>不建议直接合并（仅名称相近）</x:v>
      </x:c>
      <x:c r="F24" s="39" t="str">
        <x:v>名称相近不等于岗位重复；技术方向、工作对象或层级不同，应分别保留。</x:v>
      </x:c>
      <x:c r="G24" s="39" t="str"/>
      <x:c r="H24" s="39" t="str"/>
      <x:c r="I24" s="68" t="n">
        <x:v>0.667</x:v>
      </x:c>
      <x:c r="J24" s="68" t="n">
        <x:v>0.108</x:v>
      </x:c>
      <x:c r="K24" s="39" t="str">
        <x:v>32；75；615；655；1199</x:v>
      </x:c>
      <x:c r="L24" s="39" t="str">
        <x:v>945</x:v>
      </x:c>
    </x:row>
    <x:row r="25" ht="44" customHeight="1">
      <x:c r="A25" s="39" t="n">
        <x:v>24</x:v>
      </x:c>
      <x:c r="B25" s="39" t="str">
        <x:v>销售经理</x:v>
      </x:c>
      <x:c r="C25" s="39" t="str">
        <x:v>区域销售经理</x:v>
      </x:c>
      <x:c r="D25" s="42" t="n">
        <x:v>4</x:v>
      </x:c>
      <x:c r="E25" s="39" t="str">
        <x:v>不建议直接合并（层级不同）</x:v>
      </x:c>
      <x:c r="F25" s="39" t="str">
        <x:v>名称包含明确的职级或辅助岗位差异；可归入同一岗位族，但不能合并为同一个标准岗位。</x:v>
      </x:c>
      <x:c r="G25" s="39" t="str">
        <x:v>4-01-02-01</x:v>
      </x:c>
      <x:c r="H25" s="39" t="str">
        <x:v>营销员</x:v>
      </x:c>
      <x:c r="I25" s="68" t="n">
        <x:v>0.6</x:v>
      </x:c>
      <x:c r="J25" s="68" t="n">
        <x:v>0.354</x:v>
      </x:c>
      <x:c r="K25" s="39" t="str">
        <x:v>296；332</x:v>
      </x:c>
      <x:c r="L25" s="39" t="str">
        <x:v>297；323</x:v>
      </x:c>
    </x:row>
    <x:row r="26" ht="44" customHeight="1">
      <x:c r="A26" s="39" t="n">
        <x:v>25</x:v>
      </x:c>
      <x:c r="B26" s="39" t="str">
        <x:v>销售总监</x:v>
      </x:c>
      <x:c r="C26" s="39" t="str">
        <x:v>区域销售总监</x:v>
      </x:c>
      <x:c r="D26" s="42" t="n">
        <x:v>4</x:v>
      </x:c>
      <x:c r="E26" s="39" t="str">
        <x:v>不建议直接合并（层级不同）</x:v>
      </x:c>
      <x:c r="F26" s="39" t="str">
        <x:v>名称包含明确的职级或辅助岗位差异；可归入同一岗位族，但不能合并为同一个标准岗位。</x:v>
      </x:c>
      <x:c r="G26" s="39" t="str">
        <x:v>4-01-02-01</x:v>
      </x:c>
      <x:c r="H26" s="39" t="str">
        <x:v>营销员</x:v>
      </x:c>
      <x:c r="I26" s="68" t="n">
        <x:v>0.6</x:v>
      </x:c>
      <x:c r="J26" s="68" t="n">
        <x:v>0.229</x:v>
      </x:c>
      <x:c r="K26" s="39" t="str">
        <x:v>298；317；331</x:v>
      </x:c>
      <x:c r="L26" s="39" t="str">
        <x:v>322</x:v>
      </x:c>
    </x:row>
    <x:row r="27" ht="44" customHeight="1">
      <x:c r="A27" s="39" t="n">
        <x:v>26</x:v>
      </x:c>
      <x:c r="B27" s="39" t="str">
        <x:v>区域销售代表</x:v>
      </x:c>
      <x:c r="C27" s="39" t="str">
        <x:v>销售代表</x:v>
      </x:c>
      <x:c r="D27" s="42" t="n">
        <x:v>2</x:v>
      </x:c>
      <x:c r="E27" s="39" t="str">
        <x:v>不建议直接合并（方向不同）</x:v>
      </x:c>
      <x:c r="F27" s="39" t="str">
        <x:v>属于同一岗位族，但限定词代表不同技术方向、业务范围或工作对象，应保留为专业方向岗位。</x:v>
      </x:c>
      <x:c r="G27" s="39" t="str">
        <x:v>4-01-02-01</x:v>
      </x:c>
      <x:c r="H27" s="39" t="str">
        <x:v>营销员</x:v>
      </x:c>
      <x:c r="I27" s="68" t="n">
        <x:v>0.6</x:v>
      </x:c>
      <x:c r="J27" s="68" t="n">
        <x:v>0.205</x:v>
      </x:c>
      <x:c r="K27" s="39" t="str">
        <x:v>284</x:v>
      </x:c>
      <x:c r="L27" s="39" t="str">
        <x:v>293</x:v>
      </x:c>
    </x:row>
    <x:row r="28" ht="44" customHeight="1">
      <x:c r="A28" s="39" t="n">
        <x:v>27</x:v>
      </x:c>
      <x:c r="B28" s="39" t="str">
        <x:v>项目助理</x:v>
      </x:c>
      <x:c r="C28" s="39" t="str">
        <x:v>建筑项目助理</x:v>
      </x:c>
      <x:c r="D28" s="42" t="n">
        <x:v>4</x:v>
      </x:c>
      <x:c r="E28" s="39" t="str">
        <x:v>不建议直接合并（层级不同）</x:v>
      </x:c>
      <x:c r="F28" s="39" t="str">
        <x:v>名称包含明确的职级或辅助岗位差异；可归入同一岗位族，但不能合并为同一个标准岗位。</x:v>
      </x:c>
      <x:c r="G28" s="39" t="str"/>
      <x:c r="H28" s="39" t="str"/>
      <x:c r="I28" s="68" t="n">
        <x:v>0.6</x:v>
      </x:c>
      <x:c r="J28" s="68" t="n">
        <x:v>0.192</x:v>
      </x:c>
      <x:c r="K28" s="39" t="str">
        <x:v>38；1139；1326</x:v>
      </x:c>
      <x:c r="L28" s="39" t="str">
        <x:v>440</x:v>
      </x:c>
    </x:row>
    <x:row r="29" ht="44" customHeight="1">
      <x:c r="A29" s="39" t="n">
        <x:v>28</x:v>
      </x:c>
      <x:c r="B29" s="39" t="str">
        <x:v>区域销售主管</x:v>
      </x:c>
      <x:c r="C29" s="39" t="str">
        <x:v>销售主管</x:v>
      </x:c>
      <x:c r="D29" s="42" t="n">
        <x:v>2</x:v>
      </x:c>
      <x:c r="E29" s="39" t="str">
        <x:v>不建议直接合并（层级不同）</x:v>
      </x:c>
      <x:c r="F29" s="39" t="str">
        <x:v>名称包含明确的职级或辅助岗位差异；可归入同一岗位族，但不能合并为同一个标准岗位。</x:v>
      </x:c>
      <x:c r="G29" s="39" t="str">
        <x:v>4-01-02-01</x:v>
      </x:c>
      <x:c r="H29" s="39" t="str">
        <x:v>营销员</x:v>
      </x:c>
      <x:c r="I29" s="68" t="n">
        <x:v>0.6</x:v>
      </x:c>
      <x:c r="J29" s="68" t="n">
        <x:v>0.19</x:v>
      </x:c>
      <x:c r="K29" s="39" t="str">
        <x:v>321</x:v>
      </x:c>
      <x:c r="L29" s="39" t="str">
        <x:v>330</x:v>
      </x:c>
    </x:row>
    <x:row r="30" ht="44" customHeight="1">
      <x:c r="A30" s="39" t="n">
        <x:v>29</x:v>
      </x:c>
      <x:c r="B30" s="39" t="str">
        <x:v>项目经理</x:v>
      </x:c>
      <x:c r="C30" s="39" t="str">
        <x:v>生产项目经理</x:v>
      </x:c>
      <x:c r="D30" s="42" t="n">
        <x:v>5</x:v>
      </x:c>
      <x:c r="E30" s="39" t="str">
        <x:v>不建议直接合并（层级不同）</x:v>
      </x:c>
      <x:c r="F30" s="39" t="str">
        <x:v>名称包含明确的职级或辅助岗位差异；可归入同一岗位族，但不能合并为同一个标准岗位。</x:v>
      </x:c>
      <x:c r="G30" s="39" t="str"/>
      <x:c r="H30" s="39" t="str"/>
      <x:c r="I30" s="68" t="n">
        <x:v>0.6</x:v>
      </x:c>
      <x:c r="J30" s="68" t="n">
        <x:v>0.188</x:v>
      </x:c>
      <x:c r="K30" s="39" t="str">
        <x:v>40；115；1142；1328</x:v>
      </x:c>
      <x:c r="L30" s="39" t="str">
        <x:v>719</x:v>
      </x:c>
    </x:row>
    <x:row r="31" ht="44" customHeight="1">
      <x:c r="A31" s="39" t="n">
        <x:v>30</x:v>
      </x:c>
      <x:c r="B31" s="39" t="str">
        <x:v>业务跟单</x:v>
      </x:c>
      <x:c r="C31" s="39" t="str">
        <x:v>业务跟单经理</x:v>
      </x:c>
      <x:c r="D31" s="42" t="n">
        <x:v>2</x:v>
      </x:c>
      <x:c r="E31" s="39" t="str">
        <x:v>不建议直接合并（层级不同）</x:v>
      </x:c>
      <x:c r="F31" s="39" t="str">
        <x:v>名称包含明确的职级或辅助岗位差异；可归入同一岗位族，但不能合并为同一个标准岗位。</x:v>
      </x:c>
      <x:c r="G31" s="39" t="str">
        <x:v>4-01-02-01</x:v>
      </x:c>
      <x:c r="H31" s="39" t="str">
        <x:v>营销员</x:v>
      </x:c>
      <x:c r="I31" s="68" t="n">
        <x:v>0.6</x:v>
      </x:c>
      <x:c r="J31" s="68" t="n">
        <x:v>0.183</x:v>
      </x:c>
      <x:c r="K31" s="39" t="str">
        <x:v>1233</x:v>
      </x:c>
      <x:c r="L31" s="39" t="str">
        <x:v>1234</x:v>
      </x:c>
    </x:row>
    <x:row r="32" ht="44" customHeight="1">
      <x:c r="A32" s="39" t="n">
        <x:v>31</x:v>
      </x:c>
      <x:c r="B32" s="39" t="str">
        <x:v>投资顾问</x:v>
      </x:c>
      <x:c r="C32" s="39" t="str">
        <x:v>证券投资顾问</x:v>
      </x:c>
      <x:c r="D32" s="42" t="n">
        <x:v>2</x:v>
      </x:c>
      <x:c r="E32" s="39" t="str">
        <x:v>不建议直接合并（仅名称相近）</x:v>
      </x:c>
      <x:c r="F32" s="39" t="str">
        <x:v>名称相近不等于岗位重复；技术方向、工作对象或层级不同，应分别保留。</x:v>
      </x:c>
      <x:c r="G32" s="39" t="str"/>
      <x:c r="H32" s="39" t="str"/>
      <x:c r="I32" s="68" t="n">
        <x:v>0.6</x:v>
      </x:c>
      <x:c r="J32" s="68" t="n">
        <x:v>0.174</x:v>
      </x:c>
      <x:c r="K32" s="39" t="str">
        <x:v>1268</x:v>
      </x:c>
      <x:c r="L32" s="39" t="str">
        <x:v>1284</x:v>
      </x:c>
    </x:row>
    <x:row r="33" ht="44" customHeight="1">
      <x:c r="A33" s="39" t="n">
        <x:v>32</x:v>
      </x:c>
      <x:c r="B33" s="39" t="str">
        <x:v>广告客户主管</x:v>
      </x:c>
      <x:c r="C33" s="39" t="str">
        <x:v>客户主管</x:v>
      </x:c>
      <x:c r="D33" s="42" t="n">
        <x:v>2</x:v>
      </x:c>
      <x:c r="E33" s="39" t="str">
        <x:v>不建议直接合并（层级不同）</x:v>
      </x:c>
      <x:c r="F33" s="39" t="str">
        <x:v>名称包含明确的职级或辅助岗位差异；可归入同一岗位族，但不能合并为同一个标准岗位。</x:v>
      </x:c>
      <x:c r="G33" s="39" t="str"/>
      <x:c r="H33" s="39" t="str"/>
      <x:c r="I33" s="68" t="n">
        <x:v>0.6</x:v>
      </x:c>
      <x:c r="J33" s="68" t="n">
        <x:v>0.163</x:v>
      </x:c>
      <x:c r="K33" s="39" t="str">
        <x:v>411</x:v>
      </x:c>
      <x:c r="L33" s="39" t="str">
        <x:v>1306</x:v>
      </x:c>
    </x:row>
    <x:row r="34" ht="44" customHeight="1">
      <x:c r="A34" s="39" t="n">
        <x:v>33</x:v>
      </x:c>
      <x:c r="B34" s="39" t="str">
        <x:v>广告客户专员</x:v>
      </x:c>
      <x:c r="C34" s="39" t="str">
        <x:v>客户专员</x:v>
      </x:c>
      <x:c r="D34" s="42" t="n">
        <x:v>2</x:v>
      </x:c>
      <x:c r="E34" s="39" t="str">
        <x:v>不建议直接合并（仅名称相近）</x:v>
      </x:c>
      <x:c r="F34" s="39" t="str">
        <x:v>名称相近不等于岗位重复；技术方向、工作对象或层级不同，应分别保留。</x:v>
      </x:c>
      <x:c r="G34" s="39" t="str"/>
      <x:c r="H34" s="39" t="str"/>
      <x:c r="I34" s="68" t="n">
        <x:v>0.6</x:v>
      </x:c>
      <x:c r="J34" s="68" t="n">
        <x:v>0.14</x:v>
      </x:c>
      <x:c r="K34" s="39" t="str">
        <x:v>410</x:v>
      </x:c>
      <x:c r="L34" s="39" t="str">
        <x:v>1305</x:v>
      </x:c>
    </x:row>
    <x:row r="35" ht="44" customHeight="1">
      <x:c r="A35" s="39" t="n">
        <x:v>34</x:v>
      </x:c>
      <x:c r="B35" s="39" t="str">
        <x:v>室内设计</x:v>
      </x:c>
      <x:c r="C35" s="39" t="str">
        <x:v>室内设计总监</x:v>
      </x:c>
      <x:c r="D35" s="42" t="n">
        <x:v>5</x:v>
      </x:c>
      <x:c r="E35" s="39" t="str">
        <x:v>不建议直接合并（层级不同）</x:v>
      </x:c>
      <x:c r="F35" s="39" t="str">
        <x:v>名称包含明确的职级或辅助岗位差异；可归入同一岗位族，但不能合并为同一个标准岗位。</x:v>
      </x:c>
      <x:c r="G35" s="39" t="str">
        <x:v>2-02-18-01；2-09-06-01</x:v>
      </x:c>
      <x:c r="H35" s="39" t="str">
        <x:v>建筑和市政设计工程技术人员；视觉传达设计人员</x:v>
      </x:c>
      <x:c r="I35" s="68" t="n">
        <x:v>0.6</x:v>
      </x:c>
      <x:c r="J35" s="68" t="n">
        <x:v>0.138</x:v>
      </x:c>
      <x:c r="K35" s="39" t="str">
        <x:v>458；997</x:v>
      </x:c>
      <x:c r="L35" s="39" t="str">
        <x:v>460；999；1032</x:v>
      </x:c>
    </x:row>
    <x:row r="36" ht="44" customHeight="1">
      <x:c r="A36" s="39" t="n">
        <x:v>35</x:v>
      </x:c>
      <x:c r="B36" s="39" t="str">
        <x:v>宠物医生</x:v>
      </x:c>
      <x:c r="C36" s="39" t="str">
        <x:v>宠物医生助理</x:v>
      </x:c>
      <x:c r="D36" s="42" t="n">
        <x:v>2</x:v>
      </x:c>
      <x:c r="E36" s="39" t="str">
        <x:v>不建议直接合并（层级不同）</x:v>
      </x:c>
      <x:c r="F36" s="39" t="str">
        <x:v>名称包含明确的职级或辅助岗位差异；可归入同一岗位族，但不能合并为同一个标准岗位。</x:v>
      </x:c>
      <x:c r="G36" s="39" t="str">
        <x:v>2-03-06-03</x:v>
      </x:c>
      <x:c r="H36" s="39" t="str">
        <x:v>宠物医师</x:v>
      </x:c>
      <x:c r="I36" s="68" t="n">
        <x:v>0.6</x:v>
      </x:c>
      <x:c r="J36" s="68" t="n">
        <x:v>0.137</x:v>
      </x:c>
      <x:c r="K36" s="39" t="str">
        <x:v>801</x:v>
      </x:c>
      <x:c r="L36" s="39" t="str">
        <x:v>802</x:v>
      </x:c>
    </x:row>
    <x:row r="37" ht="44" customHeight="1">
      <x:c r="A37" s="39" t="n">
        <x:v>36</x:v>
      </x:c>
      <x:c r="B37" s="39" t="str">
        <x:v>外语老师</x:v>
      </x:c>
      <x:c r="C37" s="39" t="str">
        <x:v>其他外语老师</x:v>
      </x:c>
      <x:c r="D37" s="42" t="n">
        <x:v>2</x:v>
      </x:c>
      <x:c r="E37" s="39" t="str">
        <x:v>不建议直接合并（方向不同）</x:v>
      </x:c>
      <x:c r="F37" s="39" t="str">
        <x:v>属于同一岗位族，但限定词代表不同技术方向、业务范围或工作对象，应保留为专业方向岗位。</x:v>
      </x:c>
      <x:c r="G37" s="39" t="str">
        <x:v>2-08-02-01</x:v>
      </x:c>
      <x:c r="H37" s="39" t="str">
        <x:v>高级中学教师</x:v>
      </x:c>
      <x:c r="I37" s="68" t="n">
        <x:v>0.6</x:v>
      </x:c>
      <x:c r="J37" s="68" t="n">
        <x:v>0.069</x:v>
      </x:c>
      <x:c r="K37" s="39" t="str">
        <x:v>827</x:v>
      </x:c>
      <x:c r="L37" s="39" t="str">
        <x:v>871</x:v>
      </x:c>
    </x:row>
    <x:row r="38" ht="44" customHeight="1">
      <x:c r="A38" s="39" t="n">
        <x:v>37</x:v>
      </x:c>
      <x:c r="B38" s="39" t="str">
        <x:v>供应商质量工程师</x:v>
      </x:c>
      <x:c r="C38" s="39" t="str">
        <x:v>质量工程师</x:v>
      </x:c>
      <x:c r="D38" s="42" t="n">
        <x:v>3</x:v>
      </x:c>
      <x:c r="E38" s="39" t="str">
        <x:v>不建议直接合并（方向不同）</x:v>
      </x:c>
      <x:c r="F38" s="39" t="str">
        <x:v>属于同一岗位族，但限定词代表不同技术方向、业务范围或工作对象，应保留为专业方向岗位。</x:v>
      </x:c>
      <x:c r="G38" s="39" t="str">
        <x:v>2-02-29-03</x:v>
      </x:c>
      <x:c r="H38" s="39" t="str">
        <x:v>质量管理工程技术人员</x:v>
      </x:c>
      <x:c r="I38" s="68" t="n">
        <x:v>0.571</x:v>
      </x:c>
      <x:c r="J38" s="68" t="n">
        <x:v>0.205</x:v>
      </x:c>
      <x:c r="K38" s="39" t="str">
        <x:v>734</x:v>
      </x:c>
      <x:c r="L38" s="39" t="str">
        <x:v>749；943</x:v>
      </x:c>
    </x:row>
    <x:row r="39" ht="44" customHeight="1">
      <x:c r="A39" s="39" t="n">
        <x:v>38</x:v>
      </x:c>
      <x:c r="B39" s="39" t="str">
        <x:v>销售行政专员</x:v>
      </x:c>
      <x:c r="C39" s="39" t="str">
        <x:v>销售行政助理</x:v>
      </x:c>
      <x:c r="D39" s="42" t="n">
        <x:v>2</x:v>
      </x:c>
      <x:c r="E39" s="39" t="str">
        <x:v>不建议直接合并（层级不同）</x:v>
      </x:c>
      <x:c r="F39" s="39" t="str">
        <x:v>名称包含明确的职级或辅助岗位差异；可归入同一岗位族，但不能合并为同一个标准岗位。</x:v>
      </x:c>
      <x:c r="G39" s="39" t="str">
        <x:v>4-01-02-01</x:v>
      </x:c>
      <x:c r="H39" s="39" t="str">
        <x:v>营销员</x:v>
      </x:c>
      <x:c r="I39" s="68" t="n">
        <x:v>0.429</x:v>
      </x:c>
      <x:c r="J39" s="68" t="n">
        <x:v>0.143</x:v>
      </x:c>
      <x:c r="K39" s="39" t="str">
        <x:v>314</x:v>
      </x:c>
      <x:c r="L39" s="39" t="str">
        <x:v>315</x:v>
      </x:c>
    </x:row>
    <x:row r="40" ht="44" customHeight="1">
      <x:c r="A40" s="39" t="n">
        <x:v>39</x:v>
      </x:c>
      <x:c r="B40" s="39" t="str">
        <x:v>采购助理</x:v>
      </x:c>
      <x:c r="C40" s="39" t="str">
        <x:v>采购员</x:v>
      </x:c>
      <x:c r="D40" s="42" t="n">
        <x:v>2</x:v>
      </x:c>
      <x:c r="E40" s="39" t="str">
        <x:v>不建议直接合并（层级不同）</x:v>
      </x:c>
      <x:c r="F40" s="39" t="str">
        <x:v>名称包含明确的职级或辅助岗位差异；可归入同一岗位族，但不能合并为同一个标准岗位。</x:v>
      </x:c>
      <x:c r="G40" s="39" t="str">
        <x:v>4-02-06-01</x:v>
      </x:c>
      <x:c r="H40" s="39" t="str">
        <x:v>仓储管理员</x:v>
      </x:c>
      <x:c r="I40" s="68" t="n">
        <x:v>0.25</x:v>
      </x:c>
      <x:c r="J40" s="68" t="n">
        <x:v>0.161</x:v>
      </x:c>
      <x:c r="K40" s="39" t="str">
        <x:v>1243</x:v>
      </x:c>
      <x:c r="L40" s="39" t="str">
        <x:v>1244</x:v>
      </x:c>
    </x:row>
    <x:row r="41" ht="44" customHeight="1">
      <x:c r="A41" s="39" t="n">
        <x:v>40</x:v>
      </x:c>
      <x:c r="B41" s="39" t="str">
        <x:v>人事专员</x:v>
      </x:c>
      <x:c r="C41" s="39" t="str">
        <x:v>人事助理</x:v>
      </x:c>
      <x:c r="D41" s="42" t="n">
        <x:v>2</x:v>
      </x:c>
      <x:c r="E41" s="39" t="str">
        <x:v>不建议直接合并（层级不同）</x:v>
      </x:c>
      <x:c r="F41" s="39" t="str">
        <x:v>名称包含明确的职级或辅助岗位差异；可归入同一岗位族，但不能合并为同一个标准岗位。</x:v>
      </x:c>
      <x:c r="G41" s="39" t="str">
        <x:v>2-06-08-01</x:v>
      </x:c>
      <x:c r="H41" s="39" t="str">
        <x:v>人力资源管理专业人员</x:v>
      </x:c>
      <x:c r="I41" s="68" t="n">
        <x:v>0.2</x:v>
      </x:c>
      <x:c r="J41" s="68" t="n">
        <x:v>0.177</x:v>
      </x:c>
      <x:c r="K41" s="39" t="str">
        <x:v>131</x:v>
      </x:c>
      <x:c r="L41" s="39" t="str">
        <x:v>133</x:v>
      </x:c>
    </x:row>
    <x:row r="42" ht="44" customHeight="1">
      <x:c r="A42" s="39" t="n">
        <x:v>41</x:v>
      </x:c>
      <x:c r="B42" s="39" t="str">
        <x:v>商务专员</x:v>
      </x:c>
      <x:c r="C42" s="39" t="str">
        <x:v>商务助理</x:v>
      </x:c>
      <x:c r="D42" s="42" t="n">
        <x:v>2</x:v>
      </x:c>
      <x:c r="E42" s="39" t="str">
        <x:v>不建议直接合并（层级不同）</x:v>
      </x:c>
      <x:c r="F42" s="39" t="str">
        <x:v>名称包含明确的职级或辅助岗位差异；可归入同一岗位族，但不能合并为同一个标准岗位。</x:v>
      </x:c>
      <x:c r="G42" s="39" t="str">
        <x:v>4-01-02-01</x:v>
      </x:c>
      <x:c r="H42" s="39" t="str">
        <x:v>营销员</x:v>
      </x:c>
      <x:c r="I42" s="68" t="n">
        <x:v>0.2</x:v>
      </x:c>
      <x:c r="J42" s="68" t="n">
        <x:v>0.168</x:v>
      </x:c>
      <x:c r="K42" s="39" t="str">
        <x:v>307</x:v>
      </x:c>
      <x:c r="L42" s="39" t="str">
        <x:v>309</x:v>
      </x:c>
    </x:row>
    <x:row r="43" ht="44" customHeight="1">
      <x:c r="A43" s="39" t="n">
        <x:v>42</x:v>
      </x:c>
      <x:c r="B43" s="39" t="str">
        <x:v>运营专员</x:v>
      </x:c>
      <x:c r="C43" s="39" t="str">
        <x:v>运营助理</x:v>
      </x:c>
      <x:c r="D43" s="42" t="n">
        <x:v>2</x:v>
      </x:c>
      <x:c r="E43" s="39" t="str">
        <x:v>不建议直接合并（层级不同）</x:v>
      </x:c>
      <x:c r="F43" s="39" t="str">
        <x:v>名称包含明确的职级或辅助岗位差异；可归入同一岗位族，但不能合并为同一个标准岗位。</x:v>
      </x:c>
      <x:c r="G43" s="39" t="str"/>
      <x:c r="H43" s="39" t="str"/>
      <x:c r="I43" s="68" t="n">
        <x:v>0.2</x:v>
      </x:c>
      <x:c r="J43" s="68" t="n">
        <x:v>0.153</x:v>
      </x:c>
      <x:c r="K43" s="39" t="str">
        <x:v>1090</x:v>
      </x:c>
      <x:c r="L43" s="39" t="str">
        <x:v>1092</x:v>
      </x:c>
    </x:row>
    <x:row r="44" ht="44" customHeight="1">
      <x:c r="A44" s="39" t="n">
        <x:v>43</x:v>
      </x:c>
      <x:c r="B44" s="39" t="str">
        <x:v>财务专员</x:v>
      </x:c>
      <x:c r="C44" s="39" t="str">
        <x:v>财务顾问</x:v>
      </x:c>
      <x:c r="D44" s="42" t="n">
        <x:v>2</x:v>
      </x:c>
      <x:c r="E44" s="39" t="str">
        <x:v>不建议直接合并（方向不同）</x:v>
      </x:c>
      <x:c r="F44" s="39" t="str">
        <x:v>属于同一岗位族，但限定词代表不同技术方向、业务范围或工作对象，应保留为专业方向岗位。</x:v>
      </x:c>
      <x:c r="G44" s="39" t="str">
        <x:v>2-06-03-00</x:v>
      </x:c>
      <x:c r="H44" s="39" t="str">
        <x:v>会计专业人员</x:v>
      </x:c>
      <x:c r="I44" s="68" t="n">
        <x:v>0.2</x:v>
      </x:c>
      <x:c r="J44" s="68" t="n">
        <x:v>0.143</x:v>
      </x:c>
      <x:c r="K44" s="39" t="str">
        <x:v>1068</x:v>
      </x:c>
      <x:c r="L44" s="39" t="str">
        <x:v>1073</x:v>
      </x:c>
    </x:row>
    <x:row r="45" ht="44" customHeight="1">
      <x:c r="A45" s="39" t="n">
        <x:v>44</x:v>
      </x:c>
      <x:c r="B45" s="39" t="str">
        <x:v>融资专员</x:v>
      </x:c>
      <x:c r="C45" s="39" t="str">
        <x:v>融资顾问</x:v>
      </x:c>
      <x:c r="D45" s="42" t="n">
        <x:v>2</x:v>
      </x:c>
      <x:c r="E45" s="39" t="str">
        <x:v>不建议直接合并（方向不同）</x:v>
      </x:c>
      <x:c r="F45" s="39" t="str">
        <x:v>属于同一岗位族，但限定词代表不同技术方向、业务范围或工作对象，应保留为专业方向岗位。</x:v>
      </x:c>
      <x:c r="G45" s="39" t="str">
        <x:v>2-06-11-02</x:v>
      </x:c>
      <x:c r="H45" s="39" t="str">
        <x:v>证券交易专业人员</x:v>
      </x:c>
      <x:c r="I45" s="68" t="n">
        <x:v>0.2</x:v>
      </x:c>
      <x:c r="J45" s="68" t="n">
        <x:v>0.141</x:v>
      </x:c>
      <x:c r="K45" s="39" t="str">
        <x:v>1269</x:v>
      </x:c>
      <x:c r="L45" s="39" t="str">
        <x:v>1272</x:v>
      </x:c>
    </x:row>
    <x:row r="46" ht="44" customHeight="1">
      <x:c r="A46" s="39" t="n">
        <x:v>45</x:v>
      </x:c>
      <x:c r="B46" s="39" t="str">
        <x:v>产品专员</x:v>
      </x:c>
      <x:c r="C46" s="39" t="str">
        <x:v>产品助理</x:v>
      </x:c>
      <x:c r="D46" s="42" t="n">
        <x:v>3</x:v>
      </x:c>
      <x:c r="E46" s="39" t="str">
        <x:v>不建议直接合并（层级不同）</x:v>
      </x:c>
      <x:c r="F46" s="39" t="str">
        <x:v>名称包含明确的职级或辅助岗位差异；可归入同一岗位族，但不能合并为同一个标准岗位。</x:v>
      </x:c>
      <x:c r="G46" s="39" t="str"/>
      <x:c r="H46" s="39" t="str"/>
      <x:c r="I46" s="68" t="n">
        <x:v>0.2</x:v>
      </x:c>
      <x:c r="J46" s="68" t="n">
        <x:v>0.136</x:v>
      </x:c>
      <x:c r="K46" s="39" t="str">
        <x:v>96</x:v>
      </x:c>
      <x:c r="L46" s="39" t="str">
        <x:v>97；113</x:v>
      </x:c>
    </x:row>
    <x:row r="47" ht="44" customHeight="1">
      <x:c r="A47" s="39" t="n">
        <x:v>46</x:v>
      </x:c>
      <x:c r="B47" s="39" t="str">
        <x:v>美容顾问</x:v>
      </x:c>
      <x:c r="C47" s="39" t="str">
        <x:v>美容助理</x:v>
      </x:c>
      <x:c r="D47" s="42" t="n">
        <x:v>3</x:v>
      </x:c>
      <x:c r="E47" s="39" t="str">
        <x:v>不建议直接合并（层级不同）</x:v>
      </x:c>
      <x:c r="F47" s="39" t="str">
        <x:v>名称包含明确的职级或辅助岗位差异；可归入同一岗位族，但不能合并为同一个标准岗位。</x:v>
      </x:c>
      <x:c r="G47" s="39" t="str">
        <x:v>4-10-03-01</x:v>
      </x:c>
      <x:c r="H47" s="39" t="str">
        <x:v>美容师</x:v>
      </x:c>
      <x:c r="I47" s="68" t="n">
        <x:v>0.2</x:v>
      </x:c>
      <x:c r="J47" s="68" t="n">
        <x:v>0.132</x:v>
      </x:c>
      <x:c r="K47" s="39" t="str">
        <x:v>280；841</x:v>
      </x:c>
      <x:c r="L47" s="39" t="str">
        <x:v>838</x:v>
      </x:c>
    </x:row>
    <x:row r="48" ht="44" customHeight="1">
      <x:c r="A48" s="39" t="n">
        <x:v>47</x:v>
      </x:c>
      <x:c r="B48" s="39" t="str">
        <x:v>材料员</x:v>
      </x:c>
      <x:c r="C48" s="39" t="str">
        <x:v>材料工程师</x:v>
      </x:c>
      <x:c r="D48" s="42" t="n">
        <x:v>5</x:v>
      </x:c>
      <x:c r="E48" s="39" t="str">
        <x:v>不建议直接合并（仅名称相近）</x:v>
      </x:c>
      <x:c r="F48" s="39" t="str">
        <x:v>名称相近不等于岗位重复；技术方向、工作对象或层级不同，应分别保留。</x:v>
      </x:c>
      <x:c r="G48" s="39" t="str"/>
      <x:c r="H48" s="39" t="str"/>
      <x:c r="I48" s="68" t="n">
        <x:v>0.2</x:v>
      </x:c>
      <x:c r="J48" s="68" t="n">
        <x:v>0.125</x:v>
      </x:c>
      <x:c r="K48" s="39" t="str">
        <x:v>424；444</x:v>
      </x:c>
      <x:c r="L48" s="39" t="str">
        <x:v>644；939；1186</x:v>
      </x:c>
    </x:row>
    <x:row r="49" ht="44" customHeight="1">
      <x:c r="A49" s="39" t="n">
        <x:v>48</x:v>
      </x:c>
      <x:c r="B49" s="39" t="str">
        <x:v>项目助理</x:v>
      </x:c>
      <x:c r="C49" s="39" t="str">
        <x:v>项目工程师</x:v>
      </x:c>
      <x:c r="D49" s="42" t="n">
        <x:v>5</x:v>
      </x:c>
      <x:c r="E49" s="39" t="str">
        <x:v>不建议直接合并（层级不同）</x:v>
      </x:c>
      <x:c r="F49" s="39" t="str">
        <x:v>名称包含明确的职级或辅助岗位差异；可归入同一岗位族，但不能合并为同一个标准岗位。</x:v>
      </x:c>
      <x:c r="G49" s="39" t="str">
        <x:v>2-02-30-04</x:v>
      </x:c>
      <x:c r="H49" s="39" t="str">
        <x:v>项目管理工程技术人员</x:v>
      </x:c>
      <x:c r="I49" s="68" t="n">
        <x:v>0.167</x:v>
      </x:c>
      <x:c r="J49" s="68" t="n">
        <x:v>0.173</x:v>
      </x:c>
      <x:c r="K49" s="39" t="str">
        <x:v>38；1139；1326</x:v>
      </x:c>
      <x:c r="L49" s="39" t="str">
        <x:v>724；1329</x:v>
      </x:c>
    </x:row>
    <x:row r="50" ht="44" customHeight="1">
      <x:c r="A50" s="39" t="n">
        <x:v>49</x:v>
      </x:c>
      <x:c r="B50" s="39" t="str">
        <x:v>销售工程师</x:v>
      </x:c>
      <x:c r="C50" s="39" t="str">
        <x:v>销售助理</x:v>
      </x:c>
      <x:c r="D50" s="42" t="n">
        <x:v>4</x:v>
      </x:c>
      <x:c r="E50" s="39" t="str">
        <x:v>不建议直接合并（层级不同）</x:v>
      </x:c>
      <x:c r="F50" s="39" t="str">
        <x:v>名称包含明确的职级或辅助岗位差异；可归入同一岗位族，但不能合并为同一个标准岗位。</x:v>
      </x:c>
      <x:c r="G50" s="39" t="str"/>
      <x:c r="H50" s="39" t="str"/>
      <x:c r="I50" s="68" t="n">
        <x:v>0.167</x:v>
      </x:c>
      <x:c r="J50" s="68" t="n">
        <x:v>0.165</x:v>
      </x:c>
      <x:c r="K50" s="39" t="str">
        <x:v>294；665</x:v>
      </x:c>
      <x:c r="L50" s="39" t="str">
        <x:v>299；313</x:v>
      </x:c>
    </x:row>
    <x:row r="51" ht="44" customHeight="1">
      <x:c r="A51" s="40" t="n">
        <x:v>50</x:v>
      </x:c>
      <x:c r="B51" s="40" t="str">
        <x:v>建筑工程师</x:v>
      </x:c>
      <x:c r="C51" s="40" t="str">
        <x:v>建筑设计师</x:v>
      </x:c>
      <x:c r="D51" s="43" t="n">
        <x:v>3</x:v>
      </x:c>
      <x:c r="E51" s="40" t="str">
        <x:v>不建议直接合并（方向不同）</x:v>
      </x:c>
      <x:c r="F51" s="40" t="str">
        <x:v>属于同一岗位族，但限定词代表不同技术方向、业务范围或工作对象，应保留为专业方向岗位。</x:v>
      </x:c>
      <x:c r="G51" s="40" t="str">
        <x:v>2-02-18-01</x:v>
      </x:c>
      <x:c r="H51" s="40" t="str">
        <x:v>建筑和市政设计工程技术人员</x:v>
      </x:c>
      <x:c r="I51" s="69" t="n">
        <x:v>0.143</x:v>
      </x:c>
      <x:c r="J51" s="69" t="n">
        <x:v>0.161</x:v>
      </x:c>
      <x:c r="K51" s="40" t="str">
        <x:v>436</x:v>
      </x:c>
      <x:c r="L51" s="40" t="str">
        <x:v>467；1007</x:v>
      </x:c>
    </x:row>
  </x:sheetData>
  <x:conditionalFormatting sqref="E2:E51">
    <x:cfRule type="containsText" dxfId="12" priority="1" operator="containsText" text="可直接合并"/>
    <x:cfRule type="containsText" dxfId="13" priority="2" operator="containsText" text="条件合并"/>
    <x:cfRule type="containsText" dxfId="14" priority="3" operator="containsText" text="需拆分"/>
    <x:cfRule type="containsText" dxfId="15" priority="4" operator="containsText" text="不建议直接合并"/>
  </x:conditionalFormatting>
  <x:pageMargins left="0.7" right="0.7" top="0.75" bottom="0.75" header="0.3" footer="0.3"/>
  <x:tableParts count="1">
    <x:tablePart xmlns:r="http://schemas.openxmlformats.org/officeDocument/2006/relationships" r:id="Rb79e13d0bf364a0a"/>
  </x:tableParts>
</x:worksheet>
</file>