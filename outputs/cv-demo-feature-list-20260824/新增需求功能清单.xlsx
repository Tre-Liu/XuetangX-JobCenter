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7260"/>
  </bookViews>
  <sheets>
    <sheet name="功能清单" sheetId="1" r:id="rId1"/>
    <sheet name="需求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<sst xmlns="http://schemas.openxmlformats.org/spreadsheetml/2006/main" count="236" uniqueCount="134">
  <si>
    <t>参赛 Demo 需求分类功能清单</t>
  </si>
  <si>
    <t>功能总数</t>
  </si>
  <si>
    <t>客户新增</t>
  </si>
  <si>
    <t>业务细化</t>
  </si>
  <si>
    <t>序号</t>
  </si>
  <si>
    <t>功能模块</t>
  </si>
  <si>
    <t>功能名称</t>
  </si>
  <si>
    <t>需求分类</t>
  </si>
  <si>
    <t>功能说明</t>
  </si>
  <si>
    <t>优先级</t>
  </si>
  <si>
    <t>全流程</t>
  </si>
  <si>
    <t>岗位—学习—面试主流程重构</t>
  </si>
  <si>
    <t>将推荐业务顺序调整为“岗位分析→理论学习/实训学习→模拟面试→能力诊断→证书/岗位推荐”。各模块仍可独立进入。</t>
  </si>
  <si>
    <t>P0</t>
  </si>
  <si>
    <t>岗位分析</t>
  </si>
  <si>
    <t>多源岗位数据分析</t>
  </si>
  <si>
    <t>综合产业数据、专业数据、职业标准、企业招聘信息和岗位说明书分析目标岗位。</t>
  </si>
  <si>
    <t>P1</t>
  </si>
  <si>
    <t>岗位典型工作任务解析</t>
  </si>
  <si>
    <t>原需求已有</t>
  </si>
  <si>
    <t>从职业标准和企业岗位要求中提取典型工作任务，并形成结构化岗位任务。</t>
  </si>
  <si>
    <t>岗位解析过程可视化</t>
  </si>
  <si>
    <t>展示“数据读取→岗位任务识别→能力拆解→知识技能提取→图谱生成”的完整解析过程，而不是直接展示结果。</t>
  </si>
  <si>
    <t>岗位任务详情</t>
  </si>
  <si>
    <t>展示任务名称、任务描述、工作步骤、输入条件、输出成果、工具链和质量标准。</t>
  </si>
  <si>
    <t>能力图谱</t>
  </si>
  <si>
    <t>岗位能力结构化拆解</t>
  </si>
  <si>
    <t>按“工作任务→能力单元→知识点/技能点/素养点”拆解岗位能力。</t>
  </si>
  <si>
    <t>岗位能力图谱交互</t>
  </si>
  <si>
    <t>支持完整图谱展示、节点展开、路径聚焦、能力详情和来源依据查看。</t>
  </si>
  <si>
    <t>教学转化</t>
  </si>
  <si>
    <t>学习型工作任务自动生成</t>
  </si>
  <si>
    <t>将企业岗位工作任务转化为符合教学规律、可以由学生完成的学习型工作任务。</t>
  </si>
  <si>
    <t>学习任务结构化设计</t>
  </si>
  <si>
    <t>每项学习任务包含任务名称、任务情境、任务描述、学习目标、任务步骤、知识点、技能点、学习资源、学习产物和评价规则。</t>
  </si>
  <si>
    <t>原始任务与学习任务溯源</t>
  </si>
  <si>
    <t>展示学习任务来源于哪项岗位任务、职业标准或企业要求，保留完整转化关系。</t>
  </si>
  <si>
    <t>学习路径</t>
  </si>
  <si>
    <t>理论与实训双路径生成</t>
  </si>
  <si>
    <t>针对同一项岗位任务，同时生成“理论学习”和“真实岗位任务实训”两条学习路径。</t>
  </si>
  <si>
    <t>理论学习</t>
  </si>
  <si>
    <t>岗位知识点关联学习</t>
  </si>
  <si>
    <t>知识点关联教材原页、案例、代码、图解和操作内容，并可返回对应岗位任务。</t>
  </si>
  <si>
    <t>理论—岗位即时映射</t>
  </si>
  <si>
    <t>学完理论知识后，自动说明其在真实计算机视觉岗位任务中的应用场景。</t>
  </si>
  <si>
    <t>自适应难度习题链</t>
  </si>
  <si>
    <t>学生答错后推送低阶题、前置知识题；答对后推送高阶题、迁移题或岗位情境题。</t>
  </si>
  <si>
    <t>错因诊断与补偿学习</t>
  </si>
  <si>
    <t>判断学生属于概念不清、前置知识缺失、审题错误还是应用能力不足，并推送对应内容。</t>
  </si>
  <si>
    <t>学习陪伴</t>
  </si>
  <si>
    <t>心理陪伴与分级鼓励</t>
  </si>
  <si>
    <t>根据答题结果、用时、重试次数和学习状态提供鼓励、提示和难度调整说明。</t>
  </si>
  <si>
    <t>实训学习</t>
  </si>
  <si>
    <t>真实岗位任务实训</t>
  </si>
  <si>
    <t>将岗位典型任务转化为可操作的实训项目，挂载数据集、代码框架、工具和评测脚本。</t>
  </si>
  <si>
    <t>工作任务自动拆分</t>
  </si>
  <si>
    <t>将一个真实岗位任务拆分为需求分析、数据处理、算法开发、测试验证、部署交付等子任务。</t>
  </si>
  <si>
    <t>人机协同</t>
  </si>
  <si>
    <t>学生与Agent任务分工</t>
  </si>
  <si>
    <t>学生负责其中一个或多个关键子任务，其他子任务由不同角色Agent完成。</t>
  </si>
  <si>
    <t>多角色程序员Agent团队</t>
  </si>
  <si>
    <t>配置需求分析、架构设计、算法开发、测试验证、部署运维等Agent角色。</t>
  </si>
  <si>
    <t>Agent任务状态与产物展示</t>
  </si>
  <si>
    <t>展示各Agent的任务、输入、执行状态、输出产物和协作关系。</t>
  </si>
  <si>
    <t>学生审核与调度Agent</t>
  </si>
  <si>
    <t>学生可以向Agent分派任务、补充要求、查看产物、驳回修改和确认合并。</t>
  </si>
  <si>
    <t>实训指导</t>
  </si>
  <si>
    <t>实训过程智能指导</t>
  </si>
  <si>
    <t>学生遇到问题时，AI根据当前任务、代码、数据和产物提供分级提示，而不是直接给出完整答案。</t>
  </si>
  <si>
    <t>多模态交互</t>
  </si>
  <si>
    <t>理论与实训多模态交互</t>
  </si>
  <si>
    <t>理论或实训过程不再局限于纯文本，可通过图片、代码、数据、语音和视频等方式与智能体交互。</t>
  </si>
  <si>
    <t>实训评价</t>
  </si>
  <si>
    <t>实训产物自动评价</t>
  </si>
  <si>
    <t>根据代码、模型指标、测试记录、项目文档和答辩表现评价任务完成情况。</t>
  </si>
  <si>
    <t>能力画像</t>
  </si>
  <si>
    <t>学习证据统一归档</t>
  </si>
  <si>
    <t>将理论检测、实训产物、面试表现等数据写入统一学生能力画像。</t>
  </si>
  <si>
    <t>模拟面试</t>
  </si>
  <si>
    <t>多角色岗位面试</t>
  </si>
  <si>
    <t>由算法、工程实践、系统设计等面试官Agent开展岗位模拟面试。</t>
  </si>
  <si>
    <t>自适应追问</t>
  </si>
  <si>
    <t>根据学生回答动态调整问题难度和追问深度。</t>
  </si>
  <si>
    <t>面试诊断</t>
  </si>
  <si>
    <t>学生优缺点分析</t>
  </si>
  <si>
    <t>对照岗位能力图谱分析学生知识薄弱点、技能短板和岗位胜任情况。</t>
  </si>
  <si>
    <t>成长推荐</t>
  </si>
  <si>
    <t>个性化补强任务推荐</t>
  </si>
  <si>
    <t>根据学习和面试诊断结果，推荐需要补学的理论内容、学习任务和实训项目。</t>
  </si>
  <si>
    <t>证书推荐</t>
  </si>
  <si>
    <t>技能证书智能推荐</t>
  </si>
  <si>
    <t>推荐人社、工信、行业企业及科大讯飞相关技能证书，并说明推荐依据。</t>
  </si>
  <si>
    <t>证书能力差距分析</t>
  </si>
  <si>
    <t>将学生能力画像与证书考核要求对比，给出缺口和备考路径。</t>
  </si>
  <si>
    <t>就业推荐</t>
  </si>
  <si>
    <t>实时真实岗位接入</t>
  </si>
  <si>
    <t>接入招聘数据，展示真实企业、岗位名称、工作地点、发布时间和来源链接。</t>
  </si>
  <si>
    <t>真实岗位智能推荐</t>
  </si>
  <si>
    <t>根据学生已验证能力、面试表现和求职意向推荐适合的真实岗位。</t>
  </si>
  <si>
    <t>个人记忆</t>
  </si>
  <si>
    <t>学生长期记忆管理</t>
  </si>
  <si>
    <t>持续记录学生目标、知识掌握、技能短板、错题规律、学习偏好和指导效果。</t>
  </si>
  <si>
    <t>我的学习</t>
  </si>
  <si>
    <t>智能体记忆呈现</t>
  </si>
  <si>
    <t>在“我的学习”中展示智能体记住的内容、能力变化、薄弱点和近期学习重点。</t>
  </si>
  <si>
    <t>学习证据时间线</t>
  </si>
  <si>
    <t>按时间展示教材学习、测验、实训、面试和能力变化证据。</t>
  </si>
  <si>
    <t>记忆查看与删除</t>
  </si>
  <si>
    <t>学生可以查看、修改或删除智能体记忆，避免错误记忆长期影响推荐。</t>
  </si>
  <si>
    <t>P2</t>
  </si>
  <si>
    <t>全生命周期</t>
  </si>
  <si>
    <t>学生成长全景档案</t>
  </si>
  <si>
    <t>汇总岗位目标、学习进度、实训成果、面试诊断、证书规划和就业推荐。</t>
  </si>
  <si>
    <t>需求分类与首期建议</t>
  </si>
  <si>
    <t>数量</t>
  </si>
  <si>
    <t>建议首期重点实现</t>
  </si>
  <si>
    <t>重点功能</t>
  </si>
  <si>
    <t>建议范围</t>
  </si>
  <si>
    <t>主流程顺序调整</t>
  </si>
  <si>
    <t>岗位分析→理论/实训→面试→诊断</t>
  </si>
  <si>
    <t>岗位解析与能力拆解过程</t>
  </si>
  <si>
    <t>展示来源、解析步骤和图谱生成过程</t>
  </si>
  <si>
    <t>学习型工作任务生成</t>
  </si>
  <si>
    <t>形成任务情境、步骤、知识技能和评价</t>
  </si>
  <si>
    <t>理论/实训双路径</t>
  </si>
  <si>
    <t>同一岗位任务生成两类学习入口</t>
  </si>
  <si>
    <t>自适应难度习题</t>
  </si>
  <si>
    <t>答错降阶、答对升阶并诊断错因</t>
  </si>
  <si>
    <t>多Agent人机协同实训</t>
  </si>
  <si>
    <t>学生与Agent分工、审核和合并产物</t>
  </si>
  <si>
    <t>实训多模态交互</t>
  </si>
  <si>
    <t>代码、图像、数据集和结果交互</t>
  </si>
  <si>
    <t>个人记忆呈现</t>
  </si>
  <si>
    <t>在我的学习中展示长期记忆与能力变化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</si>
</sst>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29445E"/>
      <name val="Carlito"/>
      <charset val="134"/>
    </font>
    <font>
      <b/>
      <sz val="13"/>
      <color rgb="FF163A5F"/>
      <name val="Carlito"/>
      <charset val="134"/>
    </font>
    <font>
      <b/>
      <sz val="12"/>
      <color rgb="FF163A5F"/>
      <name val="Carlito"/>
      <charset val="134"/>
    </font>
    <font>
      <sz val="10"/>
      <color rgb="FF243746"/>
      <name val="Carlito"/>
      <charset val="134"/>
    </font>
    <font>
      <b/>
      <sz val="10"/>
      <color rgb="FF29445E"/>
      <name val="Carlito"/>
      <charset val="134"/>
    </font>
    <font>
      <b/>
      <sz val="14"/>
      <color rgb="FF163A5F"/>
      <name val="Carlito"/>
      <charset val="134"/>
    </font>
    <font>
      <b/>
      <sz val="14"/>
      <color rgb="FF207A3B"/>
      <name val="Carlito"/>
      <charset val="134"/>
    </font>
    <font>
      <b/>
      <sz val="14"/>
      <color rgb="FF8A5A00"/>
      <name val="Carlito"/>
      <charset val="134"/>
    </font>
    <font>
      <b/>
      <sz val="10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2E648F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DCEAF6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E7F5EB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FE7EE"/>
      </bottom>
      <diagonal/>
    </border>
    <border>
      <left/>
      <right/>
      <top style="thin">
        <color rgb="FFDFE7EE"/>
      </top>
      <bottom style="thin">
        <color rgb="FFDFE7EE"/>
      </bottom>
      <diagonal/>
    </border>
    <border>
      <left/>
      <right/>
      <top style="thin">
        <color rgb="FFDFE7EE"/>
      </top>
      <bottom/>
      <diagonal/>
    </border>
    <border>
      <left style="thin">
        <color rgb="FFBCD0E2"/>
      </left>
      <right/>
      <top style="thin">
        <color rgb="FFBCD0E2"/>
      </top>
      <bottom style="thin">
        <color rgb="FFBCD0E2"/>
      </bottom>
      <diagonal/>
    </border>
    <border>
      <left/>
      <right/>
      <top style="thin">
        <color rgb="FFBCD0E2"/>
      </top>
      <bottom style="thin">
        <color rgb="FFBCD0E2"/>
      </bottom>
      <diagonal/>
    </border>
    <border>
      <left/>
      <right style="thin">
        <color rgb="FFBCD0E2"/>
      </right>
      <top style="thin">
        <color rgb="FFBCD0E2"/>
      </top>
      <bottom style="thin">
        <color rgb="FFBCD0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10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center"/>
    </xf>
    <xf numFmtId="0" fontId="3" fillId="4" borderId="1" xfId="49" applyNumberFormat="1" applyFont="1" applyFill="1" applyBorder="1" applyAlignment="1">
      <alignment vertical="center"/>
    </xf>
    <xf numFmtId="0" fontId="4" fillId="4" borderId="1" xfId="49" applyNumberFormat="1" applyFont="1" applyFill="1" applyBorder="1" applyAlignment="1">
      <alignment horizontal="center" vertical="center"/>
    </xf>
    <xf numFmtId="0" fontId="3" fillId="4" borderId="2" xfId="49" applyNumberFormat="1" applyFont="1" applyFill="1" applyBorder="1" applyAlignment="1">
      <alignment vertical="center"/>
    </xf>
    <xf numFmtId="0" fontId="4" fillId="4" borderId="2" xfId="49" applyNumberFormat="1" applyFont="1" applyFill="1" applyBorder="1" applyAlignment="1">
      <alignment horizontal="center" vertical="center"/>
    </xf>
    <xf numFmtId="0" fontId="3" fillId="4" borderId="3" xfId="49" applyNumberFormat="1" applyFont="1" applyFill="1" applyBorder="1" applyAlignment="1">
      <alignment vertical="center"/>
    </xf>
    <xf numFmtId="0" fontId="4" fillId="4" borderId="3" xfId="49" applyNumberFormat="1" applyFont="1" applyFill="1" applyBorder="1" applyAlignment="1">
      <alignment horizontal="center" vertical="center"/>
    </xf>
    <xf numFmtId="0" fontId="5" fillId="5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6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horizontal="center" vertical="center" wrapText="1"/>
    </xf>
    <xf numFmtId="0" fontId="6" fillId="0" borderId="2" xfId="49" applyNumberFormat="1" applyFont="1" applyFill="1" applyBorder="1" applyAlignment="1">
      <alignment vertical="center" wrapText="1"/>
    </xf>
    <xf numFmtId="0" fontId="6" fillId="0" borderId="3" xfId="49" applyNumberFormat="1" applyFont="1" applyFill="1" applyBorder="1" applyAlignment="1">
      <alignment horizontal="center" vertical="center" wrapText="1"/>
    </xf>
    <xf numFmtId="0" fontId="6" fillId="0" borderId="3" xfId="49" applyNumberFormat="1" applyFont="1" applyFill="1" applyBorder="1" applyAlignment="1">
      <alignment vertical="center" wrapText="1"/>
    </xf>
    <xf numFmtId="0" fontId="7" fillId="6" borderId="4" xfId="49" applyNumberFormat="1" applyFont="1" applyFill="1" applyBorder="1" applyAlignment="1">
      <alignment horizontal="center" vertical="center"/>
    </xf>
    <xf numFmtId="0" fontId="8" fillId="5" borderId="5" xfId="49" applyNumberFormat="1" applyFont="1" applyFill="1" applyBorder="1" applyAlignment="1">
      <alignment horizontal="center" vertical="center"/>
    </xf>
    <xf numFmtId="0" fontId="7" fillId="6" borderId="5" xfId="49" applyNumberFormat="1" applyFont="1" applyFill="1" applyBorder="1" applyAlignment="1">
      <alignment horizontal="center" vertical="center"/>
    </xf>
    <xf numFmtId="0" fontId="9" fillId="7" borderId="5" xfId="49" applyNumberFormat="1" applyFont="1" applyFill="1" applyBorder="1" applyAlignment="1">
      <alignment horizontal="center" vertical="center"/>
    </xf>
    <xf numFmtId="0" fontId="10" fillId="8" borderId="6" xfId="49" applyNumberFormat="1" applyFont="1" applyFill="1" applyBorder="1" applyAlignment="1">
      <alignment horizontal="center" vertical="center"/>
    </xf>
    <xf numFmtId="0" fontId="11" fillId="3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207A3B"/>
      </font>
      <fill>
        <patternFill patternType="solid">
          <bgColor rgb="FFE7F5EB"/>
        </patternFill>
      </fill>
    </dxf>
    <dxf>
      <font>
        <b val="1"/>
        <color rgb="FF8A5A00"/>
      </font>
      <fill>
        <patternFill patternType="solid">
          <bgColor rgb="FFFFF4D6"/>
        </patternFill>
      </fill>
    </dxf>
    <dxf>
      <font>
        <color rgb="FF536273"/>
      </font>
      <fill>
        <patternFill patternType="solid">
          <bgColor rgb="FFEDF1F5"/>
        </patternFill>
      </fill>
    </dxf>
    <dxf>
      <font>
        <b val="1"/>
        <color rgb="FFB42318"/>
      </font>
      <fill>
        <patternFill patternType="solid">
          <bgColor rgb="FFFDE9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eatureListTable" displayName="FeatureListTable" ref="A6:F45" totalsRowShown="0">
  <tableColumns count="6">
    <tableColumn id="1" name="序号"/>
    <tableColumn id="2" name="功能模块"/>
    <tableColumn id="3" name="功能名称"/>
    <tableColumn id="4" name="需求分类"/>
    <tableColumn id="5" name="功能说明"/>
    <tableColumn id="6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showGridLines="0" tabSelected="1" workbookViewId="0">
      <selection activeCell="E11" sqref="E11"/>
    </sheetView>
  </sheetViews>
  <sheetFormatPr defaultColWidth="9" defaultRowHeight="16.8" outlineLevelCol="5"/>
  <cols>
    <col min="1" max="1" width="6" customWidth="1"/>
    <col min="2" max="2" width="12.4411764705882" customWidth="1"/>
    <col min="3" max="3" width="25.5588235294118" customWidth="1"/>
    <col min="4" max="4" width="10.2205882352941" customWidth="1"/>
    <col min="5" max="5" width="62.2205882352941" customWidth="1"/>
    <col min="6" max="6" width="8" customWidth="1"/>
  </cols>
  <sheetData>
    <row r="1" ht="31.5" customHeight="1" spans="1:6">
      <c r="A1" s="1" t="s">
        <v>0</v>
      </c>
      <c r="B1" s="1"/>
      <c r="C1" s="1"/>
      <c r="D1" s="1"/>
      <c r="E1" s="1"/>
      <c r="F1" s="1"/>
    </row>
    <row r="3" ht="20.4" spans="1:6">
      <c r="A3" s="17" t="s">
        <v>1</v>
      </c>
      <c r="B3" s="18">
        <v>39</v>
      </c>
      <c r="C3" s="19" t="s">
        <v>2</v>
      </c>
      <c r="D3" s="20">
        <v>17</v>
      </c>
      <c r="E3" s="19" t="s">
        <v>3</v>
      </c>
      <c r="F3" s="21">
        <v>6</v>
      </c>
    </row>
    <row r="6" ht="22.5" customHeight="1" spans="1:6">
      <c r="A6" s="22" t="s">
        <v>4</v>
      </c>
      <c r="B6" s="22" t="s">
        <v>5</v>
      </c>
      <c r="C6" s="22" t="s">
        <v>6</v>
      </c>
      <c r="D6" s="22" t="s">
        <v>7</v>
      </c>
      <c r="E6" s="22" t="s">
        <v>8</v>
      </c>
      <c r="F6" s="22" t="s">
        <v>9</v>
      </c>
    </row>
    <row r="7" ht="33" customHeight="1" spans="1:6">
      <c r="A7" s="11">
        <v>1</v>
      </c>
      <c r="B7" s="11" t="s">
        <v>10</v>
      </c>
      <c r="C7" s="12" t="s">
        <v>11</v>
      </c>
      <c r="D7" s="11" t="s">
        <v>2</v>
      </c>
      <c r="E7" s="12" t="s">
        <v>12</v>
      </c>
      <c r="F7" s="11" t="s">
        <v>13</v>
      </c>
    </row>
    <row r="8" ht="33" customHeight="1" spans="1:6">
      <c r="A8" s="13">
        <v>2</v>
      </c>
      <c r="B8" s="13" t="s">
        <v>14</v>
      </c>
      <c r="C8" s="14" t="s">
        <v>15</v>
      </c>
      <c r="D8" s="13" t="s">
        <v>2</v>
      </c>
      <c r="E8" s="14" t="s">
        <v>16</v>
      </c>
      <c r="F8" s="13" t="s">
        <v>17</v>
      </c>
    </row>
    <row r="9" ht="33" customHeight="1" spans="1:6">
      <c r="A9" s="13">
        <v>3</v>
      </c>
      <c r="B9" s="13" t="s">
        <v>14</v>
      </c>
      <c r="C9" s="14" t="s">
        <v>18</v>
      </c>
      <c r="D9" s="13" t="s">
        <v>19</v>
      </c>
      <c r="E9" s="14" t="s">
        <v>20</v>
      </c>
      <c r="F9" s="13" t="s">
        <v>13</v>
      </c>
    </row>
    <row r="10" ht="33" customHeight="1" spans="1:6">
      <c r="A10" s="13">
        <v>4</v>
      </c>
      <c r="B10" s="13" t="s">
        <v>14</v>
      </c>
      <c r="C10" s="14" t="s">
        <v>21</v>
      </c>
      <c r="D10" s="13" t="s">
        <v>2</v>
      </c>
      <c r="E10" s="14" t="s">
        <v>22</v>
      </c>
      <c r="F10" s="13" t="s">
        <v>13</v>
      </c>
    </row>
    <row r="11" ht="33" customHeight="1" spans="1:6">
      <c r="A11" s="13">
        <v>5</v>
      </c>
      <c r="B11" s="13" t="s">
        <v>14</v>
      </c>
      <c r="C11" s="14" t="s">
        <v>23</v>
      </c>
      <c r="D11" s="13" t="s">
        <v>19</v>
      </c>
      <c r="E11" s="14" t="s">
        <v>24</v>
      </c>
      <c r="F11" s="13" t="s">
        <v>13</v>
      </c>
    </row>
    <row r="12" ht="33" customHeight="1" spans="1:6">
      <c r="A12" s="13">
        <v>6</v>
      </c>
      <c r="B12" s="13" t="s">
        <v>25</v>
      </c>
      <c r="C12" s="14" t="s">
        <v>26</v>
      </c>
      <c r="D12" s="13" t="s">
        <v>19</v>
      </c>
      <c r="E12" s="14" t="s">
        <v>27</v>
      </c>
      <c r="F12" s="13" t="s">
        <v>13</v>
      </c>
    </row>
    <row r="13" ht="33" customHeight="1" spans="1:6">
      <c r="A13" s="11">
        <v>7</v>
      </c>
      <c r="B13" s="13" t="s">
        <v>25</v>
      </c>
      <c r="C13" s="14" t="s">
        <v>28</v>
      </c>
      <c r="D13" s="13" t="s">
        <v>19</v>
      </c>
      <c r="E13" s="14" t="s">
        <v>29</v>
      </c>
      <c r="F13" s="13" t="s">
        <v>13</v>
      </c>
    </row>
    <row r="14" ht="33" customHeight="1" spans="1:6">
      <c r="A14" s="13">
        <v>8</v>
      </c>
      <c r="B14" s="13" t="s">
        <v>30</v>
      </c>
      <c r="C14" s="14" t="s">
        <v>31</v>
      </c>
      <c r="D14" s="13" t="s">
        <v>2</v>
      </c>
      <c r="E14" s="14" t="s">
        <v>32</v>
      </c>
      <c r="F14" s="13" t="s">
        <v>13</v>
      </c>
    </row>
    <row r="15" ht="33" customHeight="1" spans="1:6">
      <c r="A15" s="13">
        <v>9</v>
      </c>
      <c r="B15" s="13" t="s">
        <v>30</v>
      </c>
      <c r="C15" s="14" t="s">
        <v>33</v>
      </c>
      <c r="D15" s="13" t="s">
        <v>2</v>
      </c>
      <c r="E15" s="14" t="s">
        <v>34</v>
      </c>
      <c r="F15" s="13" t="s">
        <v>13</v>
      </c>
    </row>
    <row r="16" ht="33" customHeight="1" spans="1:6">
      <c r="A16" s="13">
        <v>10</v>
      </c>
      <c r="B16" s="13" t="s">
        <v>30</v>
      </c>
      <c r="C16" s="14" t="s">
        <v>35</v>
      </c>
      <c r="D16" s="13" t="s">
        <v>3</v>
      </c>
      <c r="E16" s="14" t="s">
        <v>36</v>
      </c>
      <c r="F16" s="13" t="s">
        <v>17</v>
      </c>
    </row>
    <row r="17" ht="33" customHeight="1" spans="1:6">
      <c r="A17" s="13">
        <v>11</v>
      </c>
      <c r="B17" s="13" t="s">
        <v>37</v>
      </c>
      <c r="C17" s="14" t="s">
        <v>38</v>
      </c>
      <c r="D17" s="13" t="s">
        <v>2</v>
      </c>
      <c r="E17" s="14" t="s">
        <v>39</v>
      </c>
      <c r="F17" s="13" t="s">
        <v>13</v>
      </c>
    </row>
    <row r="18" ht="33" customHeight="1" spans="1:6">
      <c r="A18" s="13">
        <v>12</v>
      </c>
      <c r="B18" s="13" t="s">
        <v>40</v>
      </c>
      <c r="C18" s="14" t="s">
        <v>41</v>
      </c>
      <c r="D18" s="13" t="s">
        <v>19</v>
      </c>
      <c r="E18" s="14" t="s">
        <v>42</v>
      </c>
      <c r="F18" s="13" t="s">
        <v>13</v>
      </c>
    </row>
    <row r="19" ht="33" customHeight="1" spans="1:6">
      <c r="A19" s="11">
        <v>13</v>
      </c>
      <c r="B19" s="13" t="s">
        <v>40</v>
      </c>
      <c r="C19" s="14" t="s">
        <v>43</v>
      </c>
      <c r="D19" s="13" t="s">
        <v>19</v>
      </c>
      <c r="E19" s="14" t="s">
        <v>44</v>
      </c>
      <c r="F19" s="13" t="s">
        <v>17</v>
      </c>
    </row>
    <row r="20" ht="33" customHeight="1" spans="1:6">
      <c r="A20" s="13">
        <v>14</v>
      </c>
      <c r="B20" s="13" t="s">
        <v>40</v>
      </c>
      <c r="C20" s="14" t="s">
        <v>45</v>
      </c>
      <c r="D20" s="13" t="s">
        <v>2</v>
      </c>
      <c r="E20" s="14" t="s">
        <v>46</v>
      </c>
      <c r="F20" s="13" t="s">
        <v>13</v>
      </c>
    </row>
    <row r="21" ht="33" customHeight="1" spans="1:6">
      <c r="A21" s="13">
        <v>15</v>
      </c>
      <c r="B21" s="13" t="s">
        <v>40</v>
      </c>
      <c r="C21" s="14" t="s">
        <v>47</v>
      </c>
      <c r="D21" s="13" t="s">
        <v>3</v>
      </c>
      <c r="E21" s="14" t="s">
        <v>48</v>
      </c>
      <c r="F21" s="13" t="s">
        <v>17</v>
      </c>
    </row>
    <row r="22" ht="33" customHeight="1" spans="1:6">
      <c r="A22" s="13">
        <v>16</v>
      </c>
      <c r="B22" s="13" t="s">
        <v>49</v>
      </c>
      <c r="C22" s="14" t="s">
        <v>50</v>
      </c>
      <c r="D22" s="13" t="s">
        <v>19</v>
      </c>
      <c r="E22" s="14" t="s">
        <v>51</v>
      </c>
      <c r="F22" s="13" t="s">
        <v>17</v>
      </c>
    </row>
    <row r="23" ht="33" customHeight="1" spans="1:6">
      <c r="A23" s="13">
        <v>17</v>
      </c>
      <c r="B23" s="13" t="s">
        <v>52</v>
      </c>
      <c r="C23" s="14" t="s">
        <v>53</v>
      </c>
      <c r="D23" s="13" t="s">
        <v>19</v>
      </c>
      <c r="E23" s="14" t="s">
        <v>54</v>
      </c>
      <c r="F23" s="13" t="s">
        <v>13</v>
      </c>
    </row>
    <row r="24" ht="33" customHeight="1" spans="1:6">
      <c r="A24" s="13">
        <v>18</v>
      </c>
      <c r="B24" s="13" t="s">
        <v>52</v>
      </c>
      <c r="C24" s="14" t="s">
        <v>55</v>
      </c>
      <c r="D24" s="13" t="s">
        <v>2</v>
      </c>
      <c r="E24" s="14" t="s">
        <v>56</v>
      </c>
      <c r="F24" s="13" t="s">
        <v>13</v>
      </c>
    </row>
    <row r="25" ht="33" customHeight="1" spans="1:6">
      <c r="A25" s="11">
        <v>19</v>
      </c>
      <c r="B25" s="13" t="s">
        <v>57</v>
      </c>
      <c r="C25" s="14" t="s">
        <v>58</v>
      </c>
      <c r="D25" s="13" t="s">
        <v>2</v>
      </c>
      <c r="E25" s="14" t="s">
        <v>59</v>
      </c>
      <c r="F25" s="13" t="s">
        <v>13</v>
      </c>
    </row>
    <row r="26" ht="33" customHeight="1" spans="1:6">
      <c r="A26" s="13">
        <v>20</v>
      </c>
      <c r="B26" s="13" t="s">
        <v>57</v>
      </c>
      <c r="C26" s="14" t="s">
        <v>60</v>
      </c>
      <c r="D26" s="13" t="s">
        <v>19</v>
      </c>
      <c r="E26" s="14" t="s">
        <v>61</v>
      </c>
      <c r="F26" s="13" t="s">
        <v>13</v>
      </c>
    </row>
    <row r="27" ht="33" customHeight="1" spans="1:6">
      <c r="A27" s="13">
        <v>21</v>
      </c>
      <c r="B27" s="13" t="s">
        <v>57</v>
      </c>
      <c r="C27" s="14" t="s">
        <v>62</v>
      </c>
      <c r="D27" s="13" t="s">
        <v>3</v>
      </c>
      <c r="E27" s="14" t="s">
        <v>63</v>
      </c>
      <c r="F27" s="13" t="s">
        <v>17</v>
      </c>
    </row>
    <row r="28" ht="33" customHeight="1" spans="1:6">
      <c r="A28" s="13">
        <v>22</v>
      </c>
      <c r="B28" s="13" t="s">
        <v>57</v>
      </c>
      <c r="C28" s="14" t="s">
        <v>64</v>
      </c>
      <c r="D28" s="13" t="s">
        <v>19</v>
      </c>
      <c r="E28" s="14" t="s">
        <v>65</v>
      </c>
      <c r="F28" s="13" t="s">
        <v>17</v>
      </c>
    </row>
    <row r="29" ht="33" customHeight="1" spans="1:6">
      <c r="A29" s="13">
        <v>23</v>
      </c>
      <c r="B29" s="13" t="s">
        <v>66</v>
      </c>
      <c r="C29" s="14" t="s">
        <v>67</v>
      </c>
      <c r="D29" s="13" t="s">
        <v>2</v>
      </c>
      <c r="E29" s="14" t="s">
        <v>68</v>
      </c>
      <c r="F29" s="13" t="s">
        <v>13</v>
      </c>
    </row>
    <row r="30" ht="33" customHeight="1" spans="1:6">
      <c r="A30" s="13">
        <v>24</v>
      </c>
      <c r="B30" s="13" t="s">
        <v>69</v>
      </c>
      <c r="C30" s="14" t="s">
        <v>70</v>
      </c>
      <c r="D30" s="13" t="s">
        <v>2</v>
      </c>
      <c r="E30" s="14" t="s">
        <v>71</v>
      </c>
      <c r="F30" s="13" t="s">
        <v>17</v>
      </c>
    </row>
    <row r="31" ht="33" customHeight="1" spans="1:6">
      <c r="A31" s="11">
        <v>25</v>
      </c>
      <c r="B31" s="13" t="s">
        <v>72</v>
      </c>
      <c r="C31" s="14" t="s">
        <v>73</v>
      </c>
      <c r="D31" s="13" t="s">
        <v>19</v>
      </c>
      <c r="E31" s="14" t="s">
        <v>74</v>
      </c>
      <c r="F31" s="13" t="s">
        <v>13</v>
      </c>
    </row>
    <row r="32" ht="33" customHeight="1" spans="1:6">
      <c r="A32" s="13">
        <v>26</v>
      </c>
      <c r="B32" s="13" t="s">
        <v>75</v>
      </c>
      <c r="C32" s="14" t="s">
        <v>76</v>
      </c>
      <c r="D32" s="13" t="s">
        <v>19</v>
      </c>
      <c r="E32" s="14" t="s">
        <v>77</v>
      </c>
      <c r="F32" s="13" t="s">
        <v>13</v>
      </c>
    </row>
    <row r="33" ht="33" customHeight="1" spans="1:6">
      <c r="A33" s="13">
        <v>27</v>
      </c>
      <c r="B33" s="13" t="s">
        <v>78</v>
      </c>
      <c r="C33" s="14" t="s">
        <v>79</v>
      </c>
      <c r="D33" s="13" t="s">
        <v>19</v>
      </c>
      <c r="E33" s="14" t="s">
        <v>80</v>
      </c>
      <c r="F33" s="13" t="s">
        <v>13</v>
      </c>
    </row>
    <row r="34" ht="33" customHeight="1" spans="1:6">
      <c r="A34" s="13">
        <v>28</v>
      </c>
      <c r="B34" s="13" t="s">
        <v>78</v>
      </c>
      <c r="C34" s="14" t="s">
        <v>81</v>
      </c>
      <c r="D34" s="13" t="s">
        <v>19</v>
      </c>
      <c r="E34" s="14" t="s">
        <v>82</v>
      </c>
      <c r="F34" s="13" t="s">
        <v>17</v>
      </c>
    </row>
    <row r="35" ht="33" customHeight="1" spans="1:6">
      <c r="A35" s="13">
        <v>29</v>
      </c>
      <c r="B35" s="13" t="s">
        <v>83</v>
      </c>
      <c r="C35" s="14" t="s">
        <v>84</v>
      </c>
      <c r="D35" s="13" t="s">
        <v>19</v>
      </c>
      <c r="E35" s="14" t="s">
        <v>85</v>
      </c>
      <c r="F35" s="13" t="s">
        <v>13</v>
      </c>
    </row>
    <row r="36" ht="33" customHeight="1" spans="1:6">
      <c r="A36" s="13">
        <v>30</v>
      </c>
      <c r="B36" s="13" t="s">
        <v>86</v>
      </c>
      <c r="C36" s="14" t="s">
        <v>87</v>
      </c>
      <c r="D36" s="13" t="s">
        <v>19</v>
      </c>
      <c r="E36" s="14" t="s">
        <v>88</v>
      </c>
      <c r="F36" s="13" t="s">
        <v>17</v>
      </c>
    </row>
    <row r="37" ht="33" customHeight="1" spans="1:6">
      <c r="A37" s="11">
        <v>31</v>
      </c>
      <c r="B37" s="13" t="s">
        <v>89</v>
      </c>
      <c r="C37" s="14" t="s">
        <v>90</v>
      </c>
      <c r="D37" s="13" t="s">
        <v>2</v>
      </c>
      <c r="E37" s="14" t="s">
        <v>91</v>
      </c>
      <c r="F37" s="13" t="s">
        <v>17</v>
      </c>
    </row>
    <row r="38" ht="33" customHeight="1" spans="1:6">
      <c r="A38" s="13">
        <v>32</v>
      </c>
      <c r="B38" s="13" t="s">
        <v>89</v>
      </c>
      <c r="C38" s="14" t="s">
        <v>92</v>
      </c>
      <c r="D38" s="13" t="s">
        <v>3</v>
      </c>
      <c r="E38" s="14" t="s">
        <v>93</v>
      </c>
      <c r="F38" s="13" t="s">
        <v>17</v>
      </c>
    </row>
    <row r="39" ht="33" customHeight="1" spans="1:6">
      <c r="A39" s="13">
        <v>33</v>
      </c>
      <c r="B39" s="13" t="s">
        <v>94</v>
      </c>
      <c r="C39" s="14" t="s">
        <v>95</v>
      </c>
      <c r="D39" s="13" t="s">
        <v>2</v>
      </c>
      <c r="E39" s="14" t="s">
        <v>96</v>
      </c>
      <c r="F39" s="13" t="s">
        <v>17</v>
      </c>
    </row>
    <row r="40" ht="33" customHeight="1" spans="1:6">
      <c r="A40" s="13">
        <v>34</v>
      </c>
      <c r="B40" s="13" t="s">
        <v>94</v>
      </c>
      <c r="C40" s="14" t="s">
        <v>97</v>
      </c>
      <c r="D40" s="13" t="s">
        <v>2</v>
      </c>
      <c r="E40" s="14" t="s">
        <v>98</v>
      </c>
      <c r="F40" s="13" t="s">
        <v>17</v>
      </c>
    </row>
    <row r="41" ht="33" customHeight="1" spans="1:6">
      <c r="A41" s="13">
        <v>35</v>
      </c>
      <c r="B41" s="13" t="s">
        <v>99</v>
      </c>
      <c r="C41" s="14" t="s">
        <v>100</v>
      </c>
      <c r="D41" s="13" t="s">
        <v>2</v>
      </c>
      <c r="E41" s="14" t="s">
        <v>101</v>
      </c>
      <c r="F41" s="13" t="s">
        <v>17</v>
      </c>
    </row>
    <row r="42" ht="33" customHeight="1" spans="1:6">
      <c r="A42" s="13">
        <v>36</v>
      </c>
      <c r="B42" s="13" t="s">
        <v>102</v>
      </c>
      <c r="C42" s="14" t="s">
        <v>103</v>
      </c>
      <c r="D42" s="13" t="s">
        <v>2</v>
      </c>
      <c r="E42" s="14" t="s">
        <v>104</v>
      </c>
      <c r="F42" s="13" t="s">
        <v>17</v>
      </c>
    </row>
    <row r="43" ht="33" customHeight="1" spans="1:6">
      <c r="A43" s="11">
        <v>37</v>
      </c>
      <c r="B43" s="13" t="s">
        <v>102</v>
      </c>
      <c r="C43" s="14" t="s">
        <v>105</v>
      </c>
      <c r="D43" s="13" t="s">
        <v>3</v>
      </c>
      <c r="E43" s="14" t="s">
        <v>106</v>
      </c>
      <c r="F43" s="13" t="s">
        <v>17</v>
      </c>
    </row>
    <row r="44" ht="33" customHeight="1" spans="1:6">
      <c r="A44" s="13">
        <v>38</v>
      </c>
      <c r="B44" s="13" t="s">
        <v>99</v>
      </c>
      <c r="C44" s="14" t="s">
        <v>107</v>
      </c>
      <c r="D44" s="13" t="s">
        <v>3</v>
      </c>
      <c r="E44" s="14" t="s">
        <v>108</v>
      </c>
      <c r="F44" s="13" t="s">
        <v>109</v>
      </c>
    </row>
    <row r="45" ht="33" customHeight="1" spans="1:6">
      <c r="A45" s="13">
        <v>39</v>
      </c>
      <c r="B45" s="15" t="s">
        <v>110</v>
      </c>
      <c r="C45" s="16" t="s">
        <v>111</v>
      </c>
      <c r="D45" s="15" t="s">
        <v>2</v>
      </c>
      <c r="E45" s="16" t="s">
        <v>112</v>
      </c>
      <c r="F45" s="15" t="s">
        <v>17</v>
      </c>
    </row>
  </sheetData>
  <mergeCells count="1">
    <mergeCell ref="A1:F1"/>
  </mergeCells>
  <conditionalFormatting sqref="D7:D45">
    <cfRule type="containsText" dxfId="0" priority="1" operator="between" text="客户新增">
      <formula>NOT(ISERROR(SEARCH("客户新增",D7)))</formula>
    </cfRule>
    <cfRule type="containsText" dxfId="1" priority="2" operator="between" text="业务细化">
      <formula>NOT(ISERROR(SEARCH("业务细化",D7)))</formula>
    </cfRule>
    <cfRule type="containsText" dxfId="2" priority="3" operator="between" text="原需求已有">
      <formula>NOT(ISERROR(SEARCH("原需求已有",D7)))</formula>
    </cfRule>
  </conditionalFormatting>
  <conditionalFormatting sqref="F7:F45">
    <cfRule type="containsText" dxfId="3" priority="4" operator="between" text="P0">
      <formula>NOT(ISERROR(SEARCH("P0",F7)))</formula>
    </cfRule>
    <cfRule type="containsText" dxfId="1" priority="5" operator="between" text="P1">
      <formula>NOT(ISERROR(SEARCH("P1",F7)))</formula>
    </cfRule>
    <cfRule type="containsText" dxfId="2" priority="6" operator="between" text="P2">
      <formula>NOT(ISERROR(SEARCH("P2",F7)))</formula>
    </cfRule>
  </conditionalFormatting>
  <dataValidations count="2">
    <dataValidation type="list" sqref="D7:D12 D13:D30 D31:D45">
      <formula1>"客户新增,业务细化,原需求已有"</formula1>
    </dataValidation>
    <dataValidation type="list" sqref="F7:F12 F13:F30 F31:F45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B6" sqref="B6"/>
    </sheetView>
  </sheetViews>
  <sheetFormatPr defaultColWidth="9" defaultRowHeight="16.8" outlineLevelCol="5"/>
  <cols>
    <col min="1" max="1" width="6.88970588235294" customWidth="1"/>
    <col min="2" max="2" width="27.7794117647059" customWidth="1"/>
    <col min="3" max="3" width="57.7794117647059" customWidth="1"/>
    <col min="4" max="6" width="10" customWidth="1"/>
  </cols>
  <sheetData>
    <row r="1" ht="31.5" customHeight="1" spans="1:6">
      <c r="A1" s="1" t="s">
        <v>113</v>
      </c>
      <c r="B1" s="1"/>
      <c r="C1" s="1"/>
      <c r="D1" s="1"/>
      <c r="E1" s="1"/>
      <c r="F1" s="1"/>
    </row>
    <row r="3" spans="1:6">
      <c r="A3" s="2" t="s">
        <v>7</v>
      </c>
      <c r="B3" s="2" t="s">
        <v>114</v>
      </c>
      <c r="D3" s="2" t="s">
        <v>9</v>
      </c>
      <c r="E3" s="2" t="s">
        <v>114</v>
      </c>
    </row>
    <row r="4" ht="19.2" spans="1:6">
      <c r="A4" s="3" t="s">
        <v>2</v>
      </c>
      <c r="B4" s="4">
        <f>COUNTIF(功能清单!$D$7:$D$45,A4)</f>
        <v>17</v>
      </c>
      <c r="D4" s="3" t="s">
        <v>13</v>
      </c>
      <c r="E4" s="4">
        <f>COUNTIF(功能清单!$F$7:$F$45,D4)</f>
        <v>20</v>
      </c>
    </row>
    <row r="5" ht="19.2" spans="1:6">
      <c r="A5" s="5" t="s">
        <v>3</v>
      </c>
      <c r="B5" s="6">
        <f>COUNTIF(功能清单!$D$7:$D$45,A5)</f>
        <v>6</v>
      </c>
      <c r="D5" s="5" t="s">
        <v>17</v>
      </c>
      <c r="E5" s="6">
        <f>COUNTIF(功能清单!$F$7:$F$45,D5)</f>
        <v>18</v>
      </c>
    </row>
    <row r="6" ht="19.2" spans="1:6">
      <c r="A6" s="7" t="s">
        <v>19</v>
      </c>
      <c r="B6" s="8">
        <f>COUNTIF(功能清单!$D$7:$D$45,A6)</f>
        <v>16</v>
      </c>
      <c r="D6" s="7" t="s">
        <v>109</v>
      </c>
      <c r="E6" s="8">
        <f>COUNTIF(功能清单!$F$7:$F$45,D6)</f>
        <v>1</v>
      </c>
    </row>
    <row r="9" ht="17.6" spans="1:6">
      <c r="A9" s="9" t="s">
        <v>115</v>
      </c>
      <c r="B9" s="9"/>
      <c r="C9" s="9"/>
      <c r="D9" s="9"/>
      <c r="E9" s="9"/>
      <c r="F9" s="9"/>
    </row>
    <row r="10" spans="1:6">
      <c r="A10" s="10" t="s">
        <v>4</v>
      </c>
      <c r="B10" s="10" t="s">
        <v>116</v>
      </c>
      <c r="C10" s="10" t="s">
        <v>117</v>
      </c>
    </row>
    <row r="11" spans="1:6">
      <c r="A11" s="11">
        <v>1</v>
      </c>
      <c r="B11" s="12" t="s">
        <v>118</v>
      </c>
      <c r="C11" s="12" t="s">
        <v>119</v>
      </c>
    </row>
    <row r="12" spans="1:6">
      <c r="A12" s="13">
        <v>2</v>
      </c>
      <c r="B12" s="14" t="s">
        <v>120</v>
      </c>
      <c r="C12" s="14" t="s">
        <v>121</v>
      </c>
    </row>
    <row r="13" spans="1:6">
      <c r="A13" s="13">
        <v>3</v>
      </c>
      <c r="B13" s="14" t="s">
        <v>122</v>
      </c>
      <c r="C13" s="14" t="s">
        <v>123</v>
      </c>
    </row>
    <row r="14" spans="1:6">
      <c r="A14" s="13">
        <v>4</v>
      </c>
      <c r="B14" s="14" t="s">
        <v>124</v>
      </c>
      <c r="C14" s="14" t="s">
        <v>125</v>
      </c>
    </row>
    <row r="15" spans="1:6">
      <c r="A15" s="13">
        <v>5</v>
      </c>
      <c r="B15" s="14" t="s">
        <v>126</v>
      </c>
      <c r="C15" s="14" t="s">
        <v>127</v>
      </c>
    </row>
    <row r="16" spans="1:6">
      <c r="A16" s="13">
        <v>6</v>
      </c>
      <c r="B16" s="14" t="s">
        <v>128</v>
      </c>
      <c r="C16" s="14" t="s">
        <v>129</v>
      </c>
    </row>
    <row r="17" spans="1:3">
      <c r="A17" s="13">
        <v>7</v>
      </c>
      <c r="B17" s="14" t="s">
        <v>130</v>
      </c>
      <c r="C17" s="14" t="s">
        <v>131</v>
      </c>
    </row>
    <row r="18" spans="1:3">
      <c r="A18" s="15">
        <v>8</v>
      </c>
      <c r="B18" s="16" t="s">
        <v>132</v>
      </c>
      <c r="C18" s="16" t="s">
        <v>133</v>
      </c>
    </row>
  </sheetData>
  <mergeCells count="2">
    <mergeCell ref="A1:F1"/>
    <mergeCell ref="A9:F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</vt:lpstr>
      <vt:lpstr>需求汇总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Tre_Liu</cp:lastModifiedBy>
  <dcterms:created xsi:type="dcterms:W3CDTF">2026-08-24T20:56:24Z</dcterms:created>
  <dcterms:modified xsi:type="dcterms:W3CDTF">2026-08-24T21:03:02Z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4EE7BABB4FE2DB4B9C3F8C6AC7BCB2DF_42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